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95d7a6d460ec615/Documents/MINIPROJECT 2/"/>
    </mc:Choice>
  </mc:AlternateContent>
  <xr:revisionPtr revIDLastSave="0" documentId="8_{6182A03E-4366-4232-BE51-5E8CA918EB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3" i="1" l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2" i="1"/>
  <c r="AD7" i="1"/>
  <c r="AD12" i="1"/>
  <c r="AD15" i="1"/>
  <c r="AD16" i="1"/>
  <c r="AD21" i="1"/>
  <c r="AD23" i="1"/>
  <c r="AD24" i="1"/>
  <c r="AD29" i="1"/>
  <c r="AD30" i="1"/>
  <c r="AD36" i="1"/>
  <c r="AD37" i="1"/>
  <c r="AD38" i="1"/>
  <c r="AD39" i="1"/>
  <c r="AD45" i="1"/>
  <c r="AD46" i="1"/>
  <c r="AD47" i="1"/>
  <c r="AD48" i="1"/>
  <c r="AD55" i="1"/>
  <c r="AD61" i="1"/>
  <c r="AD62" i="1"/>
  <c r="AD63" i="1"/>
  <c r="AD70" i="1"/>
  <c r="AD71" i="1"/>
  <c r="AD72" i="1"/>
  <c r="AD79" i="1"/>
  <c r="AD84" i="1"/>
  <c r="AD85" i="1"/>
  <c r="AD87" i="1"/>
  <c r="AD93" i="1"/>
  <c r="AD94" i="1"/>
  <c r="AD101" i="1"/>
  <c r="AD102" i="1"/>
  <c r="AD103" i="1"/>
  <c r="AD108" i="1"/>
  <c r="AD109" i="1"/>
  <c r="AD110" i="1"/>
  <c r="AD111" i="1"/>
  <c r="AD117" i="1"/>
  <c r="AD118" i="1"/>
  <c r="AD119" i="1"/>
  <c r="AD120" i="1"/>
  <c r="AD127" i="1"/>
  <c r="AD134" i="1"/>
  <c r="AD135" i="1"/>
  <c r="AD143" i="1"/>
  <c r="AD144" i="1"/>
  <c r="AD149" i="1"/>
  <c r="AD151" i="1"/>
  <c r="AD156" i="1"/>
  <c r="AD157" i="1"/>
  <c r="AD165" i="1"/>
  <c r="AD166" i="1"/>
  <c r="AD167" i="1"/>
  <c r="AD173" i="1"/>
  <c r="AD174" i="1"/>
  <c r="AD175" i="1"/>
  <c r="AD176" i="1"/>
  <c r="AD180" i="1"/>
  <c r="AD181" i="1"/>
  <c r="AD182" i="1"/>
  <c r="AD183" i="1"/>
  <c r="AD189" i="1"/>
  <c r="AD190" i="1"/>
  <c r="AD191" i="1"/>
  <c r="AD192" i="1"/>
  <c r="AD199" i="1"/>
  <c r="AD204" i="1"/>
  <c r="AD207" i="1"/>
  <c r="AD213" i="1"/>
  <c r="AD215" i="1"/>
  <c r="AD216" i="1"/>
  <c r="AD221" i="1"/>
  <c r="AD222" i="1"/>
  <c r="AD228" i="1"/>
  <c r="AD229" i="1"/>
  <c r="AD231" i="1"/>
  <c r="AD237" i="1"/>
  <c r="AD238" i="1"/>
  <c r="AD239" i="1"/>
  <c r="AD240" i="1"/>
  <c r="AD245" i="1"/>
  <c r="AD246" i="1"/>
  <c r="AD247" i="1"/>
  <c r="AD248" i="1"/>
  <c r="AD253" i="1"/>
  <c r="AD254" i="1"/>
  <c r="AD255" i="1"/>
  <c r="AD262" i="1"/>
  <c r="AD263" i="1"/>
  <c r="AD264" i="1"/>
  <c r="AD271" i="1"/>
  <c r="AD276" i="1"/>
  <c r="AD277" i="1"/>
  <c r="AD279" i="1"/>
  <c r="AD284" i="1"/>
  <c r="AD285" i="1"/>
  <c r="AD286" i="1"/>
  <c r="AD293" i="1"/>
  <c r="AD294" i="1"/>
  <c r="AD295" i="1"/>
  <c r="AD300" i="1"/>
  <c r="AD301" i="1"/>
  <c r="AD303" i="1"/>
  <c r="AD309" i="1"/>
  <c r="AD310" i="1"/>
  <c r="AD311" i="1"/>
  <c r="AD312" i="1"/>
  <c r="AD317" i="1"/>
  <c r="AD318" i="1"/>
  <c r="AD319" i="1"/>
  <c r="AD320" i="1"/>
  <c r="AD321" i="1"/>
  <c r="AD326" i="1"/>
  <c r="AD327" i="1"/>
  <c r="AD332" i="1"/>
  <c r="AD335" i="1"/>
  <c r="AD336" i="1"/>
  <c r="AD341" i="1"/>
  <c r="AD343" i="1"/>
  <c r="AD344" i="1"/>
  <c r="AD345" i="1"/>
  <c r="AD356" i="1"/>
  <c r="AD357" i="1"/>
  <c r="AD358" i="1"/>
  <c r="AD359" i="1"/>
  <c r="AD365" i="1"/>
  <c r="AD366" i="1"/>
  <c r="AD367" i="1"/>
  <c r="AD368" i="1"/>
  <c r="AD372" i="1"/>
  <c r="AD373" i="1"/>
  <c r="AD375" i="1"/>
  <c r="AD381" i="1"/>
  <c r="AD382" i="1"/>
  <c r="AD383" i="1"/>
  <c r="AD384" i="1"/>
  <c r="AD390" i="1"/>
  <c r="AD391" i="1"/>
  <c r="AD392" i="1"/>
  <c r="AD399" i="1"/>
  <c r="AD404" i="1"/>
  <c r="AD405" i="1"/>
  <c r="AD407" i="1"/>
  <c r="AD408" i="1"/>
  <c r="AD413" i="1"/>
  <c r="AD414" i="1"/>
  <c r="AD423" i="1"/>
  <c r="AD428" i="1"/>
  <c r="AD429" i="1"/>
  <c r="AD430" i="1"/>
  <c r="AD431" i="1"/>
  <c r="AD437" i="1"/>
  <c r="AD438" i="1"/>
  <c r="AD439" i="1"/>
  <c r="AD440" i="1"/>
  <c r="AD445" i="1"/>
  <c r="AD447" i="1"/>
  <c r="AD454" i="1"/>
  <c r="AD455" i="1"/>
  <c r="AD456" i="1"/>
  <c r="AD463" i="1"/>
  <c r="AD464" i="1"/>
  <c r="AD471" i="1"/>
  <c r="AD476" i="1"/>
  <c r="AD477" i="1"/>
  <c r="AD478" i="1"/>
  <c r="AD485" i="1"/>
  <c r="AD486" i="1"/>
  <c r="AD487" i="1"/>
  <c r="AD495" i="1"/>
  <c r="AD500" i="1"/>
  <c r="AD501" i="1"/>
  <c r="AD502" i="1"/>
  <c r="AD503" i="1"/>
  <c r="AD509" i="1"/>
  <c r="AD510" i="1"/>
  <c r="AD511" i="1"/>
  <c r="AD512" i="1"/>
  <c r="AD519" i="1"/>
  <c r="AD524" i="1"/>
  <c r="AD527" i="1"/>
  <c r="AD528" i="1"/>
  <c r="AD533" i="1"/>
  <c r="AD535" i="1"/>
  <c r="AD536" i="1"/>
  <c r="AD541" i="1"/>
  <c r="AD542" i="1"/>
  <c r="AD548" i="1"/>
  <c r="AD549" i="1"/>
  <c r="AD550" i="1"/>
  <c r="AD551" i="1"/>
  <c r="AD557" i="1"/>
  <c r="AD558" i="1"/>
  <c r="AD559" i="1"/>
  <c r="AD560" i="1"/>
  <c r="AD567" i="1"/>
  <c r="AD573" i="1"/>
  <c r="AD574" i="1"/>
  <c r="AD575" i="1"/>
  <c r="AD582" i="1"/>
  <c r="AD583" i="1"/>
  <c r="AD584" i="1"/>
  <c r="AD591" i="1"/>
  <c r="AD596" i="1"/>
  <c r="AD597" i="1"/>
  <c r="AD599" i="1"/>
  <c r="AD605" i="1"/>
  <c r="AD606" i="1"/>
  <c r="AD613" i="1"/>
  <c r="AD614" i="1"/>
  <c r="AD615" i="1"/>
  <c r="AD620" i="1"/>
  <c r="AD621" i="1"/>
  <c r="AD622" i="1"/>
  <c r="AD623" i="1"/>
  <c r="AD629" i="1"/>
  <c r="AD630" i="1"/>
  <c r="AD631" i="1"/>
  <c r="AD632" i="1"/>
  <c r="AD639" i="1"/>
  <c r="AD646" i="1"/>
  <c r="AD647" i="1"/>
  <c r="AD655" i="1"/>
  <c r="AD656" i="1"/>
  <c r="AD661" i="1"/>
  <c r="AD663" i="1"/>
  <c r="AD668" i="1"/>
  <c r="AD669" i="1"/>
  <c r="AD677" i="1"/>
  <c r="AD678" i="1"/>
  <c r="AD679" i="1"/>
  <c r="AD685" i="1"/>
  <c r="AD686" i="1"/>
  <c r="AD687" i="1"/>
  <c r="AD695" i="1"/>
  <c r="AD699" i="1"/>
  <c r="AD700" i="1"/>
  <c r="AD701" i="1"/>
  <c r="AD702" i="1"/>
  <c r="AD703" i="1"/>
  <c r="AD709" i="1"/>
  <c r="AD710" i="1"/>
  <c r="AD711" i="1"/>
  <c r="AD717" i="1"/>
  <c r="AD718" i="1"/>
  <c r="AD719" i="1"/>
  <c r="AD727" i="1"/>
  <c r="AD731" i="1"/>
  <c r="AD732" i="1"/>
  <c r="AD733" i="1"/>
  <c r="AD734" i="1"/>
  <c r="AD735" i="1"/>
  <c r="AD741" i="1"/>
  <c r="AD742" i="1"/>
  <c r="AD743" i="1"/>
  <c r="AD749" i="1"/>
  <c r="AD750" i="1"/>
  <c r="AD751" i="1"/>
  <c r="AD759" i="1"/>
  <c r="AD763" i="1"/>
  <c r="AD764" i="1"/>
  <c r="AD765" i="1"/>
  <c r="AD766" i="1"/>
  <c r="AD767" i="1"/>
  <c r="AD773" i="1"/>
  <c r="AD774" i="1"/>
  <c r="AD775" i="1"/>
  <c r="AD781" i="1"/>
  <c r="AD782" i="1"/>
  <c r="AD783" i="1"/>
  <c r="AD791" i="1"/>
  <c r="AD795" i="1"/>
  <c r="AD796" i="1"/>
  <c r="AD797" i="1"/>
  <c r="AD798" i="1"/>
  <c r="AD799" i="1"/>
  <c r="AD805" i="1"/>
  <c r="AD806" i="1"/>
  <c r="AD807" i="1"/>
  <c r="AD813" i="1"/>
  <c r="AD814" i="1"/>
  <c r="AD815" i="1"/>
  <c r="AD823" i="1"/>
  <c r="AD827" i="1"/>
  <c r="AD828" i="1"/>
  <c r="AD829" i="1"/>
  <c r="AD830" i="1"/>
  <c r="AD831" i="1"/>
  <c r="AD837" i="1"/>
  <c r="AD838" i="1"/>
  <c r="AD839" i="1"/>
  <c r="AD845" i="1"/>
  <c r="AD846" i="1"/>
  <c r="AD847" i="1"/>
  <c r="AD850" i="1"/>
  <c r="AD855" i="1"/>
  <c r="AD859" i="1"/>
  <c r="AD860" i="1"/>
  <c r="AD861" i="1"/>
  <c r="AD863" i="1"/>
  <c r="AD867" i="1"/>
  <c r="AD868" i="1"/>
  <c r="AD869" i="1"/>
  <c r="AD870" i="1"/>
  <c r="AD871" i="1"/>
  <c r="AD876" i="1"/>
  <c r="AD877" i="1"/>
  <c r="AD878" i="1"/>
  <c r="AD879" i="1"/>
  <c r="AD885" i="1"/>
  <c r="AD886" i="1"/>
  <c r="AD887" i="1"/>
  <c r="AD893" i="1"/>
  <c r="AD894" i="1"/>
  <c r="AD895" i="1"/>
  <c r="AD901" i="1"/>
  <c r="AD902" i="1"/>
  <c r="AD903" i="1"/>
  <c r="AD909" i="1"/>
  <c r="AD910" i="1"/>
  <c r="AD911" i="1"/>
  <c r="AD919" i="1"/>
  <c r="AD922" i="1"/>
  <c r="AD923" i="1"/>
  <c r="AD924" i="1"/>
  <c r="AD925" i="1"/>
  <c r="AD927" i="1"/>
  <c r="AD931" i="1"/>
  <c r="AD932" i="1"/>
  <c r="AD933" i="1"/>
  <c r="AD934" i="1"/>
  <c r="AD935" i="1"/>
  <c r="AD940" i="1"/>
  <c r="AD941" i="1"/>
  <c r="AD942" i="1"/>
  <c r="AD943" i="1"/>
  <c r="AD949" i="1"/>
  <c r="AD950" i="1"/>
  <c r="AD951" i="1"/>
  <c r="AD957" i="1"/>
  <c r="AD958" i="1"/>
  <c r="AD959" i="1"/>
  <c r="AD965" i="1"/>
  <c r="AD966" i="1"/>
  <c r="AD967" i="1"/>
  <c r="AD969" i="1"/>
  <c r="AD973" i="1"/>
  <c r="AD974" i="1"/>
  <c r="AD975" i="1"/>
  <c r="AD983" i="1"/>
  <c r="AC985" i="1"/>
  <c r="AD985" i="1" s="1"/>
  <c r="AC3" i="1"/>
  <c r="AD3" i="1" s="1"/>
  <c r="AC4" i="1"/>
  <c r="AD4" i="1" s="1"/>
  <c r="AC5" i="1"/>
  <c r="AD5" i="1" s="1"/>
  <c r="AC6" i="1"/>
  <c r="AD6" i="1" s="1"/>
  <c r="AC7" i="1"/>
  <c r="AC8" i="1"/>
  <c r="AD8" i="1" s="1"/>
  <c r="AC9" i="1"/>
  <c r="AD9" i="1" s="1"/>
  <c r="AC10" i="1"/>
  <c r="AD10" i="1" s="1"/>
  <c r="AC11" i="1"/>
  <c r="AD11" i="1" s="1"/>
  <c r="AC12" i="1"/>
  <c r="AC13" i="1"/>
  <c r="AD13" i="1" s="1"/>
  <c r="AC14" i="1"/>
  <c r="AD14" i="1" s="1"/>
  <c r="AC15" i="1"/>
  <c r="AC16" i="1"/>
  <c r="AC17" i="1"/>
  <c r="AD17" i="1" s="1"/>
  <c r="AC18" i="1"/>
  <c r="AD18" i="1" s="1"/>
  <c r="AC19" i="1"/>
  <c r="AD19" i="1" s="1"/>
  <c r="AC20" i="1"/>
  <c r="AD20" i="1" s="1"/>
  <c r="AC21" i="1"/>
  <c r="AC22" i="1"/>
  <c r="AD22" i="1" s="1"/>
  <c r="AC23" i="1"/>
  <c r="AC24" i="1"/>
  <c r="AC25" i="1"/>
  <c r="AD25" i="1" s="1"/>
  <c r="AC26" i="1"/>
  <c r="AD26" i="1" s="1"/>
  <c r="AC27" i="1"/>
  <c r="AD27" i="1" s="1"/>
  <c r="AC28" i="1"/>
  <c r="AD28" i="1" s="1"/>
  <c r="AC29" i="1"/>
  <c r="AC30" i="1"/>
  <c r="AC31" i="1"/>
  <c r="AD31" i="1" s="1"/>
  <c r="AC32" i="1"/>
  <c r="AD32" i="1" s="1"/>
  <c r="AC33" i="1"/>
  <c r="AD33" i="1" s="1"/>
  <c r="AC34" i="1"/>
  <c r="AD34" i="1" s="1"/>
  <c r="AC35" i="1"/>
  <c r="AD35" i="1" s="1"/>
  <c r="AC36" i="1"/>
  <c r="AC37" i="1"/>
  <c r="AC38" i="1"/>
  <c r="AC39" i="1"/>
  <c r="AC40" i="1"/>
  <c r="AD40" i="1" s="1"/>
  <c r="AC41" i="1"/>
  <c r="AD41" i="1" s="1"/>
  <c r="AC42" i="1"/>
  <c r="AD42" i="1" s="1"/>
  <c r="AC43" i="1"/>
  <c r="AD43" i="1" s="1"/>
  <c r="AC44" i="1"/>
  <c r="AD44" i="1" s="1"/>
  <c r="AC45" i="1"/>
  <c r="AC46" i="1"/>
  <c r="AC47" i="1"/>
  <c r="AC48" i="1"/>
  <c r="AC49" i="1"/>
  <c r="AD49" i="1" s="1"/>
  <c r="AC50" i="1"/>
  <c r="AD50" i="1" s="1"/>
  <c r="AC51" i="1"/>
  <c r="AD51" i="1" s="1"/>
  <c r="AC52" i="1"/>
  <c r="AD52" i="1" s="1"/>
  <c r="AC53" i="1"/>
  <c r="AD53" i="1" s="1"/>
  <c r="AC54" i="1"/>
  <c r="AD54" i="1" s="1"/>
  <c r="AC55" i="1"/>
  <c r="AC56" i="1"/>
  <c r="AD56" i="1" s="1"/>
  <c r="AC57" i="1"/>
  <c r="AD57" i="1" s="1"/>
  <c r="AC58" i="1"/>
  <c r="AD58" i="1" s="1"/>
  <c r="AC59" i="1"/>
  <c r="AD59" i="1" s="1"/>
  <c r="AC60" i="1"/>
  <c r="AD60" i="1" s="1"/>
  <c r="AC61" i="1"/>
  <c r="AC62" i="1"/>
  <c r="AC63" i="1"/>
  <c r="AC64" i="1"/>
  <c r="AD64" i="1" s="1"/>
  <c r="AC65" i="1"/>
  <c r="AD65" i="1" s="1"/>
  <c r="AC66" i="1"/>
  <c r="AD66" i="1" s="1"/>
  <c r="AC67" i="1"/>
  <c r="AD67" i="1" s="1"/>
  <c r="AC68" i="1"/>
  <c r="AD68" i="1" s="1"/>
  <c r="AC69" i="1"/>
  <c r="AD69" i="1" s="1"/>
  <c r="AC70" i="1"/>
  <c r="AC71" i="1"/>
  <c r="AC72" i="1"/>
  <c r="AC73" i="1"/>
  <c r="AD73" i="1" s="1"/>
  <c r="AC74" i="1"/>
  <c r="AD74" i="1" s="1"/>
  <c r="AC75" i="1"/>
  <c r="AD75" i="1" s="1"/>
  <c r="AC76" i="1"/>
  <c r="AD76" i="1" s="1"/>
  <c r="AC77" i="1"/>
  <c r="AD77" i="1" s="1"/>
  <c r="AC78" i="1"/>
  <c r="AD78" i="1" s="1"/>
  <c r="AC79" i="1"/>
  <c r="AC80" i="1"/>
  <c r="AD80" i="1" s="1"/>
  <c r="AC81" i="1"/>
  <c r="AD81" i="1" s="1"/>
  <c r="AC82" i="1"/>
  <c r="AD82" i="1" s="1"/>
  <c r="AC83" i="1"/>
  <c r="AD83" i="1" s="1"/>
  <c r="AC84" i="1"/>
  <c r="AC85" i="1"/>
  <c r="AC86" i="1"/>
  <c r="AD86" i="1" s="1"/>
  <c r="AC87" i="1"/>
  <c r="AC88" i="1"/>
  <c r="AD88" i="1" s="1"/>
  <c r="AC89" i="1"/>
  <c r="AD89" i="1" s="1"/>
  <c r="AC90" i="1"/>
  <c r="AD90" i="1" s="1"/>
  <c r="AC91" i="1"/>
  <c r="AD91" i="1" s="1"/>
  <c r="AC92" i="1"/>
  <c r="AD92" i="1" s="1"/>
  <c r="AC93" i="1"/>
  <c r="AC94" i="1"/>
  <c r="AC95" i="1"/>
  <c r="AD95" i="1" s="1"/>
  <c r="AC96" i="1"/>
  <c r="AD96" i="1" s="1"/>
  <c r="AC97" i="1"/>
  <c r="AD97" i="1" s="1"/>
  <c r="AC98" i="1"/>
  <c r="AD98" i="1" s="1"/>
  <c r="AC99" i="1"/>
  <c r="AD99" i="1" s="1"/>
  <c r="AC100" i="1"/>
  <c r="AD100" i="1" s="1"/>
  <c r="AC101" i="1"/>
  <c r="AC102" i="1"/>
  <c r="AC103" i="1"/>
  <c r="AC104" i="1"/>
  <c r="AD104" i="1" s="1"/>
  <c r="AC105" i="1"/>
  <c r="AD105" i="1" s="1"/>
  <c r="AC106" i="1"/>
  <c r="AD106" i="1" s="1"/>
  <c r="AC107" i="1"/>
  <c r="AD107" i="1" s="1"/>
  <c r="AC108" i="1"/>
  <c r="AC109" i="1"/>
  <c r="AC110" i="1"/>
  <c r="AC111" i="1"/>
  <c r="AC112" i="1"/>
  <c r="AD112" i="1" s="1"/>
  <c r="AC113" i="1"/>
  <c r="AD113" i="1" s="1"/>
  <c r="AC114" i="1"/>
  <c r="AD114" i="1" s="1"/>
  <c r="AC115" i="1"/>
  <c r="AD115" i="1" s="1"/>
  <c r="AC116" i="1"/>
  <c r="AD116" i="1" s="1"/>
  <c r="AC117" i="1"/>
  <c r="AC118" i="1"/>
  <c r="AC119" i="1"/>
  <c r="AC120" i="1"/>
  <c r="AC121" i="1"/>
  <c r="AD121" i="1" s="1"/>
  <c r="AC122" i="1"/>
  <c r="AD122" i="1" s="1"/>
  <c r="AC123" i="1"/>
  <c r="AD123" i="1" s="1"/>
  <c r="AC124" i="1"/>
  <c r="AD124" i="1" s="1"/>
  <c r="AC125" i="1"/>
  <c r="AD125" i="1" s="1"/>
  <c r="AC126" i="1"/>
  <c r="AD126" i="1" s="1"/>
  <c r="AC127" i="1"/>
  <c r="AC128" i="1"/>
  <c r="AD128" i="1" s="1"/>
  <c r="AC129" i="1"/>
  <c r="AD129" i="1" s="1"/>
  <c r="AC130" i="1"/>
  <c r="AD130" i="1" s="1"/>
  <c r="AC131" i="1"/>
  <c r="AD131" i="1" s="1"/>
  <c r="AC132" i="1"/>
  <c r="AD132" i="1" s="1"/>
  <c r="AC133" i="1"/>
  <c r="AD133" i="1" s="1"/>
  <c r="AC134" i="1"/>
  <c r="AC135" i="1"/>
  <c r="AC136" i="1"/>
  <c r="AD136" i="1" s="1"/>
  <c r="AC137" i="1"/>
  <c r="AD137" i="1" s="1"/>
  <c r="AC138" i="1"/>
  <c r="AD138" i="1" s="1"/>
  <c r="AC139" i="1"/>
  <c r="AD139" i="1" s="1"/>
  <c r="AC140" i="1"/>
  <c r="AD140" i="1" s="1"/>
  <c r="AC141" i="1"/>
  <c r="AD141" i="1" s="1"/>
  <c r="AC142" i="1"/>
  <c r="AD142" i="1" s="1"/>
  <c r="AC143" i="1"/>
  <c r="AC144" i="1"/>
  <c r="AC145" i="1"/>
  <c r="AD145" i="1" s="1"/>
  <c r="AC146" i="1"/>
  <c r="AD146" i="1" s="1"/>
  <c r="AC147" i="1"/>
  <c r="AD147" i="1" s="1"/>
  <c r="AC148" i="1"/>
  <c r="AD148" i="1" s="1"/>
  <c r="AC149" i="1"/>
  <c r="AC150" i="1"/>
  <c r="AD150" i="1" s="1"/>
  <c r="AC151" i="1"/>
  <c r="AC152" i="1"/>
  <c r="AD152" i="1" s="1"/>
  <c r="AC153" i="1"/>
  <c r="AD153" i="1" s="1"/>
  <c r="AC154" i="1"/>
  <c r="AD154" i="1" s="1"/>
  <c r="AC155" i="1"/>
  <c r="AD155" i="1" s="1"/>
  <c r="AC156" i="1"/>
  <c r="AC157" i="1"/>
  <c r="AC158" i="1"/>
  <c r="AD158" i="1" s="1"/>
  <c r="AC159" i="1"/>
  <c r="AD159" i="1" s="1"/>
  <c r="AC160" i="1"/>
  <c r="AD160" i="1" s="1"/>
  <c r="AC161" i="1"/>
  <c r="AD161" i="1" s="1"/>
  <c r="AC162" i="1"/>
  <c r="AD162" i="1" s="1"/>
  <c r="AC163" i="1"/>
  <c r="AD163" i="1" s="1"/>
  <c r="AC164" i="1"/>
  <c r="AD164" i="1" s="1"/>
  <c r="AC165" i="1"/>
  <c r="AC166" i="1"/>
  <c r="AC167" i="1"/>
  <c r="AC168" i="1"/>
  <c r="AD168" i="1" s="1"/>
  <c r="AC169" i="1"/>
  <c r="AD169" i="1" s="1"/>
  <c r="AC170" i="1"/>
  <c r="AD170" i="1" s="1"/>
  <c r="AC171" i="1"/>
  <c r="AD171" i="1" s="1"/>
  <c r="AC172" i="1"/>
  <c r="AD172" i="1" s="1"/>
  <c r="AC173" i="1"/>
  <c r="AC174" i="1"/>
  <c r="AC175" i="1"/>
  <c r="AC176" i="1"/>
  <c r="AC177" i="1"/>
  <c r="AD177" i="1" s="1"/>
  <c r="AC178" i="1"/>
  <c r="AD178" i="1" s="1"/>
  <c r="AC179" i="1"/>
  <c r="AD179" i="1" s="1"/>
  <c r="AC180" i="1"/>
  <c r="AC181" i="1"/>
  <c r="AC182" i="1"/>
  <c r="AC183" i="1"/>
  <c r="AC184" i="1"/>
  <c r="AD184" i="1" s="1"/>
  <c r="AC185" i="1"/>
  <c r="AD185" i="1" s="1"/>
  <c r="AC186" i="1"/>
  <c r="AD186" i="1" s="1"/>
  <c r="AC187" i="1"/>
  <c r="AD187" i="1" s="1"/>
  <c r="AC188" i="1"/>
  <c r="AD188" i="1" s="1"/>
  <c r="AC189" i="1"/>
  <c r="AC190" i="1"/>
  <c r="AC191" i="1"/>
  <c r="AC192" i="1"/>
  <c r="AC193" i="1"/>
  <c r="AD193" i="1" s="1"/>
  <c r="AC194" i="1"/>
  <c r="AD194" i="1" s="1"/>
  <c r="AC195" i="1"/>
  <c r="AD195" i="1" s="1"/>
  <c r="AC196" i="1"/>
  <c r="AD196" i="1" s="1"/>
  <c r="AC197" i="1"/>
  <c r="AD197" i="1" s="1"/>
  <c r="AC198" i="1"/>
  <c r="AD198" i="1" s="1"/>
  <c r="AC199" i="1"/>
  <c r="AC200" i="1"/>
  <c r="AD200" i="1" s="1"/>
  <c r="AC201" i="1"/>
  <c r="AD201" i="1" s="1"/>
  <c r="AC202" i="1"/>
  <c r="AD202" i="1" s="1"/>
  <c r="AC203" i="1"/>
  <c r="AD203" i="1" s="1"/>
  <c r="AC204" i="1"/>
  <c r="AC205" i="1"/>
  <c r="AD205" i="1" s="1"/>
  <c r="AC206" i="1"/>
  <c r="AD206" i="1" s="1"/>
  <c r="AC207" i="1"/>
  <c r="AC208" i="1"/>
  <c r="AD208" i="1" s="1"/>
  <c r="AC209" i="1"/>
  <c r="AD209" i="1" s="1"/>
  <c r="AC210" i="1"/>
  <c r="AD210" i="1" s="1"/>
  <c r="AC211" i="1"/>
  <c r="AD211" i="1" s="1"/>
  <c r="AC212" i="1"/>
  <c r="AD212" i="1" s="1"/>
  <c r="AC213" i="1"/>
  <c r="AC214" i="1"/>
  <c r="AD214" i="1" s="1"/>
  <c r="AC215" i="1"/>
  <c r="AC216" i="1"/>
  <c r="AC217" i="1"/>
  <c r="AD217" i="1" s="1"/>
  <c r="AC218" i="1"/>
  <c r="AD218" i="1" s="1"/>
  <c r="AC219" i="1"/>
  <c r="AD219" i="1" s="1"/>
  <c r="AC220" i="1"/>
  <c r="AD220" i="1" s="1"/>
  <c r="AC221" i="1"/>
  <c r="AC222" i="1"/>
  <c r="AC223" i="1"/>
  <c r="AD223" i="1" s="1"/>
  <c r="AC224" i="1"/>
  <c r="AD224" i="1" s="1"/>
  <c r="AC225" i="1"/>
  <c r="AD225" i="1" s="1"/>
  <c r="AC226" i="1"/>
  <c r="AD226" i="1" s="1"/>
  <c r="AC227" i="1"/>
  <c r="AD227" i="1" s="1"/>
  <c r="AC228" i="1"/>
  <c r="AC229" i="1"/>
  <c r="AC230" i="1"/>
  <c r="AD230" i="1" s="1"/>
  <c r="AC231" i="1"/>
  <c r="AC232" i="1"/>
  <c r="AD232" i="1" s="1"/>
  <c r="AC233" i="1"/>
  <c r="AD233" i="1" s="1"/>
  <c r="AC234" i="1"/>
  <c r="AD234" i="1" s="1"/>
  <c r="AC235" i="1"/>
  <c r="AD235" i="1" s="1"/>
  <c r="AC236" i="1"/>
  <c r="AD236" i="1" s="1"/>
  <c r="AC237" i="1"/>
  <c r="AC238" i="1"/>
  <c r="AC239" i="1"/>
  <c r="AC240" i="1"/>
  <c r="AC241" i="1"/>
  <c r="AD241" i="1" s="1"/>
  <c r="AC242" i="1"/>
  <c r="AD242" i="1" s="1"/>
  <c r="AC243" i="1"/>
  <c r="AD243" i="1" s="1"/>
  <c r="AC244" i="1"/>
  <c r="AD244" i="1" s="1"/>
  <c r="AC245" i="1"/>
  <c r="AC246" i="1"/>
  <c r="AC247" i="1"/>
  <c r="AC248" i="1"/>
  <c r="AC249" i="1"/>
  <c r="AD249" i="1" s="1"/>
  <c r="AC250" i="1"/>
  <c r="AD250" i="1" s="1"/>
  <c r="AC251" i="1"/>
  <c r="AD251" i="1" s="1"/>
  <c r="AC252" i="1"/>
  <c r="AD252" i="1" s="1"/>
  <c r="AC253" i="1"/>
  <c r="AC254" i="1"/>
  <c r="AC255" i="1"/>
  <c r="AC256" i="1"/>
  <c r="AD256" i="1" s="1"/>
  <c r="AC257" i="1"/>
  <c r="AD257" i="1" s="1"/>
  <c r="AC258" i="1"/>
  <c r="AD258" i="1" s="1"/>
  <c r="AC259" i="1"/>
  <c r="AD259" i="1" s="1"/>
  <c r="AC260" i="1"/>
  <c r="AD260" i="1" s="1"/>
  <c r="AC261" i="1"/>
  <c r="AD261" i="1" s="1"/>
  <c r="AC262" i="1"/>
  <c r="AC263" i="1"/>
  <c r="AC264" i="1"/>
  <c r="AC265" i="1"/>
  <c r="AD265" i="1" s="1"/>
  <c r="AC266" i="1"/>
  <c r="AD266" i="1" s="1"/>
  <c r="AC267" i="1"/>
  <c r="AD267" i="1" s="1"/>
  <c r="AC268" i="1"/>
  <c r="AD268" i="1" s="1"/>
  <c r="AC269" i="1"/>
  <c r="AD269" i="1" s="1"/>
  <c r="AC270" i="1"/>
  <c r="AD270" i="1" s="1"/>
  <c r="AC271" i="1"/>
  <c r="AC272" i="1"/>
  <c r="AD272" i="1" s="1"/>
  <c r="AC273" i="1"/>
  <c r="AD273" i="1" s="1"/>
  <c r="AC274" i="1"/>
  <c r="AD274" i="1" s="1"/>
  <c r="AC275" i="1"/>
  <c r="AD275" i="1" s="1"/>
  <c r="AC276" i="1"/>
  <c r="AC277" i="1"/>
  <c r="AC278" i="1"/>
  <c r="AD278" i="1" s="1"/>
  <c r="AC279" i="1"/>
  <c r="AC280" i="1"/>
  <c r="AD280" i="1" s="1"/>
  <c r="AC281" i="1"/>
  <c r="AD281" i="1" s="1"/>
  <c r="AC282" i="1"/>
  <c r="AD282" i="1" s="1"/>
  <c r="AC283" i="1"/>
  <c r="AD283" i="1" s="1"/>
  <c r="AC284" i="1"/>
  <c r="AC285" i="1"/>
  <c r="AC286" i="1"/>
  <c r="AC287" i="1"/>
  <c r="AD287" i="1" s="1"/>
  <c r="AC288" i="1"/>
  <c r="AD288" i="1" s="1"/>
  <c r="AC289" i="1"/>
  <c r="AD289" i="1" s="1"/>
  <c r="AC290" i="1"/>
  <c r="AD290" i="1" s="1"/>
  <c r="AC291" i="1"/>
  <c r="AD291" i="1" s="1"/>
  <c r="AC292" i="1"/>
  <c r="AD292" i="1" s="1"/>
  <c r="AC293" i="1"/>
  <c r="AC294" i="1"/>
  <c r="AC295" i="1"/>
  <c r="AC296" i="1"/>
  <c r="AD296" i="1" s="1"/>
  <c r="AC297" i="1"/>
  <c r="AD297" i="1" s="1"/>
  <c r="AC298" i="1"/>
  <c r="AD298" i="1" s="1"/>
  <c r="AC299" i="1"/>
  <c r="AD299" i="1" s="1"/>
  <c r="AC300" i="1"/>
  <c r="AC301" i="1"/>
  <c r="AC302" i="1"/>
  <c r="AD302" i="1" s="1"/>
  <c r="AC303" i="1"/>
  <c r="AC304" i="1"/>
  <c r="AD304" i="1" s="1"/>
  <c r="AC305" i="1"/>
  <c r="AD305" i="1" s="1"/>
  <c r="AC306" i="1"/>
  <c r="AD306" i="1" s="1"/>
  <c r="AC307" i="1"/>
  <c r="AD307" i="1" s="1"/>
  <c r="AC308" i="1"/>
  <c r="AD308" i="1" s="1"/>
  <c r="AC309" i="1"/>
  <c r="AC310" i="1"/>
  <c r="AC311" i="1"/>
  <c r="AC312" i="1"/>
  <c r="AC313" i="1"/>
  <c r="AD313" i="1" s="1"/>
  <c r="AC314" i="1"/>
  <c r="AD314" i="1" s="1"/>
  <c r="AC315" i="1"/>
  <c r="AD315" i="1" s="1"/>
  <c r="AC316" i="1"/>
  <c r="AD316" i="1" s="1"/>
  <c r="AC317" i="1"/>
  <c r="AC318" i="1"/>
  <c r="AC319" i="1"/>
  <c r="AC320" i="1"/>
  <c r="AC321" i="1"/>
  <c r="AC322" i="1"/>
  <c r="AD322" i="1" s="1"/>
  <c r="AC323" i="1"/>
  <c r="AD323" i="1" s="1"/>
  <c r="AC324" i="1"/>
  <c r="AD324" i="1" s="1"/>
  <c r="AC325" i="1"/>
  <c r="AD325" i="1" s="1"/>
  <c r="AC326" i="1"/>
  <c r="AC327" i="1"/>
  <c r="AC328" i="1"/>
  <c r="AD328" i="1" s="1"/>
  <c r="AC329" i="1"/>
  <c r="AD329" i="1" s="1"/>
  <c r="AC330" i="1"/>
  <c r="AD330" i="1" s="1"/>
  <c r="AC331" i="1"/>
  <c r="AD331" i="1" s="1"/>
  <c r="AC332" i="1"/>
  <c r="AC333" i="1"/>
  <c r="AD333" i="1" s="1"/>
  <c r="AC334" i="1"/>
  <c r="AD334" i="1" s="1"/>
  <c r="AC335" i="1"/>
  <c r="AC336" i="1"/>
  <c r="AC337" i="1"/>
  <c r="AD337" i="1" s="1"/>
  <c r="AC338" i="1"/>
  <c r="AD338" i="1" s="1"/>
  <c r="AC339" i="1"/>
  <c r="AD339" i="1" s="1"/>
  <c r="AC340" i="1"/>
  <c r="AD340" i="1" s="1"/>
  <c r="AC341" i="1"/>
  <c r="AC342" i="1"/>
  <c r="AD342" i="1" s="1"/>
  <c r="AC343" i="1"/>
  <c r="AC344" i="1"/>
  <c r="AC345" i="1"/>
  <c r="AC346" i="1"/>
  <c r="AD346" i="1" s="1"/>
  <c r="AC347" i="1"/>
  <c r="AD347" i="1" s="1"/>
  <c r="AC348" i="1"/>
  <c r="AD348" i="1" s="1"/>
  <c r="AC349" i="1"/>
  <c r="AD349" i="1" s="1"/>
  <c r="AC350" i="1"/>
  <c r="AD350" i="1" s="1"/>
  <c r="AC351" i="1"/>
  <c r="AD351" i="1" s="1"/>
  <c r="AC352" i="1"/>
  <c r="AD352" i="1" s="1"/>
  <c r="AC353" i="1"/>
  <c r="AD353" i="1" s="1"/>
  <c r="AC354" i="1"/>
  <c r="AD354" i="1" s="1"/>
  <c r="AC355" i="1"/>
  <c r="AD355" i="1" s="1"/>
  <c r="AC356" i="1"/>
  <c r="AC357" i="1"/>
  <c r="AC358" i="1"/>
  <c r="AC359" i="1"/>
  <c r="AC360" i="1"/>
  <c r="AD360" i="1" s="1"/>
  <c r="AC361" i="1"/>
  <c r="AD361" i="1" s="1"/>
  <c r="AC362" i="1"/>
  <c r="AD362" i="1" s="1"/>
  <c r="AC363" i="1"/>
  <c r="AD363" i="1" s="1"/>
  <c r="AC364" i="1"/>
  <c r="AD364" i="1" s="1"/>
  <c r="AC365" i="1"/>
  <c r="AC366" i="1"/>
  <c r="AC367" i="1"/>
  <c r="AC368" i="1"/>
  <c r="AC369" i="1"/>
  <c r="AD369" i="1" s="1"/>
  <c r="AC370" i="1"/>
  <c r="AD370" i="1" s="1"/>
  <c r="AC371" i="1"/>
  <c r="AD371" i="1" s="1"/>
  <c r="AC372" i="1"/>
  <c r="AC373" i="1"/>
  <c r="AC374" i="1"/>
  <c r="AD374" i="1" s="1"/>
  <c r="AC375" i="1"/>
  <c r="AC376" i="1"/>
  <c r="AD376" i="1" s="1"/>
  <c r="AC377" i="1"/>
  <c r="AD377" i="1" s="1"/>
  <c r="AC378" i="1"/>
  <c r="AD378" i="1" s="1"/>
  <c r="AC379" i="1"/>
  <c r="AD379" i="1" s="1"/>
  <c r="AC380" i="1"/>
  <c r="AD380" i="1" s="1"/>
  <c r="AC381" i="1"/>
  <c r="AC382" i="1"/>
  <c r="AC383" i="1"/>
  <c r="AC384" i="1"/>
  <c r="AC385" i="1"/>
  <c r="AD385" i="1" s="1"/>
  <c r="AC386" i="1"/>
  <c r="AD386" i="1" s="1"/>
  <c r="AC387" i="1"/>
  <c r="AD387" i="1" s="1"/>
  <c r="AC388" i="1"/>
  <c r="AD388" i="1" s="1"/>
  <c r="AC389" i="1"/>
  <c r="AD389" i="1" s="1"/>
  <c r="AC390" i="1"/>
  <c r="AC391" i="1"/>
  <c r="AC392" i="1"/>
  <c r="AC393" i="1"/>
  <c r="AD393" i="1" s="1"/>
  <c r="AC394" i="1"/>
  <c r="AD394" i="1" s="1"/>
  <c r="AC395" i="1"/>
  <c r="AD395" i="1" s="1"/>
  <c r="AC396" i="1"/>
  <c r="AD396" i="1" s="1"/>
  <c r="AC397" i="1"/>
  <c r="AD397" i="1" s="1"/>
  <c r="AC398" i="1"/>
  <c r="AD398" i="1" s="1"/>
  <c r="AC399" i="1"/>
  <c r="AC400" i="1"/>
  <c r="AD400" i="1" s="1"/>
  <c r="AC401" i="1"/>
  <c r="AD401" i="1" s="1"/>
  <c r="AC402" i="1"/>
  <c r="AD402" i="1" s="1"/>
  <c r="AC403" i="1"/>
  <c r="AD403" i="1" s="1"/>
  <c r="AC404" i="1"/>
  <c r="AC405" i="1"/>
  <c r="AC406" i="1"/>
  <c r="AD406" i="1" s="1"/>
  <c r="AC407" i="1"/>
  <c r="AC408" i="1"/>
  <c r="AC409" i="1"/>
  <c r="AD409" i="1" s="1"/>
  <c r="AC410" i="1"/>
  <c r="AD410" i="1" s="1"/>
  <c r="AC411" i="1"/>
  <c r="AD411" i="1" s="1"/>
  <c r="AC412" i="1"/>
  <c r="AD412" i="1" s="1"/>
  <c r="AC413" i="1"/>
  <c r="AC414" i="1"/>
  <c r="AC415" i="1"/>
  <c r="AD415" i="1" s="1"/>
  <c r="AC416" i="1"/>
  <c r="AD416" i="1" s="1"/>
  <c r="AC417" i="1"/>
  <c r="AD417" i="1" s="1"/>
  <c r="AC418" i="1"/>
  <c r="AD418" i="1" s="1"/>
  <c r="AC419" i="1"/>
  <c r="AD419" i="1" s="1"/>
  <c r="AC420" i="1"/>
  <c r="AD420" i="1" s="1"/>
  <c r="AC421" i="1"/>
  <c r="AD421" i="1" s="1"/>
  <c r="AC422" i="1"/>
  <c r="AD422" i="1" s="1"/>
  <c r="AC423" i="1"/>
  <c r="AC424" i="1"/>
  <c r="AD424" i="1" s="1"/>
  <c r="AC425" i="1"/>
  <c r="AD425" i="1" s="1"/>
  <c r="AC426" i="1"/>
  <c r="AD426" i="1" s="1"/>
  <c r="AC427" i="1"/>
  <c r="AD427" i="1" s="1"/>
  <c r="AC428" i="1"/>
  <c r="AC429" i="1"/>
  <c r="AC430" i="1"/>
  <c r="AC431" i="1"/>
  <c r="AC432" i="1"/>
  <c r="AD432" i="1" s="1"/>
  <c r="AC433" i="1"/>
  <c r="AD433" i="1" s="1"/>
  <c r="AC434" i="1"/>
  <c r="AD434" i="1" s="1"/>
  <c r="AC435" i="1"/>
  <c r="AD435" i="1" s="1"/>
  <c r="AC436" i="1"/>
  <c r="AD436" i="1" s="1"/>
  <c r="AC437" i="1"/>
  <c r="AC438" i="1"/>
  <c r="AC439" i="1"/>
  <c r="AC440" i="1"/>
  <c r="AC441" i="1"/>
  <c r="AD441" i="1" s="1"/>
  <c r="AC442" i="1"/>
  <c r="AD442" i="1" s="1"/>
  <c r="AC443" i="1"/>
  <c r="AD443" i="1" s="1"/>
  <c r="AC444" i="1"/>
  <c r="AD444" i="1" s="1"/>
  <c r="AC445" i="1"/>
  <c r="AC446" i="1"/>
  <c r="AD446" i="1" s="1"/>
  <c r="AC447" i="1"/>
  <c r="AC448" i="1"/>
  <c r="AD448" i="1" s="1"/>
  <c r="AC449" i="1"/>
  <c r="AD449" i="1" s="1"/>
  <c r="AC450" i="1"/>
  <c r="AD450" i="1" s="1"/>
  <c r="AC451" i="1"/>
  <c r="AD451" i="1" s="1"/>
  <c r="AC452" i="1"/>
  <c r="AD452" i="1" s="1"/>
  <c r="AC453" i="1"/>
  <c r="AD453" i="1" s="1"/>
  <c r="AC454" i="1"/>
  <c r="AC455" i="1"/>
  <c r="AC456" i="1"/>
  <c r="AC457" i="1"/>
  <c r="AD457" i="1" s="1"/>
  <c r="AC458" i="1"/>
  <c r="AD458" i="1" s="1"/>
  <c r="AC459" i="1"/>
  <c r="AD459" i="1" s="1"/>
  <c r="AC460" i="1"/>
  <c r="AD460" i="1" s="1"/>
  <c r="AC461" i="1"/>
  <c r="AD461" i="1" s="1"/>
  <c r="AC462" i="1"/>
  <c r="AD462" i="1" s="1"/>
  <c r="AC463" i="1"/>
  <c r="AC464" i="1"/>
  <c r="AC465" i="1"/>
  <c r="AD465" i="1" s="1"/>
  <c r="AC466" i="1"/>
  <c r="AD466" i="1" s="1"/>
  <c r="AC467" i="1"/>
  <c r="AD467" i="1" s="1"/>
  <c r="AC468" i="1"/>
  <c r="AD468" i="1" s="1"/>
  <c r="AC469" i="1"/>
  <c r="AD469" i="1" s="1"/>
  <c r="AC470" i="1"/>
  <c r="AD470" i="1" s="1"/>
  <c r="AC471" i="1"/>
  <c r="AC472" i="1"/>
  <c r="AD472" i="1" s="1"/>
  <c r="AC473" i="1"/>
  <c r="AD473" i="1" s="1"/>
  <c r="AC474" i="1"/>
  <c r="AD474" i="1" s="1"/>
  <c r="AC475" i="1"/>
  <c r="AD475" i="1" s="1"/>
  <c r="AC476" i="1"/>
  <c r="AC477" i="1"/>
  <c r="AC478" i="1"/>
  <c r="AC479" i="1"/>
  <c r="AD479" i="1" s="1"/>
  <c r="AC480" i="1"/>
  <c r="AD480" i="1" s="1"/>
  <c r="AC481" i="1"/>
  <c r="AD481" i="1" s="1"/>
  <c r="AC482" i="1"/>
  <c r="AD482" i="1" s="1"/>
  <c r="AC483" i="1"/>
  <c r="AD483" i="1" s="1"/>
  <c r="AC484" i="1"/>
  <c r="AD484" i="1" s="1"/>
  <c r="AC485" i="1"/>
  <c r="AC486" i="1"/>
  <c r="AC487" i="1"/>
  <c r="AC488" i="1"/>
  <c r="AD488" i="1" s="1"/>
  <c r="AC489" i="1"/>
  <c r="AD489" i="1" s="1"/>
  <c r="AC490" i="1"/>
  <c r="AD490" i="1" s="1"/>
  <c r="AC491" i="1"/>
  <c r="AD491" i="1" s="1"/>
  <c r="AC492" i="1"/>
  <c r="AD492" i="1" s="1"/>
  <c r="AC493" i="1"/>
  <c r="AD493" i="1" s="1"/>
  <c r="AC494" i="1"/>
  <c r="AD494" i="1" s="1"/>
  <c r="AC495" i="1"/>
  <c r="AC496" i="1"/>
  <c r="AD496" i="1" s="1"/>
  <c r="AC497" i="1"/>
  <c r="AD497" i="1" s="1"/>
  <c r="AC498" i="1"/>
  <c r="AD498" i="1" s="1"/>
  <c r="AC499" i="1"/>
  <c r="AD499" i="1" s="1"/>
  <c r="AC500" i="1"/>
  <c r="AC501" i="1"/>
  <c r="AC502" i="1"/>
  <c r="AC503" i="1"/>
  <c r="AC504" i="1"/>
  <c r="AD504" i="1" s="1"/>
  <c r="AC505" i="1"/>
  <c r="AD505" i="1" s="1"/>
  <c r="AC506" i="1"/>
  <c r="AD506" i="1" s="1"/>
  <c r="AC507" i="1"/>
  <c r="AD507" i="1" s="1"/>
  <c r="AC508" i="1"/>
  <c r="AD508" i="1" s="1"/>
  <c r="AC509" i="1"/>
  <c r="AC510" i="1"/>
  <c r="AC511" i="1"/>
  <c r="AC512" i="1"/>
  <c r="AC513" i="1"/>
  <c r="AD513" i="1" s="1"/>
  <c r="AC514" i="1"/>
  <c r="AD514" i="1" s="1"/>
  <c r="AC515" i="1"/>
  <c r="AD515" i="1" s="1"/>
  <c r="AC516" i="1"/>
  <c r="AD516" i="1" s="1"/>
  <c r="AC517" i="1"/>
  <c r="AD517" i="1" s="1"/>
  <c r="AC518" i="1"/>
  <c r="AD518" i="1" s="1"/>
  <c r="AC519" i="1"/>
  <c r="AC520" i="1"/>
  <c r="AD520" i="1" s="1"/>
  <c r="AC521" i="1"/>
  <c r="AD521" i="1" s="1"/>
  <c r="AC522" i="1"/>
  <c r="AD522" i="1" s="1"/>
  <c r="AC523" i="1"/>
  <c r="AD523" i="1" s="1"/>
  <c r="AC524" i="1"/>
  <c r="AC525" i="1"/>
  <c r="AD525" i="1" s="1"/>
  <c r="AC526" i="1"/>
  <c r="AD526" i="1" s="1"/>
  <c r="AC527" i="1"/>
  <c r="AC528" i="1"/>
  <c r="AC529" i="1"/>
  <c r="AD529" i="1" s="1"/>
  <c r="AC530" i="1"/>
  <c r="AD530" i="1" s="1"/>
  <c r="AC531" i="1"/>
  <c r="AD531" i="1" s="1"/>
  <c r="AC532" i="1"/>
  <c r="AD532" i="1" s="1"/>
  <c r="AC533" i="1"/>
  <c r="AC534" i="1"/>
  <c r="AD534" i="1" s="1"/>
  <c r="AC535" i="1"/>
  <c r="AC536" i="1"/>
  <c r="AC537" i="1"/>
  <c r="AD537" i="1" s="1"/>
  <c r="AC538" i="1"/>
  <c r="AD538" i="1" s="1"/>
  <c r="AC539" i="1"/>
  <c r="AD539" i="1" s="1"/>
  <c r="AC540" i="1"/>
  <c r="AD540" i="1" s="1"/>
  <c r="AC541" i="1"/>
  <c r="AC542" i="1"/>
  <c r="AC543" i="1"/>
  <c r="AD543" i="1" s="1"/>
  <c r="AC544" i="1"/>
  <c r="AD544" i="1" s="1"/>
  <c r="AC545" i="1"/>
  <c r="AD545" i="1" s="1"/>
  <c r="AC546" i="1"/>
  <c r="AD546" i="1" s="1"/>
  <c r="AC547" i="1"/>
  <c r="AD547" i="1" s="1"/>
  <c r="AC548" i="1"/>
  <c r="AC549" i="1"/>
  <c r="AC550" i="1"/>
  <c r="AC551" i="1"/>
  <c r="AC552" i="1"/>
  <c r="AD552" i="1" s="1"/>
  <c r="AC553" i="1"/>
  <c r="AD553" i="1" s="1"/>
  <c r="AC554" i="1"/>
  <c r="AD554" i="1" s="1"/>
  <c r="AC555" i="1"/>
  <c r="AD555" i="1" s="1"/>
  <c r="AC556" i="1"/>
  <c r="AD556" i="1" s="1"/>
  <c r="AC557" i="1"/>
  <c r="AC558" i="1"/>
  <c r="AC559" i="1"/>
  <c r="AC560" i="1"/>
  <c r="AC561" i="1"/>
  <c r="AD561" i="1" s="1"/>
  <c r="AC562" i="1"/>
  <c r="AD562" i="1" s="1"/>
  <c r="AC563" i="1"/>
  <c r="AD563" i="1" s="1"/>
  <c r="AC564" i="1"/>
  <c r="AD564" i="1" s="1"/>
  <c r="AC565" i="1"/>
  <c r="AD565" i="1" s="1"/>
  <c r="AC566" i="1"/>
  <c r="AD566" i="1" s="1"/>
  <c r="AC567" i="1"/>
  <c r="AC568" i="1"/>
  <c r="AD568" i="1" s="1"/>
  <c r="AC569" i="1"/>
  <c r="AD569" i="1" s="1"/>
  <c r="AC570" i="1"/>
  <c r="AD570" i="1" s="1"/>
  <c r="AC571" i="1"/>
  <c r="AD571" i="1" s="1"/>
  <c r="AC572" i="1"/>
  <c r="AD572" i="1" s="1"/>
  <c r="AC573" i="1"/>
  <c r="AC574" i="1"/>
  <c r="AC575" i="1"/>
  <c r="AC576" i="1"/>
  <c r="AD576" i="1" s="1"/>
  <c r="AC577" i="1"/>
  <c r="AD577" i="1" s="1"/>
  <c r="AC578" i="1"/>
  <c r="AD578" i="1" s="1"/>
  <c r="AC579" i="1"/>
  <c r="AD579" i="1" s="1"/>
  <c r="AC580" i="1"/>
  <c r="AD580" i="1" s="1"/>
  <c r="AC581" i="1"/>
  <c r="AD581" i="1" s="1"/>
  <c r="AC582" i="1"/>
  <c r="AC583" i="1"/>
  <c r="AC584" i="1"/>
  <c r="AC585" i="1"/>
  <c r="AD585" i="1" s="1"/>
  <c r="AC586" i="1"/>
  <c r="AD586" i="1" s="1"/>
  <c r="AC587" i="1"/>
  <c r="AD587" i="1" s="1"/>
  <c r="AC588" i="1"/>
  <c r="AD588" i="1" s="1"/>
  <c r="AC589" i="1"/>
  <c r="AD589" i="1" s="1"/>
  <c r="AC590" i="1"/>
  <c r="AD590" i="1" s="1"/>
  <c r="AC591" i="1"/>
  <c r="AC592" i="1"/>
  <c r="AD592" i="1" s="1"/>
  <c r="AC593" i="1"/>
  <c r="AD593" i="1" s="1"/>
  <c r="AC594" i="1"/>
  <c r="AD594" i="1" s="1"/>
  <c r="AC595" i="1"/>
  <c r="AD595" i="1" s="1"/>
  <c r="AC596" i="1"/>
  <c r="AC597" i="1"/>
  <c r="AC598" i="1"/>
  <c r="AD598" i="1" s="1"/>
  <c r="AC599" i="1"/>
  <c r="AC600" i="1"/>
  <c r="AD600" i="1" s="1"/>
  <c r="AC601" i="1"/>
  <c r="AD601" i="1" s="1"/>
  <c r="AC602" i="1"/>
  <c r="AD602" i="1" s="1"/>
  <c r="AC603" i="1"/>
  <c r="AD603" i="1" s="1"/>
  <c r="AC604" i="1"/>
  <c r="AD604" i="1" s="1"/>
  <c r="AC605" i="1"/>
  <c r="AC606" i="1"/>
  <c r="AC607" i="1"/>
  <c r="AD607" i="1" s="1"/>
  <c r="AC608" i="1"/>
  <c r="AD608" i="1" s="1"/>
  <c r="AC609" i="1"/>
  <c r="AD609" i="1" s="1"/>
  <c r="AC610" i="1"/>
  <c r="AD610" i="1" s="1"/>
  <c r="AC611" i="1"/>
  <c r="AD611" i="1" s="1"/>
  <c r="AC612" i="1"/>
  <c r="AD612" i="1" s="1"/>
  <c r="AC613" i="1"/>
  <c r="AC614" i="1"/>
  <c r="AC615" i="1"/>
  <c r="AC616" i="1"/>
  <c r="AD616" i="1" s="1"/>
  <c r="AC617" i="1"/>
  <c r="AD617" i="1" s="1"/>
  <c r="AC618" i="1"/>
  <c r="AD618" i="1" s="1"/>
  <c r="AC619" i="1"/>
  <c r="AD619" i="1" s="1"/>
  <c r="AC620" i="1"/>
  <c r="AC621" i="1"/>
  <c r="AC622" i="1"/>
  <c r="AC623" i="1"/>
  <c r="AC624" i="1"/>
  <c r="AD624" i="1" s="1"/>
  <c r="AC625" i="1"/>
  <c r="AD625" i="1" s="1"/>
  <c r="AC626" i="1"/>
  <c r="AD626" i="1" s="1"/>
  <c r="AC627" i="1"/>
  <c r="AD627" i="1" s="1"/>
  <c r="AC628" i="1"/>
  <c r="AD628" i="1" s="1"/>
  <c r="AC629" i="1"/>
  <c r="AC630" i="1"/>
  <c r="AC631" i="1"/>
  <c r="AC632" i="1"/>
  <c r="AC633" i="1"/>
  <c r="AD633" i="1" s="1"/>
  <c r="AC634" i="1"/>
  <c r="AD634" i="1" s="1"/>
  <c r="AC635" i="1"/>
  <c r="AD635" i="1" s="1"/>
  <c r="AC636" i="1"/>
  <c r="AD636" i="1" s="1"/>
  <c r="AC637" i="1"/>
  <c r="AD637" i="1" s="1"/>
  <c r="AC638" i="1"/>
  <c r="AD638" i="1" s="1"/>
  <c r="AC639" i="1"/>
  <c r="AC640" i="1"/>
  <c r="AD640" i="1" s="1"/>
  <c r="AC641" i="1"/>
  <c r="AD641" i="1" s="1"/>
  <c r="AC642" i="1"/>
  <c r="AD642" i="1" s="1"/>
  <c r="AC643" i="1"/>
  <c r="AD643" i="1" s="1"/>
  <c r="AC644" i="1"/>
  <c r="AD644" i="1" s="1"/>
  <c r="AC645" i="1"/>
  <c r="AD645" i="1" s="1"/>
  <c r="AC646" i="1"/>
  <c r="AC647" i="1"/>
  <c r="AC648" i="1"/>
  <c r="AD648" i="1" s="1"/>
  <c r="AC649" i="1"/>
  <c r="AD649" i="1" s="1"/>
  <c r="AC650" i="1"/>
  <c r="AD650" i="1" s="1"/>
  <c r="AC651" i="1"/>
  <c r="AD651" i="1" s="1"/>
  <c r="AC652" i="1"/>
  <c r="AD652" i="1" s="1"/>
  <c r="AC653" i="1"/>
  <c r="AD653" i="1" s="1"/>
  <c r="AC654" i="1"/>
  <c r="AD654" i="1" s="1"/>
  <c r="AC655" i="1"/>
  <c r="AC656" i="1"/>
  <c r="AC657" i="1"/>
  <c r="AD657" i="1" s="1"/>
  <c r="AC658" i="1"/>
  <c r="AD658" i="1" s="1"/>
  <c r="AC659" i="1"/>
  <c r="AD659" i="1" s="1"/>
  <c r="AC660" i="1"/>
  <c r="AD660" i="1" s="1"/>
  <c r="AC661" i="1"/>
  <c r="AC662" i="1"/>
  <c r="AD662" i="1" s="1"/>
  <c r="AC663" i="1"/>
  <c r="AC664" i="1"/>
  <c r="AD664" i="1" s="1"/>
  <c r="AC665" i="1"/>
  <c r="AD665" i="1" s="1"/>
  <c r="AC666" i="1"/>
  <c r="AD666" i="1" s="1"/>
  <c r="AC667" i="1"/>
  <c r="AD667" i="1" s="1"/>
  <c r="AC668" i="1"/>
  <c r="AC669" i="1"/>
  <c r="AC670" i="1"/>
  <c r="AD670" i="1" s="1"/>
  <c r="AC671" i="1"/>
  <c r="AD671" i="1" s="1"/>
  <c r="AC672" i="1"/>
  <c r="AD672" i="1" s="1"/>
  <c r="AC673" i="1"/>
  <c r="AD673" i="1" s="1"/>
  <c r="AC674" i="1"/>
  <c r="AD674" i="1" s="1"/>
  <c r="AC675" i="1"/>
  <c r="AD675" i="1" s="1"/>
  <c r="AC676" i="1"/>
  <c r="AD676" i="1" s="1"/>
  <c r="AC677" i="1"/>
  <c r="AC678" i="1"/>
  <c r="AC679" i="1"/>
  <c r="AC680" i="1"/>
  <c r="AD680" i="1" s="1"/>
  <c r="AC681" i="1"/>
  <c r="AD681" i="1" s="1"/>
  <c r="AC682" i="1"/>
  <c r="AD682" i="1" s="1"/>
  <c r="AC683" i="1"/>
  <c r="AD683" i="1" s="1"/>
  <c r="AC684" i="1"/>
  <c r="AD684" i="1" s="1"/>
  <c r="AC685" i="1"/>
  <c r="AC686" i="1"/>
  <c r="AC687" i="1"/>
  <c r="AC688" i="1"/>
  <c r="AD688" i="1" s="1"/>
  <c r="AC689" i="1"/>
  <c r="AD689" i="1" s="1"/>
  <c r="AC690" i="1"/>
  <c r="AD690" i="1" s="1"/>
  <c r="AC691" i="1"/>
  <c r="AD691" i="1" s="1"/>
  <c r="AC692" i="1"/>
  <c r="AD692" i="1" s="1"/>
  <c r="AC693" i="1"/>
  <c r="AD693" i="1" s="1"/>
  <c r="AC694" i="1"/>
  <c r="AD694" i="1" s="1"/>
  <c r="AC695" i="1"/>
  <c r="AC696" i="1"/>
  <c r="AD696" i="1" s="1"/>
  <c r="AC697" i="1"/>
  <c r="AD697" i="1" s="1"/>
  <c r="AC698" i="1"/>
  <c r="AD698" i="1" s="1"/>
  <c r="AC699" i="1"/>
  <c r="AC700" i="1"/>
  <c r="AC701" i="1"/>
  <c r="AC702" i="1"/>
  <c r="AC703" i="1"/>
  <c r="AC704" i="1"/>
  <c r="AD704" i="1" s="1"/>
  <c r="AC705" i="1"/>
  <c r="AD705" i="1" s="1"/>
  <c r="AC706" i="1"/>
  <c r="AD706" i="1" s="1"/>
  <c r="AC707" i="1"/>
  <c r="AD707" i="1" s="1"/>
  <c r="AC708" i="1"/>
  <c r="AD708" i="1" s="1"/>
  <c r="AC709" i="1"/>
  <c r="AC710" i="1"/>
  <c r="AC711" i="1"/>
  <c r="AC712" i="1"/>
  <c r="AD712" i="1" s="1"/>
  <c r="AC713" i="1"/>
  <c r="AD713" i="1" s="1"/>
  <c r="AC714" i="1"/>
  <c r="AD714" i="1" s="1"/>
  <c r="AC715" i="1"/>
  <c r="AD715" i="1" s="1"/>
  <c r="AC716" i="1"/>
  <c r="AD716" i="1" s="1"/>
  <c r="AC717" i="1"/>
  <c r="AC718" i="1"/>
  <c r="AC719" i="1"/>
  <c r="AC720" i="1"/>
  <c r="AD720" i="1" s="1"/>
  <c r="AC721" i="1"/>
  <c r="AD721" i="1" s="1"/>
  <c r="AC722" i="1"/>
  <c r="AD722" i="1" s="1"/>
  <c r="AC723" i="1"/>
  <c r="AD723" i="1" s="1"/>
  <c r="AC724" i="1"/>
  <c r="AD724" i="1" s="1"/>
  <c r="AC725" i="1"/>
  <c r="AD725" i="1" s="1"/>
  <c r="AC726" i="1"/>
  <c r="AD726" i="1" s="1"/>
  <c r="AC727" i="1"/>
  <c r="AC728" i="1"/>
  <c r="AD728" i="1" s="1"/>
  <c r="AC729" i="1"/>
  <c r="AD729" i="1" s="1"/>
  <c r="AC730" i="1"/>
  <c r="AD730" i="1" s="1"/>
  <c r="AC731" i="1"/>
  <c r="AC732" i="1"/>
  <c r="AC733" i="1"/>
  <c r="AC734" i="1"/>
  <c r="AC735" i="1"/>
  <c r="AC736" i="1"/>
  <c r="AD736" i="1" s="1"/>
  <c r="AC737" i="1"/>
  <c r="AD737" i="1" s="1"/>
  <c r="AC738" i="1"/>
  <c r="AD738" i="1" s="1"/>
  <c r="AC739" i="1"/>
  <c r="AD739" i="1" s="1"/>
  <c r="AC740" i="1"/>
  <c r="AD740" i="1" s="1"/>
  <c r="AC741" i="1"/>
  <c r="AC742" i="1"/>
  <c r="AC743" i="1"/>
  <c r="AC744" i="1"/>
  <c r="AD744" i="1" s="1"/>
  <c r="AC745" i="1"/>
  <c r="AD745" i="1" s="1"/>
  <c r="AC746" i="1"/>
  <c r="AD746" i="1" s="1"/>
  <c r="AC747" i="1"/>
  <c r="AD747" i="1" s="1"/>
  <c r="AC748" i="1"/>
  <c r="AD748" i="1" s="1"/>
  <c r="AC749" i="1"/>
  <c r="AC750" i="1"/>
  <c r="AC751" i="1"/>
  <c r="AC752" i="1"/>
  <c r="AD752" i="1" s="1"/>
  <c r="AC753" i="1"/>
  <c r="AD753" i="1" s="1"/>
  <c r="AC754" i="1"/>
  <c r="AD754" i="1" s="1"/>
  <c r="AC755" i="1"/>
  <c r="AD755" i="1" s="1"/>
  <c r="AC756" i="1"/>
  <c r="AD756" i="1" s="1"/>
  <c r="AC757" i="1"/>
  <c r="AD757" i="1" s="1"/>
  <c r="AC758" i="1"/>
  <c r="AD758" i="1" s="1"/>
  <c r="AC759" i="1"/>
  <c r="AC760" i="1"/>
  <c r="AD760" i="1" s="1"/>
  <c r="AC761" i="1"/>
  <c r="AD761" i="1" s="1"/>
  <c r="AC762" i="1"/>
  <c r="AD762" i="1" s="1"/>
  <c r="AC763" i="1"/>
  <c r="AC764" i="1"/>
  <c r="AC765" i="1"/>
  <c r="AC766" i="1"/>
  <c r="AC767" i="1"/>
  <c r="AC768" i="1"/>
  <c r="AD768" i="1" s="1"/>
  <c r="AC769" i="1"/>
  <c r="AD769" i="1" s="1"/>
  <c r="AC770" i="1"/>
  <c r="AD770" i="1" s="1"/>
  <c r="AC771" i="1"/>
  <c r="AD771" i="1" s="1"/>
  <c r="AC772" i="1"/>
  <c r="AD772" i="1" s="1"/>
  <c r="AC773" i="1"/>
  <c r="AC774" i="1"/>
  <c r="AC775" i="1"/>
  <c r="AC776" i="1"/>
  <c r="AD776" i="1" s="1"/>
  <c r="AC777" i="1"/>
  <c r="AD777" i="1" s="1"/>
  <c r="AC778" i="1"/>
  <c r="AD778" i="1" s="1"/>
  <c r="AC779" i="1"/>
  <c r="AD779" i="1" s="1"/>
  <c r="AC780" i="1"/>
  <c r="AD780" i="1" s="1"/>
  <c r="AC781" i="1"/>
  <c r="AC782" i="1"/>
  <c r="AC783" i="1"/>
  <c r="AC784" i="1"/>
  <c r="AD784" i="1" s="1"/>
  <c r="AC785" i="1"/>
  <c r="AD785" i="1" s="1"/>
  <c r="AC786" i="1"/>
  <c r="AD786" i="1" s="1"/>
  <c r="AC787" i="1"/>
  <c r="AD787" i="1" s="1"/>
  <c r="AC788" i="1"/>
  <c r="AD788" i="1" s="1"/>
  <c r="AC789" i="1"/>
  <c r="AD789" i="1" s="1"/>
  <c r="AC790" i="1"/>
  <c r="AD790" i="1" s="1"/>
  <c r="AC791" i="1"/>
  <c r="AC792" i="1"/>
  <c r="AD792" i="1" s="1"/>
  <c r="AC793" i="1"/>
  <c r="AD793" i="1" s="1"/>
  <c r="AC794" i="1"/>
  <c r="AD794" i="1" s="1"/>
  <c r="AC795" i="1"/>
  <c r="AC796" i="1"/>
  <c r="AC797" i="1"/>
  <c r="AC798" i="1"/>
  <c r="AC799" i="1"/>
  <c r="AC800" i="1"/>
  <c r="AD800" i="1" s="1"/>
  <c r="AC801" i="1"/>
  <c r="AD801" i="1" s="1"/>
  <c r="AC802" i="1"/>
  <c r="AD802" i="1" s="1"/>
  <c r="AC803" i="1"/>
  <c r="AD803" i="1" s="1"/>
  <c r="AC804" i="1"/>
  <c r="AD804" i="1" s="1"/>
  <c r="AC805" i="1"/>
  <c r="AC806" i="1"/>
  <c r="AC807" i="1"/>
  <c r="AC808" i="1"/>
  <c r="AD808" i="1" s="1"/>
  <c r="AC809" i="1"/>
  <c r="AD809" i="1" s="1"/>
  <c r="AC810" i="1"/>
  <c r="AD810" i="1" s="1"/>
  <c r="AC811" i="1"/>
  <c r="AD811" i="1" s="1"/>
  <c r="AC812" i="1"/>
  <c r="AD812" i="1" s="1"/>
  <c r="AC813" i="1"/>
  <c r="AC814" i="1"/>
  <c r="AC815" i="1"/>
  <c r="AC816" i="1"/>
  <c r="AD816" i="1" s="1"/>
  <c r="AC817" i="1"/>
  <c r="AD817" i="1" s="1"/>
  <c r="AC818" i="1"/>
  <c r="AD818" i="1" s="1"/>
  <c r="AC819" i="1"/>
  <c r="AD819" i="1" s="1"/>
  <c r="AC820" i="1"/>
  <c r="AD820" i="1" s="1"/>
  <c r="AC821" i="1"/>
  <c r="AD821" i="1" s="1"/>
  <c r="AC822" i="1"/>
  <c r="AD822" i="1" s="1"/>
  <c r="AC823" i="1"/>
  <c r="AC824" i="1"/>
  <c r="AD824" i="1" s="1"/>
  <c r="AC825" i="1"/>
  <c r="AD825" i="1" s="1"/>
  <c r="AC826" i="1"/>
  <c r="AD826" i="1" s="1"/>
  <c r="AC827" i="1"/>
  <c r="AC828" i="1"/>
  <c r="AC829" i="1"/>
  <c r="AC830" i="1"/>
  <c r="AC831" i="1"/>
  <c r="AC832" i="1"/>
  <c r="AD832" i="1" s="1"/>
  <c r="AC833" i="1"/>
  <c r="AD833" i="1" s="1"/>
  <c r="AC834" i="1"/>
  <c r="AD834" i="1" s="1"/>
  <c r="AC835" i="1"/>
  <c r="AD835" i="1" s="1"/>
  <c r="AC836" i="1"/>
  <c r="AD836" i="1" s="1"/>
  <c r="AC837" i="1"/>
  <c r="AC838" i="1"/>
  <c r="AC839" i="1"/>
  <c r="AC840" i="1"/>
  <c r="AD840" i="1" s="1"/>
  <c r="AC841" i="1"/>
  <c r="AD841" i="1" s="1"/>
  <c r="AC842" i="1"/>
  <c r="AD842" i="1" s="1"/>
  <c r="AC843" i="1"/>
  <c r="AD843" i="1" s="1"/>
  <c r="AC844" i="1"/>
  <c r="AD844" i="1" s="1"/>
  <c r="AC845" i="1"/>
  <c r="AC846" i="1"/>
  <c r="AC847" i="1"/>
  <c r="AC848" i="1"/>
  <c r="AD848" i="1" s="1"/>
  <c r="AC849" i="1"/>
  <c r="AD849" i="1" s="1"/>
  <c r="AC850" i="1"/>
  <c r="AC851" i="1"/>
  <c r="AD851" i="1" s="1"/>
  <c r="AC852" i="1"/>
  <c r="AD852" i="1" s="1"/>
  <c r="AC853" i="1"/>
  <c r="AD853" i="1" s="1"/>
  <c r="AC854" i="1"/>
  <c r="AD854" i="1" s="1"/>
  <c r="AC855" i="1"/>
  <c r="AC856" i="1"/>
  <c r="AD856" i="1" s="1"/>
  <c r="AC857" i="1"/>
  <c r="AD857" i="1" s="1"/>
  <c r="AC858" i="1"/>
  <c r="AD858" i="1" s="1"/>
  <c r="AC859" i="1"/>
  <c r="AC860" i="1"/>
  <c r="AC861" i="1"/>
  <c r="AC862" i="1"/>
  <c r="AD862" i="1" s="1"/>
  <c r="AC863" i="1"/>
  <c r="AC864" i="1"/>
  <c r="AD864" i="1" s="1"/>
  <c r="AC865" i="1"/>
  <c r="AD865" i="1" s="1"/>
  <c r="AC866" i="1"/>
  <c r="AD866" i="1" s="1"/>
  <c r="AC867" i="1"/>
  <c r="AC868" i="1"/>
  <c r="AC869" i="1"/>
  <c r="AC870" i="1"/>
  <c r="AC871" i="1"/>
  <c r="AC872" i="1"/>
  <c r="AD872" i="1" s="1"/>
  <c r="AC873" i="1"/>
  <c r="AD873" i="1" s="1"/>
  <c r="AC874" i="1"/>
  <c r="AD874" i="1" s="1"/>
  <c r="AC875" i="1"/>
  <c r="AD875" i="1" s="1"/>
  <c r="AC876" i="1"/>
  <c r="AC877" i="1"/>
  <c r="AC878" i="1"/>
  <c r="AC879" i="1"/>
  <c r="AC880" i="1"/>
  <c r="AD880" i="1" s="1"/>
  <c r="AC881" i="1"/>
  <c r="AD881" i="1" s="1"/>
  <c r="AC882" i="1"/>
  <c r="AD882" i="1" s="1"/>
  <c r="AC883" i="1"/>
  <c r="AD883" i="1" s="1"/>
  <c r="AC884" i="1"/>
  <c r="AD884" i="1" s="1"/>
  <c r="AC885" i="1"/>
  <c r="AC886" i="1"/>
  <c r="AC887" i="1"/>
  <c r="AC888" i="1"/>
  <c r="AD888" i="1" s="1"/>
  <c r="AC889" i="1"/>
  <c r="AD889" i="1" s="1"/>
  <c r="AC890" i="1"/>
  <c r="AD890" i="1" s="1"/>
  <c r="AC891" i="1"/>
  <c r="AD891" i="1" s="1"/>
  <c r="AC892" i="1"/>
  <c r="AD892" i="1" s="1"/>
  <c r="AC893" i="1"/>
  <c r="AC894" i="1"/>
  <c r="AC895" i="1"/>
  <c r="AC896" i="1"/>
  <c r="AD896" i="1" s="1"/>
  <c r="AC897" i="1"/>
  <c r="AD897" i="1" s="1"/>
  <c r="AC898" i="1"/>
  <c r="AD898" i="1" s="1"/>
  <c r="AC899" i="1"/>
  <c r="AD899" i="1" s="1"/>
  <c r="AC900" i="1"/>
  <c r="AD900" i="1" s="1"/>
  <c r="AC901" i="1"/>
  <c r="AC902" i="1"/>
  <c r="AC903" i="1"/>
  <c r="AC904" i="1"/>
  <c r="AD904" i="1" s="1"/>
  <c r="AC905" i="1"/>
  <c r="AD905" i="1" s="1"/>
  <c r="AC906" i="1"/>
  <c r="AD906" i="1" s="1"/>
  <c r="AC907" i="1"/>
  <c r="AD907" i="1" s="1"/>
  <c r="AC908" i="1"/>
  <c r="AD908" i="1" s="1"/>
  <c r="AC909" i="1"/>
  <c r="AC910" i="1"/>
  <c r="AC911" i="1"/>
  <c r="AC912" i="1"/>
  <c r="AD912" i="1" s="1"/>
  <c r="AC913" i="1"/>
  <c r="AD913" i="1" s="1"/>
  <c r="AC914" i="1"/>
  <c r="AD914" i="1" s="1"/>
  <c r="AC915" i="1"/>
  <c r="AD915" i="1" s="1"/>
  <c r="AC916" i="1"/>
  <c r="AD916" i="1" s="1"/>
  <c r="AC917" i="1"/>
  <c r="AD917" i="1" s="1"/>
  <c r="AC918" i="1"/>
  <c r="AD918" i="1" s="1"/>
  <c r="AC919" i="1"/>
  <c r="AC920" i="1"/>
  <c r="AD920" i="1" s="1"/>
  <c r="AC921" i="1"/>
  <c r="AD921" i="1" s="1"/>
  <c r="AC922" i="1"/>
  <c r="AC923" i="1"/>
  <c r="AC924" i="1"/>
  <c r="AC925" i="1"/>
  <c r="AC926" i="1"/>
  <c r="AD926" i="1" s="1"/>
  <c r="AC927" i="1"/>
  <c r="AC928" i="1"/>
  <c r="AD928" i="1" s="1"/>
  <c r="AC929" i="1"/>
  <c r="AD929" i="1" s="1"/>
  <c r="AC930" i="1"/>
  <c r="AD930" i="1" s="1"/>
  <c r="AC931" i="1"/>
  <c r="AC932" i="1"/>
  <c r="AC933" i="1"/>
  <c r="AC934" i="1"/>
  <c r="AC935" i="1"/>
  <c r="AC936" i="1"/>
  <c r="AD936" i="1" s="1"/>
  <c r="AC937" i="1"/>
  <c r="AD937" i="1" s="1"/>
  <c r="AC938" i="1"/>
  <c r="AD938" i="1" s="1"/>
  <c r="AC939" i="1"/>
  <c r="AD939" i="1" s="1"/>
  <c r="AC940" i="1"/>
  <c r="AC941" i="1"/>
  <c r="AC942" i="1"/>
  <c r="AC943" i="1"/>
  <c r="AC944" i="1"/>
  <c r="AD944" i="1" s="1"/>
  <c r="AC945" i="1"/>
  <c r="AD945" i="1" s="1"/>
  <c r="AC946" i="1"/>
  <c r="AD946" i="1" s="1"/>
  <c r="AC947" i="1"/>
  <c r="AD947" i="1" s="1"/>
  <c r="AC948" i="1"/>
  <c r="AD948" i="1" s="1"/>
  <c r="AC949" i="1"/>
  <c r="AC950" i="1"/>
  <c r="AC951" i="1"/>
  <c r="AC952" i="1"/>
  <c r="AD952" i="1" s="1"/>
  <c r="AC953" i="1"/>
  <c r="AD953" i="1" s="1"/>
  <c r="AC954" i="1"/>
  <c r="AD954" i="1" s="1"/>
  <c r="AC955" i="1"/>
  <c r="AD955" i="1" s="1"/>
  <c r="AC956" i="1"/>
  <c r="AD956" i="1" s="1"/>
  <c r="AC957" i="1"/>
  <c r="AC958" i="1"/>
  <c r="AC959" i="1"/>
  <c r="AC960" i="1"/>
  <c r="AD960" i="1" s="1"/>
  <c r="AC961" i="1"/>
  <c r="AD961" i="1" s="1"/>
  <c r="AC962" i="1"/>
  <c r="AD962" i="1" s="1"/>
  <c r="AC963" i="1"/>
  <c r="AD963" i="1" s="1"/>
  <c r="AC964" i="1"/>
  <c r="AD964" i="1" s="1"/>
  <c r="AC965" i="1"/>
  <c r="AC966" i="1"/>
  <c r="AC967" i="1"/>
  <c r="AC968" i="1"/>
  <c r="AD968" i="1" s="1"/>
  <c r="AC969" i="1"/>
  <c r="AC970" i="1"/>
  <c r="AD970" i="1" s="1"/>
  <c r="AC971" i="1"/>
  <c r="AD971" i="1" s="1"/>
  <c r="AC972" i="1"/>
  <c r="AD972" i="1" s="1"/>
  <c r="AC973" i="1"/>
  <c r="AC974" i="1"/>
  <c r="AC975" i="1"/>
  <c r="AC976" i="1"/>
  <c r="AD976" i="1" s="1"/>
  <c r="AC977" i="1"/>
  <c r="AD977" i="1" s="1"/>
  <c r="AC978" i="1"/>
  <c r="AD978" i="1" s="1"/>
  <c r="AC979" i="1"/>
  <c r="AD979" i="1" s="1"/>
  <c r="AC980" i="1"/>
  <c r="AD980" i="1" s="1"/>
  <c r="AC981" i="1"/>
  <c r="AD981" i="1" s="1"/>
  <c r="AC982" i="1"/>
  <c r="AD982" i="1" s="1"/>
  <c r="AC983" i="1"/>
  <c r="AC984" i="1"/>
  <c r="AD984" i="1" s="1"/>
  <c r="AC2" i="1"/>
  <c r="AD2" i="1" s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2" i="1"/>
</calcChain>
</file>

<file path=xl/sharedStrings.xml><?xml version="1.0" encoding="utf-8"?>
<sst xmlns="http://schemas.openxmlformats.org/spreadsheetml/2006/main" count="13810" uniqueCount="2108">
  <si>
    <t>Patient_ID</t>
  </si>
  <si>
    <t>Age</t>
  </si>
  <si>
    <t>Gender</t>
  </si>
  <si>
    <t>Condition</t>
  </si>
  <si>
    <t>Procedure</t>
  </si>
  <si>
    <t>Cost</t>
  </si>
  <si>
    <t>Length_of_Stay</t>
  </si>
  <si>
    <t>Readmission</t>
  </si>
  <si>
    <t>Outcome</t>
  </si>
  <si>
    <t>Satisfaction</t>
  </si>
  <si>
    <t>Patient Name</t>
  </si>
  <si>
    <t>Mobile Number</t>
  </si>
  <si>
    <t>Aadhar Number</t>
  </si>
  <si>
    <t>Admission Date</t>
  </si>
  <si>
    <t>Discharge Date</t>
  </si>
  <si>
    <t>Admission Type</t>
  </si>
  <si>
    <t>Doctor Name</t>
  </si>
  <si>
    <t>Department</t>
  </si>
  <si>
    <t>City</t>
  </si>
  <si>
    <t>State</t>
  </si>
  <si>
    <t>Insurance Provider</t>
  </si>
  <si>
    <t>Female</t>
  </si>
  <si>
    <t>Heart Disease</t>
  </si>
  <si>
    <t>Angioplasty</t>
  </si>
  <si>
    <t>No</t>
  </si>
  <si>
    <t>Recovered</t>
  </si>
  <si>
    <t>Rahul K</t>
  </si>
  <si>
    <t>9536610626</t>
  </si>
  <si>
    <t>463425993311</t>
  </si>
  <si>
    <t>Regular</t>
  </si>
  <si>
    <t>Dr. Anitha</t>
  </si>
  <si>
    <t>Cardiology</t>
  </si>
  <si>
    <t>Salem</t>
  </si>
  <si>
    <t>Tamil Nadu</t>
  </si>
  <si>
    <t>Care Health</t>
  </si>
  <si>
    <t>Male</t>
  </si>
  <si>
    <t>Diabetes</t>
  </si>
  <si>
    <t>Insulin Therapy</t>
  </si>
  <si>
    <t>Yes</t>
  </si>
  <si>
    <t>Stable</t>
  </si>
  <si>
    <t>Priya K</t>
  </si>
  <si>
    <t>9890942920</t>
  </si>
  <si>
    <t>888053249982</t>
  </si>
  <si>
    <t>Emergency</t>
  </si>
  <si>
    <t>Dr. Kumar</t>
  </si>
  <si>
    <t>General Medicine</t>
  </si>
  <si>
    <t>ICICI Lombard</t>
  </si>
  <si>
    <t>Fractured Arm</t>
  </si>
  <si>
    <t>X-Ray and Splint</t>
  </si>
  <si>
    <t>Anitha S</t>
  </si>
  <si>
    <t>9722377704</t>
  </si>
  <si>
    <t>806878579717</t>
  </si>
  <si>
    <t>Dr. Priya</t>
  </si>
  <si>
    <t>Chennai</t>
  </si>
  <si>
    <t>Stroke</t>
  </si>
  <si>
    <t>CT Scan and Medication</t>
  </si>
  <si>
    <t>Priya R</t>
  </si>
  <si>
    <t>9210501275</t>
  </si>
  <si>
    <t>048574927322</t>
  </si>
  <si>
    <t>Neurology</t>
  </si>
  <si>
    <t>Cancer</t>
  </si>
  <si>
    <t>Surgery and Chemotherapy</t>
  </si>
  <si>
    <t>Rahul M</t>
  </si>
  <si>
    <t>9937994428</t>
  </si>
  <si>
    <t>701829336254</t>
  </si>
  <si>
    <t>Oncology</t>
  </si>
  <si>
    <t>Hypertension</t>
  </si>
  <si>
    <t>Medication and Counseling</t>
  </si>
  <si>
    <t>Sneha M</t>
  </si>
  <si>
    <t>9839666485</t>
  </si>
  <si>
    <t>040356241104</t>
  </si>
  <si>
    <t>Dr. Arjun</t>
  </si>
  <si>
    <t>Coimbatore</t>
  </si>
  <si>
    <t>Appendicitis</t>
  </si>
  <si>
    <t>Appendectomy</t>
  </si>
  <si>
    <t>9990191189</t>
  </si>
  <si>
    <t>741976659891</t>
  </si>
  <si>
    <t>Madurai</t>
  </si>
  <si>
    <t>HDFC Ergo</t>
  </si>
  <si>
    <t>Fractured Leg</t>
  </si>
  <si>
    <t>Cast and Physical Therapy</t>
  </si>
  <si>
    <t>Ramesh M</t>
  </si>
  <si>
    <t>9034409724</t>
  </si>
  <si>
    <t>966288911724</t>
  </si>
  <si>
    <t>Erode</t>
  </si>
  <si>
    <t>Heart Attack</t>
  </si>
  <si>
    <t>Cardiac Catheterization</t>
  </si>
  <si>
    <t>9800909058</t>
  </si>
  <si>
    <t>124722651234</t>
  </si>
  <si>
    <t>Allergic Reaction</t>
  </si>
  <si>
    <t>Epinephrine Injection</t>
  </si>
  <si>
    <t>Meena R</t>
  </si>
  <si>
    <t>9811846359</t>
  </si>
  <si>
    <t>217942722300</t>
  </si>
  <si>
    <t>Respiratory Infection</t>
  </si>
  <si>
    <t>Antibiotics and Rest</t>
  </si>
  <si>
    <t>Arun R</t>
  </si>
  <si>
    <t>9750951666</t>
  </si>
  <si>
    <t>622340268501</t>
  </si>
  <si>
    <t>Prostate Cancer</t>
  </si>
  <si>
    <t>Radiation Therapy</t>
  </si>
  <si>
    <t>Kavya K</t>
  </si>
  <si>
    <t>9456004661</t>
  </si>
  <si>
    <t>351549077933</t>
  </si>
  <si>
    <t>Star Health</t>
  </si>
  <si>
    <t>Childbirth</t>
  </si>
  <si>
    <t>Delivery and Postnatal Care</t>
  </si>
  <si>
    <t>Ramesh S</t>
  </si>
  <si>
    <t>9836300523</t>
  </si>
  <si>
    <t>341836499391</t>
  </si>
  <si>
    <t>Trichy</t>
  </si>
  <si>
    <t>Kidney Stones</t>
  </si>
  <si>
    <t>Lithotripsy</t>
  </si>
  <si>
    <t>Divya S</t>
  </si>
  <si>
    <t>9024137963</t>
  </si>
  <si>
    <t>495796338854</t>
  </si>
  <si>
    <t>Osteoarthritis</t>
  </si>
  <si>
    <t>Physical Therapy and Pain Management</t>
  </si>
  <si>
    <t>9806042379</t>
  </si>
  <si>
    <t>611728857459</t>
  </si>
  <si>
    <t>Ramesh R</t>
  </si>
  <si>
    <t>9513540393</t>
  </si>
  <si>
    <t>611275081235</t>
  </si>
  <si>
    <t>9299600692</t>
  </si>
  <si>
    <t>950769888789</t>
  </si>
  <si>
    <t>Divya K</t>
  </si>
  <si>
    <t>9176084637</t>
  </si>
  <si>
    <t>689758616989</t>
  </si>
  <si>
    <t>Arun K</t>
  </si>
  <si>
    <t>9967772476</t>
  </si>
  <si>
    <t>131227805336</t>
  </si>
  <si>
    <t>9098073839</t>
  </si>
  <si>
    <t>868153804746</t>
  </si>
  <si>
    <t>Kiran M</t>
  </si>
  <si>
    <t>9405091639</t>
  </si>
  <si>
    <t>143732360108</t>
  </si>
  <si>
    <t>Kiran S</t>
  </si>
  <si>
    <t>9503926050</t>
  </si>
  <si>
    <t>499989615755</t>
  </si>
  <si>
    <t>Dr. Rajesh</t>
  </si>
  <si>
    <t>9117973797</t>
  </si>
  <si>
    <t>885308932850</t>
  </si>
  <si>
    <t>9762649708</t>
  </si>
  <si>
    <t>878810521129</t>
  </si>
  <si>
    <t>Sneha S</t>
  </si>
  <si>
    <t>9741790184</t>
  </si>
  <si>
    <t>044043347114</t>
  </si>
  <si>
    <t>9755352363</t>
  </si>
  <si>
    <t>530822566599</t>
  </si>
  <si>
    <t>Suresh S</t>
  </si>
  <si>
    <t>9970425834</t>
  </si>
  <si>
    <t>560661683404</t>
  </si>
  <si>
    <t>9901244315</t>
  </si>
  <si>
    <t>853319887206</t>
  </si>
  <si>
    <t>Meena S</t>
  </si>
  <si>
    <t>9816260962</t>
  </si>
  <si>
    <t>169514156209</t>
  </si>
  <si>
    <t>Suresh R</t>
  </si>
  <si>
    <t>9526883168</t>
  </si>
  <si>
    <t>409022769427</t>
  </si>
  <si>
    <t>Anitha M</t>
  </si>
  <si>
    <t>9993497890</t>
  </si>
  <si>
    <t>504348123657</t>
  </si>
  <si>
    <t>9085046914</t>
  </si>
  <si>
    <t>237968907571</t>
  </si>
  <si>
    <t>9077379331</t>
  </si>
  <si>
    <t>503305942505</t>
  </si>
  <si>
    <t>9086611249</t>
  </si>
  <si>
    <t>302255245450</t>
  </si>
  <si>
    <t>Sneha K</t>
  </si>
  <si>
    <t>9848183381</t>
  </si>
  <si>
    <t>229586358757</t>
  </si>
  <si>
    <t>Sneha R</t>
  </si>
  <si>
    <t>9888696818</t>
  </si>
  <si>
    <t>175551880106</t>
  </si>
  <si>
    <t>Kiran K</t>
  </si>
  <si>
    <t>9476610497</t>
  </si>
  <si>
    <t>008068990990</t>
  </si>
  <si>
    <t>Meena M</t>
  </si>
  <si>
    <t>9457050071</t>
  </si>
  <si>
    <t>849321330008</t>
  </si>
  <si>
    <t>9723743489</t>
  </si>
  <si>
    <t>932791412747</t>
  </si>
  <si>
    <t>9411777086</t>
  </si>
  <si>
    <t>679620353682</t>
  </si>
  <si>
    <t>9223397202</t>
  </si>
  <si>
    <t>795587984727</t>
  </si>
  <si>
    <t>Suresh M</t>
  </si>
  <si>
    <t>9705330758</t>
  </si>
  <si>
    <t>349650209741</t>
  </si>
  <si>
    <t>9123468479</t>
  </si>
  <si>
    <t>363735867617</t>
  </si>
  <si>
    <t>9808521079</t>
  </si>
  <si>
    <t>707710719056</t>
  </si>
  <si>
    <t>Kiran R</t>
  </si>
  <si>
    <t>9622047665</t>
  </si>
  <si>
    <t>429171445580</t>
  </si>
  <si>
    <t>Ramesh K</t>
  </si>
  <si>
    <t>9500451496</t>
  </si>
  <si>
    <t>702729969322</t>
  </si>
  <si>
    <t>Suresh K</t>
  </si>
  <si>
    <t>9015114690</t>
  </si>
  <si>
    <t>745153180548</t>
  </si>
  <si>
    <t>Vijay S</t>
  </si>
  <si>
    <t>9736303597</t>
  </si>
  <si>
    <t>208068663072</t>
  </si>
  <si>
    <t>9500916526</t>
  </si>
  <si>
    <t>583376556237</t>
  </si>
  <si>
    <t>9163783889</t>
  </si>
  <si>
    <t>312969329616</t>
  </si>
  <si>
    <t>Divya R</t>
  </si>
  <si>
    <t>9153897510</t>
  </si>
  <si>
    <t>619054179407</t>
  </si>
  <si>
    <t>9311259880</t>
  </si>
  <si>
    <t>580798487562</t>
  </si>
  <si>
    <t>Kavya S</t>
  </si>
  <si>
    <t>9514805827</t>
  </si>
  <si>
    <t>489586717775</t>
  </si>
  <si>
    <t>Meena K</t>
  </si>
  <si>
    <t>9741298479</t>
  </si>
  <si>
    <t>526506662583</t>
  </si>
  <si>
    <t>9640186343</t>
  </si>
  <si>
    <t>261405279823</t>
  </si>
  <si>
    <t>Vijay K</t>
  </si>
  <si>
    <t>9472827450</t>
  </si>
  <si>
    <t>969051296986</t>
  </si>
  <si>
    <t>9214077308</t>
  </si>
  <si>
    <t>429424747659</t>
  </si>
  <si>
    <t>9135410237</t>
  </si>
  <si>
    <t>447974569274</t>
  </si>
  <si>
    <t>9549546200</t>
  </si>
  <si>
    <t>235302955845</t>
  </si>
  <si>
    <t>9200751511</t>
  </si>
  <si>
    <t>405254315494</t>
  </si>
  <si>
    <t>9041548075</t>
  </si>
  <si>
    <t>451746873973</t>
  </si>
  <si>
    <t>9348365221</t>
  </si>
  <si>
    <t>320427014513</t>
  </si>
  <si>
    <t>9594923613</t>
  </si>
  <si>
    <t>876041309117</t>
  </si>
  <si>
    <t>9577262873</t>
  </si>
  <si>
    <t>840824727171</t>
  </si>
  <si>
    <t>Arun S</t>
  </si>
  <si>
    <t>9219884248</t>
  </si>
  <si>
    <t>136202813840</t>
  </si>
  <si>
    <t>Priya M</t>
  </si>
  <si>
    <t>9570745819</t>
  </si>
  <si>
    <t>119396542678</t>
  </si>
  <si>
    <t>9418642466</t>
  </si>
  <si>
    <t>627049645630</t>
  </si>
  <si>
    <t>Vijay M</t>
  </si>
  <si>
    <t>9624831826</t>
  </si>
  <si>
    <t>576169078093</t>
  </si>
  <si>
    <t>9619302011</t>
  </si>
  <si>
    <t>430523798802</t>
  </si>
  <si>
    <t>9906372430</t>
  </si>
  <si>
    <t>085187498443</t>
  </si>
  <si>
    <t>9005661128</t>
  </si>
  <si>
    <t>851031641043</t>
  </si>
  <si>
    <t>9378890744</t>
  </si>
  <si>
    <t>886847196320</t>
  </si>
  <si>
    <t>9655085460</t>
  </si>
  <si>
    <t>587342069294</t>
  </si>
  <si>
    <t>9993465847</t>
  </si>
  <si>
    <t>649983749389</t>
  </si>
  <si>
    <t>9217730174</t>
  </si>
  <si>
    <t>382884118090</t>
  </si>
  <si>
    <t>9106491260</t>
  </si>
  <si>
    <t>582480255423</t>
  </si>
  <si>
    <t>9175366809</t>
  </si>
  <si>
    <t>280528551452</t>
  </si>
  <si>
    <t>9824187108</t>
  </si>
  <si>
    <t>843536855802</t>
  </si>
  <si>
    <t>9707160069</t>
  </si>
  <si>
    <t>835267295142</t>
  </si>
  <si>
    <t>9747937207</t>
  </si>
  <si>
    <t>737745370073</t>
  </si>
  <si>
    <t>9472416344</t>
  </si>
  <si>
    <t>698237013930</t>
  </si>
  <si>
    <t>9550248289</t>
  </si>
  <si>
    <t>676393619157</t>
  </si>
  <si>
    <t>Kavya R</t>
  </si>
  <si>
    <t>9890786482</t>
  </si>
  <si>
    <t>582929278467</t>
  </si>
  <si>
    <t>9971873631</t>
  </si>
  <si>
    <t>216012567307</t>
  </si>
  <si>
    <t>9520558257</t>
  </si>
  <si>
    <t>515803157946</t>
  </si>
  <si>
    <t>9682735340</t>
  </si>
  <si>
    <t>872879523448</t>
  </si>
  <si>
    <t>9403650566</t>
  </si>
  <si>
    <t>705119534555</t>
  </si>
  <si>
    <t>9488930085</t>
  </si>
  <si>
    <t>887815959150</t>
  </si>
  <si>
    <t>Rahul R</t>
  </si>
  <si>
    <t>9884672172</t>
  </si>
  <si>
    <t>266451663145</t>
  </si>
  <si>
    <t>9067416751</t>
  </si>
  <si>
    <t>168848542532</t>
  </si>
  <si>
    <t>9919354705</t>
  </si>
  <si>
    <t>007163190794</t>
  </si>
  <si>
    <t>9038659826</t>
  </si>
  <si>
    <t>789624881110</t>
  </si>
  <si>
    <t>9146875862</t>
  </si>
  <si>
    <t>335533316335</t>
  </si>
  <si>
    <t>9163910995</t>
  </si>
  <si>
    <t>471592156577</t>
  </si>
  <si>
    <t>9039737364</t>
  </si>
  <si>
    <t>930621159648</t>
  </si>
  <si>
    <t>9200569364</t>
  </si>
  <si>
    <t>782229168430</t>
  </si>
  <si>
    <t>9933519790</t>
  </si>
  <si>
    <t>098035563508</t>
  </si>
  <si>
    <t>9396681019</t>
  </si>
  <si>
    <t>186600306144</t>
  </si>
  <si>
    <t>9953037750</t>
  </si>
  <si>
    <t>100072547565</t>
  </si>
  <si>
    <t>Kavya M</t>
  </si>
  <si>
    <t>9936002589</t>
  </si>
  <si>
    <t>011071933932</t>
  </si>
  <si>
    <t>9090201703</t>
  </si>
  <si>
    <t>377200976400</t>
  </si>
  <si>
    <t>9948607654</t>
  </si>
  <si>
    <t>688525334246</t>
  </si>
  <si>
    <t>Vijay R</t>
  </si>
  <si>
    <t>9129301784</t>
  </si>
  <si>
    <t>768472966181</t>
  </si>
  <si>
    <t>9256875623</t>
  </si>
  <si>
    <t>936623754627</t>
  </si>
  <si>
    <t>Rahul S</t>
  </si>
  <si>
    <t>9309557209</t>
  </si>
  <si>
    <t>467349992182</t>
  </si>
  <si>
    <t>9756078073</t>
  </si>
  <si>
    <t>422719617084</t>
  </si>
  <si>
    <t>9854217017</t>
  </si>
  <si>
    <t>634741402266</t>
  </si>
  <si>
    <t>Anitha R</t>
  </si>
  <si>
    <t>9361033698</t>
  </si>
  <si>
    <t>155714399428</t>
  </si>
  <si>
    <t>9803643060</t>
  </si>
  <si>
    <t>502655424413</t>
  </si>
  <si>
    <t>9801425062</t>
  </si>
  <si>
    <t>028101406372</t>
  </si>
  <si>
    <t>9576262437</t>
  </si>
  <si>
    <t>136518202635</t>
  </si>
  <si>
    <t>Priya S</t>
  </si>
  <si>
    <t>9285060258</t>
  </si>
  <si>
    <t>683591103464</t>
  </si>
  <si>
    <t>9166852797</t>
  </si>
  <si>
    <t>350633075987</t>
  </si>
  <si>
    <t>9520741398</t>
  </si>
  <si>
    <t>800190205546</t>
  </si>
  <si>
    <t>9501001327</t>
  </si>
  <si>
    <t>478155547922</t>
  </si>
  <si>
    <t>9350215724</t>
  </si>
  <si>
    <t>208614439838</t>
  </si>
  <si>
    <t>9637832344</t>
  </si>
  <si>
    <t>006228800352</t>
  </si>
  <si>
    <t>9117993869</t>
  </si>
  <si>
    <t>202344442630</t>
  </si>
  <si>
    <t>9629400183</t>
  </si>
  <si>
    <t>611770603425</t>
  </si>
  <si>
    <t>9120171845</t>
  </si>
  <si>
    <t>668574038242</t>
  </si>
  <si>
    <t>9267423663</t>
  </si>
  <si>
    <t>490706070910</t>
  </si>
  <si>
    <t>9956820795</t>
  </si>
  <si>
    <t>980577962062</t>
  </si>
  <si>
    <t>9329537875</t>
  </si>
  <si>
    <t>778683096716</t>
  </si>
  <si>
    <t>9066286663</t>
  </si>
  <si>
    <t>003588586397</t>
  </si>
  <si>
    <t>9348094989</t>
  </si>
  <si>
    <t>892472810370</t>
  </si>
  <si>
    <t>9350516880</t>
  </si>
  <si>
    <t>710078581135</t>
  </si>
  <si>
    <t>9540883969</t>
  </si>
  <si>
    <t>499702472016</t>
  </si>
  <si>
    <t>9243969765</t>
  </si>
  <si>
    <t>231921879941</t>
  </si>
  <si>
    <t>Divya M</t>
  </si>
  <si>
    <t>9004811990</t>
  </si>
  <si>
    <t>768509536179</t>
  </si>
  <si>
    <t>9984682224</t>
  </si>
  <si>
    <t>715061342378</t>
  </si>
  <si>
    <t>9889477455</t>
  </si>
  <si>
    <t>193511052944</t>
  </si>
  <si>
    <t>9855246807</t>
  </si>
  <si>
    <t>097559791629</t>
  </si>
  <si>
    <t>9116387997</t>
  </si>
  <si>
    <t>762769599768</t>
  </si>
  <si>
    <t>9180669639</t>
  </si>
  <si>
    <t>987841290831</t>
  </si>
  <si>
    <t>9892930198</t>
  </si>
  <si>
    <t>538287832686</t>
  </si>
  <si>
    <t>9976941469</t>
  </si>
  <si>
    <t>001469740985</t>
  </si>
  <si>
    <t>9374132472</t>
  </si>
  <si>
    <t>543950350706</t>
  </si>
  <si>
    <t>9243464564</t>
  </si>
  <si>
    <t>407832253575</t>
  </si>
  <si>
    <t>9277711464</t>
  </si>
  <si>
    <t>318003435112</t>
  </si>
  <si>
    <t>9638794144</t>
  </si>
  <si>
    <t>160796911443</t>
  </si>
  <si>
    <t>9091327236</t>
  </si>
  <si>
    <t>854028217638</t>
  </si>
  <si>
    <t>9071545596</t>
  </si>
  <si>
    <t>426088488103</t>
  </si>
  <si>
    <t>9740902799</t>
  </si>
  <si>
    <t>161115733393</t>
  </si>
  <si>
    <t>9197875139</t>
  </si>
  <si>
    <t>553955426895</t>
  </si>
  <si>
    <t>9927942120</t>
  </si>
  <si>
    <t>508367395840</t>
  </si>
  <si>
    <t>9874515889</t>
  </si>
  <si>
    <t>546365167045</t>
  </si>
  <si>
    <t>9675593248</t>
  </si>
  <si>
    <t>786509776504</t>
  </si>
  <si>
    <t>9062110500</t>
  </si>
  <si>
    <t>748553706216</t>
  </si>
  <si>
    <t>9334067999</t>
  </si>
  <si>
    <t>003954489093</t>
  </si>
  <si>
    <t>9310608084</t>
  </si>
  <si>
    <t>669197485585</t>
  </si>
  <si>
    <t>9151010319</t>
  </si>
  <si>
    <t>190350870497</t>
  </si>
  <si>
    <t>9818146345</t>
  </si>
  <si>
    <t>083224763125</t>
  </si>
  <si>
    <t>Arun M</t>
  </si>
  <si>
    <t>9044045638</t>
  </si>
  <si>
    <t>519828397835</t>
  </si>
  <si>
    <t>9156221910</t>
  </si>
  <si>
    <t>153059372260</t>
  </si>
  <si>
    <t>9039241728</t>
  </si>
  <si>
    <t>035989147688</t>
  </si>
  <si>
    <t>9887927965</t>
  </si>
  <si>
    <t>056404943898</t>
  </si>
  <si>
    <t>9748793514</t>
  </si>
  <si>
    <t>974240644052</t>
  </si>
  <si>
    <t>9476853447</t>
  </si>
  <si>
    <t>042050336088</t>
  </si>
  <si>
    <t>9111027316</t>
  </si>
  <si>
    <t>152774713459</t>
  </si>
  <si>
    <t>9237015931</t>
  </si>
  <si>
    <t>857326995709</t>
  </si>
  <si>
    <t>9323642867</t>
  </si>
  <si>
    <t>961058139124</t>
  </si>
  <si>
    <t>9049736134</t>
  </si>
  <si>
    <t>744087710474</t>
  </si>
  <si>
    <t>9216534384</t>
  </si>
  <si>
    <t>588581899468</t>
  </si>
  <si>
    <t>9940684904</t>
  </si>
  <si>
    <t>190202632619</t>
  </si>
  <si>
    <t>9033081239</t>
  </si>
  <si>
    <t>187098014034</t>
  </si>
  <si>
    <t>9023722918</t>
  </si>
  <si>
    <t>502859292960</t>
  </si>
  <si>
    <t>9930499182</t>
  </si>
  <si>
    <t>030977235491</t>
  </si>
  <si>
    <t>9775371851</t>
  </si>
  <si>
    <t>453485512864</t>
  </si>
  <si>
    <t>9166722241</t>
  </si>
  <si>
    <t>415889619312</t>
  </si>
  <si>
    <t>9163254207</t>
  </si>
  <si>
    <t>267771123961</t>
  </si>
  <si>
    <t>9367404347</t>
  </si>
  <si>
    <t>721053896665</t>
  </si>
  <si>
    <t>9466678943</t>
  </si>
  <si>
    <t>776104586812</t>
  </si>
  <si>
    <t>9060636505</t>
  </si>
  <si>
    <t>901280505997</t>
  </si>
  <si>
    <t>9098876089</t>
  </si>
  <si>
    <t>680587086533</t>
  </si>
  <si>
    <t>9788035859</t>
  </si>
  <si>
    <t>877757380755</t>
  </si>
  <si>
    <t>9763634883</t>
  </si>
  <si>
    <t>590244034099</t>
  </si>
  <si>
    <t>9451018512</t>
  </si>
  <si>
    <t>111420620384</t>
  </si>
  <si>
    <t>9086295507</t>
  </si>
  <si>
    <t>351522783804</t>
  </si>
  <si>
    <t>Anitha K</t>
  </si>
  <si>
    <t>9913697025</t>
  </si>
  <si>
    <t>908106491894</t>
  </si>
  <si>
    <t>9151694236</t>
  </si>
  <si>
    <t>507596695939</t>
  </si>
  <si>
    <t>9461031813</t>
  </si>
  <si>
    <t>770426727642</t>
  </si>
  <si>
    <t>9422984052</t>
  </si>
  <si>
    <t>080017191377</t>
  </si>
  <si>
    <t>9115535849</t>
  </si>
  <si>
    <t>307014328041</t>
  </si>
  <si>
    <t>9694887436</t>
  </si>
  <si>
    <t>487220050202</t>
  </si>
  <si>
    <t>9616178034</t>
  </si>
  <si>
    <t>112861782239</t>
  </si>
  <si>
    <t>9950659476</t>
  </si>
  <si>
    <t>328511717515</t>
  </si>
  <si>
    <t>9326156715</t>
  </si>
  <si>
    <t>924436461526</t>
  </si>
  <si>
    <t>9311240529</t>
  </si>
  <si>
    <t>478535272573</t>
  </si>
  <si>
    <t>9186234414</t>
  </si>
  <si>
    <t>792194592924</t>
  </si>
  <si>
    <t>9192074631</t>
  </si>
  <si>
    <t>304495215005</t>
  </si>
  <si>
    <t>9336906638</t>
  </si>
  <si>
    <t>627220908547</t>
  </si>
  <si>
    <t>9805945693</t>
  </si>
  <si>
    <t>454765809814</t>
  </si>
  <si>
    <t>9766923501</t>
  </si>
  <si>
    <t>874767643349</t>
  </si>
  <si>
    <t>9495099386</t>
  </si>
  <si>
    <t>309857034530</t>
  </si>
  <si>
    <t>9025065919</t>
  </si>
  <si>
    <t>653217086268</t>
  </si>
  <si>
    <t>9514217517</t>
  </si>
  <si>
    <t>021734998598</t>
  </si>
  <si>
    <t>9628028303</t>
  </si>
  <si>
    <t>734413309179</t>
  </si>
  <si>
    <t>9189681052</t>
  </si>
  <si>
    <t>742424957006</t>
  </si>
  <si>
    <t>9342430801</t>
  </si>
  <si>
    <t>849940922844</t>
  </si>
  <si>
    <t>9362570965</t>
  </si>
  <si>
    <t>091541312851</t>
  </si>
  <si>
    <t>9002462223</t>
  </si>
  <si>
    <t>326661876362</t>
  </si>
  <si>
    <t>9203569711</t>
  </si>
  <si>
    <t>710572929158</t>
  </si>
  <si>
    <t>9379090172</t>
  </si>
  <si>
    <t>920651388517</t>
  </si>
  <si>
    <t>9250146918</t>
  </si>
  <si>
    <t>457583042727</t>
  </si>
  <si>
    <t>9013196659</t>
  </si>
  <si>
    <t>557759684358</t>
  </si>
  <si>
    <t>9074761762</t>
  </si>
  <si>
    <t>222515308959</t>
  </si>
  <si>
    <t>9876191895</t>
  </si>
  <si>
    <t>260159234369</t>
  </si>
  <si>
    <t>9403112322</t>
  </si>
  <si>
    <t>725872258503</t>
  </si>
  <si>
    <t>9749755976</t>
  </si>
  <si>
    <t>285796397996</t>
  </si>
  <si>
    <t>9102944489</t>
  </si>
  <si>
    <t>870893788685</t>
  </si>
  <si>
    <t>9950665179</t>
  </si>
  <si>
    <t>145340353805</t>
  </si>
  <si>
    <t>9918122246</t>
  </si>
  <si>
    <t>558909755365</t>
  </si>
  <si>
    <t>9036751963</t>
  </si>
  <si>
    <t>349174936695</t>
  </si>
  <si>
    <t>9634252185</t>
  </si>
  <si>
    <t>537671436822</t>
  </si>
  <si>
    <t>9447395214</t>
  </si>
  <si>
    <t>677668319039</t>
  </si>
  <si>
    <t>9822163530</t>
  </si>
  <si>
    <t>461109813676</t>
  </si>
  <si>
    <t>9807240945</t>
  </si>
  <si>
    <t>711912860199</t>
  </si>
  <si>
    <t>9132512566</t>
  </si>
  <si>
    <t>550920810407</t>
  </si>
  <si>
    <t>9996875879</t>
  </si>
  <si>
    <t>218295797522</t>
  </si>
  <si>
    <t>9462283076</t>
  </si>
  <si>
    <t>613268565809</t>
  </si>
  <si>
    <t>9765237377</t>
  </si>
  <si>
    <t>579263030008</t>
  </si>
  <si>
    <t>9949262134</t>
  </si>
  <si>
    <t>927456206067</t>
  </si>
  <si>
    <t>9874417495</t>
  </si>
  <si>
    <t>616411100413</t>
  </si>
  <si>
    <t>9718158070</t>
  </si>
  <si>
    <t>829771664479</t>
  </si>
  <si>
    <t>9536079508</t>
  </si>
  <si>
    <t>505268830521</t>
  </si>
  <si>
    <t>9130926405</t>
  </si>
  <si>
    <t>394771257597</t>
  </si>
  <si>
    <t>9873305413</t>
  </si>
  <si>
    <t>654141823438</t>
  </si>
  <si>
    <t>9275445048</t>
  </si>
  <si>
    <t>705429853239</t>
  </si>
  <si>
    <t>9753626231</t>
  </si>
  <si>
    <t>722554852325</t>
  </si>
  <si>
    <t>9898330737</t>
  </si>
  <si>
    <t>311432459118</t>
  </si>
  <si>
    <t>9342737554</t>
  </si>
  <si>
    <t>091462357879</t>
  </si>
  <si>
    <t>9728241231</t>
  </si>
  <si>
    <t>741914398849</t>
  </si>
  <si>
    <t>9362378304</t>
  </si>
  <si>
    <t>336913507822</t>
  </si>
  <si>
    <t>9988899067</t>
  </si>
  <si>
    <t>295544177303</t>
  </si>
  <si>
    <t>9948767150</t>
  </si>
  <si>
    <t>818330682881</t>
  </si>
  <si>
    <t>9184606314</t>
  </si>
  <si>
    <t>464759708753</t>
  </si>
  <si>
    <t>9676540225</t>
  </si>
  <si>
    <t>347069221469</t>
  </si>
  <si>
    <t>9252511290</t>
  </si>
  <si>
    <t>584413229442</t>
  </si>
  <si>
    <t>9380112643</t>
  </si>
  <si>
    <t>151062589762</t>
  </si>
  <si>
    <t>9554955208</t>
  </si>
  <si>
    <t>823589738633</t>
  </si>
  <si>
    <t>9117505841</t>
  </si>
  <si>
    <t>549316955120</t>
  </si>
  <si>
    <t>9214377491</t>
  </si>
  <si>
    <t>186743695338</t>
  </si>
  <si>
    <t>9567931330</t>
  </si>
  <si>
    <t>389935453579</t>
  </si>
  <si>
    <t>9270748245</t>
  </si>
  <si>
    <t>410676869626</t>
  </si>
  <si>
    <t>9179416156</t>
  </si>
  <si>
    <t>578403618461</t>
  </si>
  <si>
    <t>9916379224</t>
  </si>
  <si>
    <t>481683174658</t>
  </si>
  <si>
    <t>9866156662</t>
  </si>
  <si>
    <t>222334264489</t>
  </si>
  <si>
    <t>9821849996</t>
  </si>
  <si>
    <t>283521863401</t>
  </si>
  <si>
    <t>9078336313</t>
  </si>
  <si>
    <t>738662914692</t>
  </si>
  <si>
    <t>9686112723</t>
  </si>
  <si>
    <t>263712416156</t>
  </si>
  <si>
    <t>9543297400</t>
  </si>
  <si>
    <t>161509991478</t>
  </si>
  <si>
    <t>9509061838</t>
  </si>
  <si>
    <t>862352124493</t>
  </si>
  <si>
    <t>9186244377</t>
  </si>
  <si>
    <t>751191974816</t>
  </si>
  <si>
    <t>9992731781</t>
  </si>
  <si>
    <t>343596409303</t>
  </si>
  <si>
    <t>9006742206</t>
  </si>
  <si>
    <t>920759460671</t>
  </si>
  <si>
    <t>9968693665</t>
  </si>
  <si>
    <t>134011597585</t>
  </si>
  <si>
    <t>9965910446</t>
  </si>
  <si>
    <t>991738934140</t>
  </si>
  <si>
    <t>9021658854</t>
  </si>
  <si>
    <t>870212930168</t>
  </si>
  <si>
    <t>9893054766</t>
  </si>
  <si>
    <t>629840177132</t>
  </si>
  <si>
    <t>9885774849</t>
  </si>
  <si>
    <t>643980334830</t>
  </si>
  <si>
    <t>9003666199</t>
  </si>
  <si>
    <t>222347009993</t>
  </si>
  <si>
    <t>9729715098</t>
  </si>
  <si>
    <t>553690221717</t>
  </si>
  <si>
    <t>9439231323</t>
  </si>
  <si>
    <t>192003942546</t>
  </si>
  <si>
    <t>9181795791</t>
  </si>
  <si>
    <t>356996726052</t>
  </si>
  <si>
    <t>9033078032</t>
  </si>
  <si>
    <t>204018819843</t>
  </si>
  <si>
    <t>9222280540</t>
  </si>
  <si>
    <t>967773399117</t>
  </si>
  <si>
    <t>9607237026</t>
  </si>
  <si>
    <t>003681475175</t>
  </si>
  <si>
    <t>9982962557</t>
  </si>
  <si>
    <t>999498465405</t>
  </si>
  <si>
    <t>9935380188</t>
  </si>
  <si>
    <t>803018404626</t>
  </si>
  <si>
    <t>9967584033</t>
  </si>
  <si>
    <t>395128778603</t>
  </si>
  <si>
    <t>9549909636</t>
  </si>
  <si>
    <t>835108259138</t>
  </si>
  <si>
    <t>9693383164</t>
  </si>
  <si>
    <t>448684225455</t>
  </si>
  <si>
    <t>9051223890</t>
  </si>
  <si>
    <t>560589800433</t>
  </si>
  <si>
    <t>9407800519</t>
  </si>
  <si>
    <t>667379542399</t>
  </si>
  <si>
    <t>9404910202</t>
  </si>
  <si>
    <t>734323736896</t>
  </si>
  <si>
    <t>9199306451</t>
  </si>
  <si>
    <t>575394127948</t>
  </si>
  <si>
    <t>9073335082</t>
  </si>
  <si>
    <t>079075613717</t>
  </si>
  <si>
    <t>9029206498</t>
  </si>
  <si>
    <t>884497771282</t>
  </si>
  <si>
    <t>9114445907</t>
  </si>
  <si>
    <t>019121508049</t>
  </si>
  <si>
    <t>9163419700</t>
  </si>
  <si>
    <t>757699103893</t>
  </si>
  <si>
    <t>9377590042</t>
  </si>
  <si>
    <t>450979803605</t>
  </si>
  <si>
    <t>9029730502</t>
  </si>
  <si>
    <t>770249236939</t>
  </si>
  <si>
    <t>9133585209</t>
  </si>
  <si>
    <t>061745380086</t>
  </si>
  <si>
    <t>9241532921</t>
  </si>
  <si>
    <t>399015414719</t>
  </si>
  <si>
    <t>9543075591</t>
  </si>
  <si>
    <t>851635940834</t>
  </si>
  <si>
    <t>9888308504</t>
  </si>
  <si>
    <t>048077893734</t>
  </si>
  <si>
    <t>9848112850</t>
  </si>
  <si>
    <t>513474941111</t>
  </si>
  <si>
    <t>9313589494</t>
  </si>
  <si>
    <t>135538148150</t>
  </si>
  <si>
    <t>9045706330</t>
  </si>
  <si>
    <t>752711376483</t>
  </si>
  <si>
    <t>9364675201</t>
  </si>
  <si>
    <t>185861675564</t>
  </si>
  <si>
    <t>9718696101</t>
  </si>
  <si>
    <t>374691204950</t>
  </si>
  <si>
    <t>9990728825</t>
  </si>
  <si>
    <t>280184617964</t>
  </si>
  <si>
    <t>9486452688</t>
  </si>
  <si>
    <t>893680154060</t>
  </si>
  <si>
    <t>9962771618</t>
  </si>
  <si>
    <t>320660810439</t>
  </si>
  <si>
    <t>9321608743</t>
  </si>
  <si>
    <t>939239898812</t>
  </si>
  <si>
    <t>9755564002</t>
  </si>
  <si>
    <t>508517313677</t>
  </si>
  <si>
    <t>9378362666</t>
  </si>
  <si>
    <t>052754746345</t>
  </si>
  <si>
    <t>9207537483</t>
  </si>
  <si>
    <t>123632409957</t>
  </si>
  <si>
    <t>9147406773</t>
  </si>
  <si>
    <t>692452196786</t>
  </si>
  <si>
    <t>9456508560</t>
  </si>
  <si>
    <t>390831113620</t>
  </si>
  <si>
    <t>9856454120</t>
  </si>
  <si>
    <t>304562154017</t>
  </si>
  <si>
    <t>9877189865</t>
  </si>
  <si>
    <t>086936914684</t>
  </si>
  <si>
    <t>9559968660</t>
  </si>
  <si>
    <t>844966435407</t>
  </si>
  <si>
    <t>9463871716</t>
  </si>
  <si>
    <t>852915320108</t>
  </si>
  <si>
    <t>9300224781</t>
  </si>
  <si>
    <t>867483072919</t>
  </si>
  <si>
    <t>9868698593</t>
  </si>
  <si>
    <t>232239822190</t>
  </si>
  <si>
    <t>9676803302</t>
  </si>
  <si>
    <t>773958855946</t>
  </si>
  <si>
    <t>9841432116</t>
  </si>
  <si>
    <t>779450998541</t>
  </si>
  <si>
    <t>9979641675</t>
  </si>
  <si>
    <t>479955358676</t>
  </si>
  <si>
    <t>9204311231</t>
  </si>
  <si>
    <t>758597152412</t>
  </si>
  <si>
    <t>9555396427</t>
  </si>
  <si>
    <t>915855969994</t>
  </si>
  <si>
    <t>9739082236</t>
  </si>
  <si>
    <t>053204156269</t>
  </si>
  <si>
    <t>9519641249</t>
  </si>
  <si>
    <t>124969039938</t>
  </si>
  <si>
    <t>9535393397</t>
  </si>
  <si>
    <t>358209782461</t>
  </si>
  <si>
    <t>9166738605</t>
  </si>
  <si>
    <t>012532707247</t>
  </si>
  <si>
    <t>9366419250</t>
  </si>
  <si>
    <t>391776576529</t>
  </si>
  <si>
    <t>9399942818</t>
  </si>
  <si>
    <t>946832412841</t>
  </si>
  <si>
    <t>9147016813</t>
  </si>
  <si>
    <t>634637684256</t>
  </si>
  <si>
    <t>9615968738</t>
  </si>
  <si>
    <t>848477865534</t>
  </si>
  <si>
    <t>9047657713</t>
  </si>
  <si>
    <t>796663919846</t>
  </si>
  <si>
    <t>9924458024</t>
  </si>
  <si>
    <t>749344921140</t>
  </si>
  <si>
    <t>9675705072</t>
  </si>
  <si>
    <t>274507925511</t>
  </si>
  <si>
    <t>9134924359</t>
  </si>
  <si>
    <t>872429527115</t>
  </si>
  <si>
    <t>9332267097</t>
  </si>
  <si>
    <t>691625245715</t>
  </si>
  <si>
    <t>9300354809</t>
  </si>
  <si>
    <t>917038075065</t>
  </si>
  <si>
    <t>9283075202</t>
  </si>
  <si>
    <t>666000566188</t>
  </si>
  <si>
    <t>9311358471</t>
  </si>
  <si>
    <t>740014532254</t>
  </si>
  <si>
    <t>9515701196</t>
  </si>
  <si>
    <t>374660198307</t>
  </si>
  <si>
    <t>9616841492</t>
  </si>
  <si>
    <t>345475968124</t>
  </si>
  <si>
    <t>9182896051</t>
  </si>
  <si>
    <t>832305556457</t>
  </si>
  <si>
    <t>9386579871</t>
  </si>
  <si>
    <t>161982566176</t>
  </si>
  <si>
    <t>9848535761</t>
  </si>
  <si>
    <t>478243626025</t>
  </si>
  <si>
    <t>9439489124</t>
  </si>
  <si>
    <t>484199150600</t>
  </si>
  <si>
    <t>9197882450</t>
  </si>
  <si>
    <t>294235960888</t>
  </si>
  <si>
    <t>9058333882</t>
  </si>
  <si>
    <t>520626947304</t>
  </si>
  <si>
    <t>9689820315</t>
  </si>
  <si>
    <t>564291415685</t>
  </si>
  <si>
    <t>9878400796</t>
  </si>
  <si>
    <t>983557738043</t>
  </si>
  <si>
    <t>9288936246</t>
  </si>
  <si>
    <t>706394242387</t>
  </si>
  <si>
    <t>9352405540</t>
  </si>
  <si>
    <t>648043285224</t>
  </si>
  <si>
    <t>9863381509</t>
  </si>
  <si>
    <t>722022517468</t>
  </si>
  <si>
    <t>9113109736</t>
  </si>
  <si>
    <t>947546059352</t>
  </si>
  <si>
    <t>9504158155</t>
  </si>
  <si>
    <t>595289144442</t>
  </si>
  <si>
    <t>9672961204</t>
  </si>
  <si>
    <t>176281756728</t>
  </si>
  <si>
    <t>9441712998</t>
  </si>
  <si>
    <t>389998065729</t>
  </si>
  <si>
    <t>9303995096</t>
  </si>
  <si>
    <t>272774546423</t>
  </si>
  <si>
    <t>9740753621</t>
  </si>
  <si>
    <t>708219544636</t>
  </si>
  <si>
    <t>9892290672</t>
  </si>
  <si>
    <t>353201278956</t>
  </si>
  <si>
    <t>9213511641</t>
  </si>
  <si>
    <t>127586757755</t>
  </si>
  <si>
    <t>9362762420</t>
  </si>
  <si>
    <t>342807525666</t>
  </si>
  <si>
    <t>9243694159</t>
  </si>
  <si>
    <t>310532528726</t>
  </si>
  <si>
    <t>9208004498</t>
  </si>
  <si>
    <t>118760600062</t>
  </si>
  <si>
    <t>9404191626</t>
  </si>
  <si>
    <t>790412574503</t>
  </si>
  <si>
    <t>9557509389</t>
  </si>
  <si>
    <t>419849768825</t>
  </si>
  <si>
    <t>9716595279</t>
  </si>
  <si>
    <t>798909220882</t>
  </si>
  <si>
    <t>9855465964</t>
  </si>
  <si>
    <t>206010845129</t>
  </si>
  <si>
    <t>9057938484</t>
  </si>
  <si>
    <t>947224381119</t>
  </si>
  <si>
    <t>9083204116</t>
  </si>
  <si>
    <t>818976270623</t>
  </si>
  <si>
    <t>9675755877</t>
  </si>
  <si>
    <t>081132140838</t>
  </si>
  <si>
    <t>9615013500</t>
  </si>
  <si>
    <t>612797629096</t>
  </si>
  <si>
    <t>9396027302</t>
  </si>
  <si>
    <t>727472918815</t>
  </si>
  <si>
    <t>9102598826</t>
  </si>
  <si>
    <t>786712330194</t>
  </si>
  <si>
    <t>9079397127</t>
  </si>
  <si>
    <t>085656067451</t>
  </si>
  <si>
    <t>9960741234</t>
  </si>
  <si>
    <t>163934914059</t>
  </si>
  <si>
    <t>9481982335</t>
  </si>
  <si>
    <t>025119754651</t>
  </si>
  <si>
    <t>9996308823</t>
  </si>
  <si>
    <t>486236332311</t>
  </si>
  <si>
    <t>9564623122</t>
  </si>
  <si>
    <t>259296991807</t>
  </si>
  <si>
    <t>9747527282</t>
  </si>
  <si>
    <t>865160583641</t>
  </si>
  <si>
    <t>9179009440</t>
  </si>
  <si>
    <t>802344557690</t>
  </si>
  <si>
    <t>9206481032</t>
  </si>
  <si>
    <t>071555886192</t>
  </si>
  <si>
    <t>9339682260</t>
  </si>
  <si>
    <t>955960581599</t>
  </si>
  <si>
    <t>9641784995</t>
  </si>
  <si>
    <t>842207137633</t>
  </si>
  <si>
    <t>9018486438</t>
  </si>
  <si>
    <t>594063778068</t>
  </si>
  <si>
    <t>9330799383</t>
  </si>
  <si>
    <t>426711939766</t>
  </si>
  <si>
    <t>9526629982</t>
  </si>
  <si>
    <t>715309286843</t>
  </si>
  <si>
    <t>9667185958</t>
  </si>
  <si>
    <t>776586284300</t>
  </si>
  <si>
    <t>9100453055</t>
  </si>
  <si>
    <t>470607581716</t>
  </si>
  <si>
    <t>9840757530</t>
  </si>
  <si>
    <t>799808822143</t>
  </si>
  <si>
    <t>9391856047</t>
  </si>
  <si>
    <t>185897981661</t>
  </si>
  <si>
    <t>9976042655</t>
  </si>
  <si>
    <t>375020866631</t>
  </si>
  <si>
    <t>9395943363</t>
  </si>
  <si>
    <t>188378716407</t>
  </si>
  <si>
    <t>9064045613</t>
  </si>
  <si>
    <t>872357117903</t>
  </si>
  <si>
    <t>9685979100</t>
  </si>
  <si>
    <t>146193174045</t>
  </si>
  <si>
    <t>9022507898</t>
  </si>
  <si>
    <t>216899147689</t>
  </si>
  <si>
    <t>9257307727</t>
  </si>
  <si>
    <t>699202551611</t>
  </si>
  <si>
    <t>9448718475</t>
  </si>
  <si>
    <t>188114406398</t>
  </si>
  <si>
    <t>9031719167</t>
  </si>
  <si>
    <t>115491918155</t>
  </si>
  <si>
    <t>9367537864</t>
  </si>
  <si>
    <t>519731511324</t>
  </si>
  <si>
    <t>9081896067</t>
  </si>
  <si>
    <t>461653091949</t>
  </si>
  <si>
    <t>9113801605</t>
  </si>
  <si>
    <t>338587342966</t>
  </si>
  <si>
    <t>9588353629</t>
  </si>
  <si>
    <t>362507097517</t>
  </si>
  <si>
    <t>9907088072</t>
  </si>
  <si>
    <t>165914100040</t>
  </si>
  <si>
    <t>9498470588</t>
  </si>
  <si>
    <t>114725704684</t>
  </si>
  <si>
    <t>9713145816</t>
  </si>
  <si>
    <t>873471552788</t>
  </si>
  <si>
    <t>9762441284</t>
  </si>
  <si>
    <t>751946221792</t>
  </si>
  <si>
    <t>9518652177</t>
  </si>
  <si>
    <t>812511786105</t>
  </si>
  <si>
    <t>9778747377</t>
  </si>
  <si>
    <t>234695894560</t>
  </si>
  <si>
    <t>9511380019</t>
  </si>
  <si>
    <t>929634442830</t>
  </si>
  <si>
    <t>9490247611</t>
  </si>
  <si>
    <t>305234066270</t>
  </si>
  <si>
    <t>9402806381</t>
  </si>
  <si>
    <t>424851148134</t>
  </si>
  <si>
    <t>9830821834</t>
  </si>
  <si>
    <t>297185208831</t>
  </si>
  <si>
    <t>9912823160</t>
  </si>
  <si>
    <t>996474636013</t>
  </si>
  <si>
    <t>9232657648</t>
  </si>
  <si>
    <t>627985856522</t>
  </si>
  <si>
    <t>9287931451</t>
  </si>
  <si>
    <t>425995618563</t>
  </si>
  <si>
    <t>9803745971</t>
  </si>
  <si>
    <t>654138295544</t>
  </si>
  <si>
    <t>9829798534</t>
  </si>
  <si>
    <t>417614193322</t>
  </si>
  <si>
    <t>9465794529</t>
  </si>
  <si>
    <t>583140236356</t>
  </si>
  <si>
    <t>9107213739</t>
  </si>
  <si>
    <t>632580405668</t>
  </si>
  <si>
    <t>9530645008</t>
  </si>
  <si>
    <t>407212642542</t>
  </si>
  <si>
    <t>9754632087</t>
  </si>
  <si>
    <t>516420195162</t>
  </si>
  <si>
    <t>9512598333</t>
  </si>
  <si>
    <t>675854399334</t>
  </si>
  <si>
    <t>9389444183</t>
  </si>
  <si>
    <t>428869360279</t>
  </si>
  <si>
    <t>9825406817</t>
  </si>
  <si>
    <t>438123886051</t>
  </si>
  <si>
    <t>9137511438</t>
  </si>
  <si>
    <t>967475542655</t>
  </si>
  <si>
    <t>9721310048</t>
  </si>
  <si>
    <t>407356887108</t>
  </si>
  <si>
    <t>9008720375</t>
  </si>
  <si>
    <t>994765850398</t>
  </si>
  <si>
    <t>9822073872</t>
  </si>
  <si>
    <t>956019158887</t>
  </si>
  <si>
    <t>9718770939</t>
  </si>
  <si>
    <t>213776048944</t>
  </si>
  <si>
    <t>9809423457</t>
  </si>
  <si>
    <t>456099507045</t>
  </si>
  <si>
    <t>9934289392</t>
  </si>
  <si>
    <t>559576065521</t>
  </si>
  <si>
    <t>9470943487</t>
  </si>
  <si>
    <t>047734362315</t>
  </si>
  <si>
    <t>9367613691</t>
  </si>
  <si>
    <t>734645961759</t>
  </si>
  <si>
    <t>9172069258</t>
  </si>
  <si>
    <t>922648897128</t>
  </si>
  <si>
    <t>9505664555</t>
  </si>
  <si>
    <t>409394114732</t>
  </si>
  <si>
    <t>9984776570</t>
  </si>
  <si>
    <t>159481726762</t>
  </si>
  <si>
    <t>9971120172</t>
  </si>
  <si>
    <t>945762866659</t>
  </si>
  <si>
    <t>9832655359</t>
  </si>
  <si>
    <t>814388882298</t>
  </si>
  <si>
    <t>9311853617</t>
  </si>
  <si>
    <t>573568566561</t>
  </si>
  <si>
    <t>9670435982</t>
  </si>
  <si>
    <t>681333722021</t>
  </si>
  <si>
    <t>9369421406</t>
  </si>
  <si>
    <t>182972740803</t>
  </si>
  <si>
    <t>9076713468</t>
  </si>
  <si>
    <t>036547660582</t>
  </si>
  <si>
    <t>9634101922</t>
  </si>
  <si>
    <t>305502486800</t>
  </si>
  <si>
    <t>9733655628</t>
  </si>
  <si>
    <t>561865002731</t>
  </si>
  <si>
    <t>9530201321</t>
  </si>
  <si>
    <t>249544690622</t>
  </si>
  <si>
    <t>9449717552</t>
  </si>
  <si>
    <t>223469973472</t>
  </si>
  <si>
    <t>9715883281</t>
  </si>
  <si>
    <t>464452286575</t>
  </si>
  <si>
    <t>9239020930</t>
  </si>
  <si>
    <t>165330983405</t>
  </si>
  <si>
    <t>9722683958</t>
  </si>
  <si>
    <t>529269361778</t>
  </si>
  <si>
    <t>9130692621</t>
  </si>
  <si>
    <t>803456269131</t>
  </si>
  <si>
    <t>9907369684</t>
  </si>
  <si>
    <t>678275323074</t>
  </si>
  <si>
    <t>9093261461</t>
  </si>
  <si>
    <t>186759263852</t>
  </si>
  <si>
    <t>9680379398</t>
  </si>
  <si>
    <t>516453983034</t>
  </si>
  <si>
    <t>9867979629</t>
  </si>
  <si>
    <t>543112199758</t>
  </si>
  <si>
    <t>9785590042</t>
  </si>
  <si>
    <t>313444759096</t>
  </si>
  <si>
    <t>9266463398</t>
  </si>
  <si>
    <t>592369128631</t>
  </si>
  <si>
    <t>9418134594</t>
  </si>
  <si>
    <t>805610613677</t>
  </si>
  <si>
    <t>9667633378</t>
  </si>
  <si>
    <t>818277063800</t>
  </si>
  <si>
    <t>9422512736</t>
  </si>
  <si>
    <t>500205424010</t>
  </si>
  <si>
    <t>9788292354</t>
  </si>
  <si>
    <t>344209923847</t>
  </si>
  <si>
    <t>9072300442</t>
  </si>
  <si>
    <t>215835886912</t>
  </si>
  <si>
    <t>9883309325</t>
  </si>
  <si>
    <t>636063403810</t>
  </si>
  <si>
    <t>9886982717</t>
  </si>
  <si>
    <t>075438548351</t>
  </si>
  <si>
    <t>9583320426</t>
  </si>
  <si>
    <t>208183528708</t>
  </si>
  <si>
    <t>9804738905</t>
  </si>
  <si>
    <t>325363168890</t>
  </si>
  <si>
    <t>9674814344</t>
  </si>
  <si>
    <t>263749630759</t>
  </si>
  <si>
    <t>9056900576</t>
  </si>
  <si>
    <t>505130287944</t>
  </si>
  <si>
    <t>9027682603</t>
  </si>
  <si>
    <t>342914052274</t>
  </si>
  <si>
    <t>9229812211</t>
  </si>
  <si>
    <t>576606224104</t>
  </si>
  <si>
    <t>9660179184</t>
  </si>
  <si>
    <t>737312073359</t>
  </si>
  <si>
    <t>9220170269</t>
  </si>
  <si>
    <t>876304966473</t>
  </si>
  <si>
    <t>9856613568</t>
  </si>
  <si>
    <t>961749386107</t>
  </si>
  <si>
    <t>9977653343</t>
  </si>
  <si>
    <t>526737193854</t>
  </si>
  <si>
    <t>9357103232</t>
  </si>
  <si>
    <t>606397461302</t>
  </si>
  <si>
    <t>9308873503</t>
  </si>
  <si>
    <t>172846110065</t>
  </si>
  <si>
    <t>9944978527</t>
  </si>
  <si>
    <t>211583623735</t>
  </si>
  <si>
    <t>9344405079</t>
  </si>
  <si>
    <t>863623958726</t>
  </si>
  <si>
    <t>9710195883</t>
  </si>
  <si>
    <t>588396105645</t>
  </si>
  <si>
    <t>9368848163</t>
  </si>
  <si>
    <t>855869890810</t>
  </si>
  <si>
    <t>9433541090</t>
  </si>
  <si>
    <t>122532284893</t>
  </si>
  <si>
    <t>9180516378</t>
  </si>
  <si>
    <t>183780671028</t>
  </si>
  <si>
    <t>9333299036</t>
  </si>
  <si>
    <t>248179425053</t>
  </si>
  <si>
    <t>9855037102</t>
  </si>
  <si>
    <t>481553009575</t>
  </si>
  <si>
    <t>9031938304</t>
  </si>
  <si>
    <t>661843517726</t>
  </si>
  <si>
    <t>9129346322</t>
  </si>
  <si>
    <t>743551811734</t>
  </si>
  <si>
    <t>9372850916</t>
  </si>
  <si>
    <t>935910886494</t>
  </si>
  <si>
    <t>9240044818</t>
  </si>
  <si>
    <t>111306282703</t>
  </si>
  <si>
    <t>9853619413</t>
  </si>
  <si>
    <t>387750903615</t>
  </si>
  <si>
    <t>9595983924</t>
  </si>
  <si>
    <t>124939124211</t>
  </si>
  <si>
    <t>9627777237</t>
  </si>
  <si>
    <t>658916629545</t>
  </si>
  <si>
    <t>9100162888</t>
  </si>
  <si>
    <t>177570274167</t>
  </si>
  <si>
    <t>9851488960</t>
  </si>
  <si>
    <t>835990099356</t>
  </si>
  <si>
    <t>9763453238</t>
  </si>
  <si>
    <t>237250848625</t>
  </si>
  <si>
    <t>9420393615</t>
  </si>
  <si>
    <t>119606417144</t>
  </si>
  <si>
    <t>9199207219</t>
  </si>
  <si>
    <t>858472038693</t>
  </si>
  <si>
    <t>9302083589</t>
  </si>
  <si>
    <t>630841938844</t>
  </si>
  <si>
    <t>9514288064</t>
  </si>
  <si>
    <t>641202343108</t>
  </si>
  <si>
    <t>9042457675</t>
  </si>
  <si>
    <t>844578383160</t>
  </si>
  <si>
    <t>9974624916</t>
  </si>
  <si>
    <t>734187381132</t>
  </si>
  <si>
    <t>9721077541</t>
  </si>
  <si>
    <t>553109890493</t>
  </si>
  <si>
    <t>9207566499</t>
  </si>
  <si>
    <t>901203036375</t>
  </si>
  <si>
    <t>9566834575</t>
  </si>
  <si>
    <t>394287843843</t>
  </si>
  <si>
    <t>9054501483</t>
  </si>
  <si>
    <t>379451377666</t>
  </si>
  <si>
    <t>9933196151</t>
  </si>
  <si>
    <t>431553508127</t>
  </si>
  <si>
    <t>9179839145</t>
  </si>
  <si>
    <t>661915869310</t>
  </si>
  <si>
    <t>9439555383</t>
  </si>
  <si>
    <t>622998067023</t>
  </si>
  <si>
    <t>9396759111</t>
  </si>
  <si>
    <t>679255278848</t>
  </si>
  <si>
    <t>9435779023</t>
  </si>
  <si>
    <t>011782274786</t>
  </si>
  <si>
    <t>9258111499</t>
  </si>
  <si>
    <t>463710689347</t>
  </si>
  <si>
    <t>9455661439</t>
  </si>
  <si>
    <t>216850059681</t>
  </si>
  <si>
    <t>9451978645</t>
  </si>
  <si>
    <t>969941781253</t>
  </si>
  <si>
    <t>9514898952</t>
  </si>
  <si>
    <t>916043633450</t>
  </si>
  <si>
    <t>9953456788</t>
  </si>
  <si>
    <t>886798635097</t>
  </si>
  <si>
    <t>9219454392</t>
  </si>
  <si>
    <t>657451918043</t>
  </si>
  <si>
    <t>9671002483</t>
  </si>
  <si>
    <t>283168645877</t>
  </si>
  <si>
    <t>9614232460</t>
  </si>
  <si>
    <t>787476789541</t>
  </si>
  <si>
    <t>9257024032</t>
  </si>
  <si>
    <t>685720238313</t>
  </si>
  <si>
    <t>9397637739</t>
  </si>
  <si>
    <t>407691909256</t>
  </si>
  <si>
    <t>9816787741</t>
  </si>
  <si>
    <t>961093061583</t>
  </si>
  <si>
    <t>9566397607</t>
  </si>
  <si>
    <t>378484192026</t>
  </si>
  <si>
    <t>9840258789</t>
  </si>
  <si>
    <t>158682298128</t>
  </si>
  <si>
    <t>9301772173</t>
  </si>
  <si>
    <t>609439616447</t>
  </si>
  <si>
    <t>9735344171</t>
  </si>
  <si>
    <t>140364724244</t>
  </si>
  <si>
    <t>9775038425</t>
  </si>
  <si>
    <t>677870841777</t>
  </si>
  <si>
    <t>9815915877</t>
  </si>
  <si>
    <t>530595863017</t>
  </si>
  <si>
    <t>9707775531</t>
  </si>
  <si>
    <t>890223131923</t>
  </si>
  <si>
    <t>9086873794</t>
  </si>
  <si>
    <t>988471569563</t>
  </si>
  <si>
    <t>9821250481</t>
  </si>
  <si>
    <t>710844652248</t>
  </si>
  <si>
    <t>9611143774</t>
  </si>
  <si>
    <t>976631979218</t>
  </si>
  <si>
    <t>9345138743</t>
  </si>
  <si>
    <t>864152976616</t>
  </si>
  <si>
    <t>9878751359</t>
  </si>
  <si>
    <t>755935747166</t>
  </si>
  <si>
    <t>9691914806</t>
  </si>
  <si>
    <t>830142323950</t>
  </si>
  <si>
    <t>9232463173</t>
  </si>
  <si>
    <t>381851397063</t>
  </si>
  <si>
    <t>9934747992</t>
  </si>
  <si>
    <t>989126024619</t>
  </si>
  <si>
    <t>9472450664</t>
  </si>
  <si>
    <t>975786106408</t>
  </si>
  <si>
    <t>9946098112</t>
  </si>
  <si>
    <t>656919584010</t>
  </si>
  <si>
    <t>9046994885</t>
  </si>
  <si>
    <t>275726489868</t>
  </si>
  <si>
    <t>9402771935</t>
  </si>
  <si>
    <t>937791797435</t>
  </si>
  <si>
    <t>9161004370</t>
  </si>
  <si>
    <t>866333500719</t>
  </si>
  <si>
    <t>9711586128</t>
  </si>
  <si>
    <t>666661280776</t>
  </si>
  <si>
    <t>9354879196</t>
  </si>
  <si>
    <t>819278159506</t>
  </si>
  <si>
    <t>9291524018</t>
  </si>
  <si>
    <t>184852266539</t>
  </si>
  <si>
    <t>9413206876</t>
  </si>
  <si>
    <t>635296710642</t>
  </si>
  <si>
    <t>9593257842</t>
  </si>
  <si>
    <t>360302639421</t>
  </si>
  <si>
    <t>9135450360</t>
  </si>
  <si>
    <t>779834780598</t>
  </si>
  <si>
    <t>9444157768</t>
  </si>
  <si>
    <t>226447627240</t>
  </si>
  <si>
    <t>9464659016</t>
  </si>
  <si>
    <t>975853344070</t>
  </si>
  <si>
    <t>9479443889</t>
  </si>
  <si>
    <t>222260284504</t>
  </si>
  <si>
    <t>9261624111</t>
  </si>
  <si>
    <t>229029081524</t>
  </si>
  <si>
    <t>9421870752</t>
  </si>
  <si>
    <t>363082490114</t>
  </si>
  <si>
    <t>9925566942</t>
  </si>
  <si>
    <t>553358964171</t>
  </si>
  <si>
    <t>9822026725</t>
  </si>
  <si>
    <t>499906195934</t>
  </si>
  <si>
    <t>9504761517</t>
  </si>
  <si>
    <t>125661326572</t>
  </si>
  <si>
    <t>9253980375</t>
  </si>
  <si>
    <t>301215866318</t>
  </si>
  <si>
    <t>9306885053</t>
  </si>
  <si>
    <t>401880628256</t>
  </si>
  <si>
    <t>9906515404</t>
  </si>
  <si>
    <t>457737663874</t>
  </si>
  <si>
    <t>9088586645</t>
  </si>
  <si>
    <t>373775614320</t>
  </si>
  <si>
    <t>9307239310</t>
  </si>
  <si>
    <t>865692565009</t>
  </si>
  <si>
    <t>9432648923</t>
  </si>
  <si>
    <t>041411019172</t>
  </si>
  <si>
    <t>9989302479</t>
  </si>
  <si>
    <t>846460392397</t>
  </si>
  <si>
    <t>9798651897</t>
  </si>
  <si>
    <t>946584674026</t>
  </si>
  <si>
    <t>9656311096</t>
  </si>
  <si>
    <t>026164066435</t>
  </si>
  <si>
    <t>9512148787</t>
  </si>
  <si>
    <t>778665125035</t>
  </si>
  <si>
    <t>9372316084</t>
  </si>
  <si>
    <t>103572789429</t>
  </si>
  <si>
    <t>9424363952</t>
  </si>
  <si>
    <t>078902060098</t>
  </si>
  <si>
    <t>9632632428</t>
  </si>
  <si>
    <t>813168683427</t>
  </si>
  <si>
    <t>9240461745</t>
  </si>
  <si>
    <t>000991117458</t>
  </si>
  <si>
    <t>9656299489</t>
  </si>
  <si>
    <t>576221027017</t>
  </si>
  <si>
    <t>9041162076</t>
  </si>
  <si>
    <t>484190963654</t>
  </si>
  <si>
    <t>9851897830</t>
  </si>
  <si>
    <t>121007958543</t>
  </si>
  <si>
    <t>9405158461</t>
  </si>
  <si>
    <t>327945569376</t>
  </si>
  <si>
    <t>9987117326</t>
  </si>
  <si>
    <t>395314313887</t>
  </si>
  <si>
    <t>9337878508</t>
  </si>
  <si>
    <t>156583540487</t>
  </si>
  <si>
    <t>9960532496</t>
  </si>
  <si>
    <t>457908752224</t>
  </si>
  <si>
    <t>9754872756</t>
  </si>
  <si>
    <t>401082899910</t>
  </si>
  <si>
    <t>9196115398</t>
  </si>
  <si>
    <t>277053247727</t>
  </si>
  <si>
    <t>9610803033</t>
  </si>
  <si>
    <t>291148824831</t>
  </si>
  <si>
    <t>9312243878</t>
  </si>
  <si>
    <t>337351840239</t>
  </si>
  <si>
    <t>9199048708</t>
  </si>
  <si>
    <t>165423632468</t>
  </si>
  <si>
    <t>9722063450</t>
  </si>
  <si>
    <t>630874209448</t>
  </si>
  <si>
    <t>9743077715</t>
  </si>
  <si>
    <t>997412733612</t>
  </si>
  <si>
    <t>9247486820</t>
  </si>
  <si>
    <t>768837512806</t>
  </si>
  <si>
    <t>9241317867</t>
  </si>
  <si>
    <t>218617339144</t>
  </si>
  <si>
    <t>9903848447</t>
  </si>
  <si>
    <t>770799311295</t>
  </si>
  <si>
    <t>9990870860</t>
  </si>
  <si>
    <t>410215476470</t>
  </si>
  <si>
    <t>9789993286</t>
  </si>
  <si>
    <t>017176116824</t>
  </si>
  <si>
    <t>9803840472</t>
  </si>
  <si>
    <t>025832963849</t>
  </si>
  <si>
    <t>9165060545</t>
  </si>
  <si>
    <t>978160487572</t>
  </si>
  <si>
    <t>9205377051</t>
  </si>
  <si>
    <t>659223281361</t>
  </si>
  <si>
    <t>9028306126</t>
  </si>
  <si>
    <t>409899924538</t>
  </si>
  <si>
    <t>9759790334</t>
  </si>
  <si>
    <t>605671693896</t>
  </si>
  <si>
    <t>9756689362</t>
  </si>
  <si>
    <t>472205339969</t>
  </si>
  <si>
    <t>9384915784</t>
  </si>
  <si>
    <t>501964251404</t>
  </si>
  <si>
    <t>9068428915</t>
  </si>
  <si>
    <t>420732851705</t>
  </si>
  <si>
    <t>9929965205</t>
  </si>
  <si>
    <t>816609226587</t>
  </si>
  <si>
    <t>9632424317</t>
  </si>
  <si>
    <t>485391564955</t>
  </si>
  <si>
    <t>9677580951</t>
  </si>
  <si>
    <t>156755236723</t>
  </si>
  <si>
    <t>9511039254</t>
  </si>
  <si>
    <t>402048268776</t>
  </si>
  <si>
    <t>9682423591</t>
  </si>
  <si>
    <t>368455440622</t>
  </si>
  <si>
    <t>9275571710</t>
  </si>
  <si>
    <t>882705568639</t>
  </si>
  <si>
    <t>9277154427</t>
  </si>
  <si>
    <t>593305878367</t>
  </si>
  <si>
    <t>9284647606</t>
  </si>
  <si>
    <t>560206269730</t>
  </si>
  <si>
    <t>9167892992</t>
  </si>
  <si>
    <t>689732574142</t>
  </si>
  <si>
    <t>9449811905</t>
  </si>
  <si>
    <t>471087484081</t>
  </si>
  <si>
    <t>9714800078</t>
  </si>
  <si>
    <t>401058371464</t>
  </si>
  <si>
    <t>9953904653</t>
  </si>
  <si>
    <t>880671243689</t>
  </si>
  <si>
    <t>9138651311</t>
  </si>
  <si>
    <t>807449822647</t>
  </si>
  <si>
    <t>9766424500</t>
  </si>
  <si>
    <t>947853956458</t>
  </si>
  <si>
    <t>9839221914</t>
  </si>
  <si>
    <t>947629645604</t>
  </si>
  <si>
    <t>9974188082</t>
  </si>
  <si>
    <t>243463595037</t>
  </si>
  <si>
    <t>9336809314</t>
  </si>
  <si>
    <t>898782463515</t>
  </si>
  <si>
    <t>9544448537</t>
  </si>
  <si>
    <t>462251351255</t>
  </si>
  <si>
    <t>9866230560</t>
  </si>
  <si>
    <t>171745881962</t>
  </si>
  <si>
    <t>9925196109</t>
  </si>
  <si>
    <t>351221570745</t>
  </si>
  <si>
    <t>9712196621</t>
  </si>
  <si>
    <t>986948988900</t>
  </si>
  <si>
    <t>9198711331</t>
  </si>
  <si>
    <t>309163830374</t>
  </si>
  <si>
    <t>9581245467</t>
  </si>
  <si>
    <t>097442576738</t>
  </si>
  <si>
    <t>9851839053</t>
  </si>
  <si>
    <t>687227567548</t>
  </si>
  <si>
    <t>9802421287</t>
  </si>
  <si>
    <t>900889934920</t>
  </si>
  <si>
    <t>9003799598</t>
  </si>
  <si>
    <t>999131251433</t>
  </si>
  <si>
    <t>9759622813</t>
  </si>
  <si>
    <t>816157393081</t>
  </si>
  <si>
    <t>9917278210</t>
  </si>
  <si>
    <t>035459863399</t>
  </si>
  <si>
    <t>9291765173</t>
  </si>
  <si>
    <t>307991178645</t>
  </si>
  <si>
    <t>9961555640</t>
  </si>
  <si>
    <t>544680696122</t>
  </si>
  <si>
    <t>9145696094</t>
  </si>
  <si>
    <t>469810779962</t>
  </si>
  <si>
    <t>9597927150</t>
  </si>
  <si>
    <t>566158338645</t>
  </si>
  <si>
    <t>9678184870</t>
  </si>
  <si>
    <t>480955080470</t>
  </si>
  <si>
    <t>9654874254</t>
  </si>
  <si>
    <t>713754480068</t>
  </si>
  <si>
    <t>9406561483</t>
  </si>
  <si>
    <t>663158038892</t>
  </si>
  <si>
    <t>9401172906</t>
  </si>
  <si>
    <t>244542970720</t>
  </si>
  <si>
    <t>9811214885</t>
  </si>
  <si>
    <t>578552213401</t>
  </si>
  <si>
    <t>9227137084</t>
  </si>
  <si>
    <t>796627123869</t>
  </si>
  <si>
    <t>9282061093</t>
  </si>
  <si>
    <t>173193300774</t>
  </si>
  <si>
    <t>9802607411</t>
  </si>
  <si>
    <t>734703327189</t>
  </si>
  <si>
    <t>9606047795</t>
  </si>
  <si>
    <t>029786660684</t>
  </si>
  <si>
    <t>9718278220</t>
  </si>
  <si>
    <t>215455247847</t>
  </si>
  <si>
    <t>9177830997</t>
  </si>
  <si>
    <t>612154553375</t>
  </si>
  <si>
    <t>9024270010</t>
  </si>
  <si>
    <t>579865176557</t>
  </si>
  <si>
    <t>9633427323</t>
  </si>
  <si>
    <t>651757834644</t>
  </si>
  <si>
    <t>9652338722</t>
  </si>
  <si>
    <t>739383089553</t>
  </si>
  <si>
    <t>9470666319</t>
  </si>
  <si>
    <t>604093400127</t>
  </si>
  <si>
    <t>9443948658</t>
  </si>
  <si>
    <t>820676114787</t>
  </si>
  <si>
    <t>9369214396</t>
  </si>
  <si>
    <t>072989387593</t>
  </si>
  <si>
    <t>9370202166</t>
  </si>
  <si>
    <t>362978938585</t>
  </si>
  <si>
    <t>9844960614</t>
  </si>
  <si>
    <t>129054795315</t>
  </si>
  <si>
    <t>9736036280</t>
  </si>
  <si>
    <t>852440445501</t>
  </si>
  <si>
    <t>9347990515</t>
  </si>
  <si>
    <t>370075922656</t>
  </si>
  <si>
    <t>9355263080</t>
  </si>
  <si>
    <t>847441519200</t>
  </si>
  <si>
    <t>9776434093</t>
  </si>
  <si>
    <t>421460764348</t>
  </si>
  <si>
    <t>9825519257</t>
  </si>
  <si>
    <t>714287972124</t>
  </si>
  <si>
    <t>9481759104</t>
  </si>
  <si>
    <t>088929726176</t>
  </si>
  <si>
    <t>9333745235</t>
  </si>
  <si>
    <t>850885457994</t>
  </si>
  <si>
    <t>9316062650</t>
  </si>
  <si>
    <t>910284190305</t>
  </si>
  <si>
    <t>9425308809</t>
  </si>
  <si>
    <t>217859917643</t>
  </si>
  <si>
    <t>9347838493</t>
  </si>
  <si>
    <t>842597322436</t>
  </si>
  <si>
    <t>9459618505</t>
  </si>
  <si>
    <t>245818787012</t>
  </si>
  <si>
    <t>9244106650</t>
  </si>
  <si>
    <t>086555439292</t>
  </si>
  <si>
    <t>9056039081</t>
  </si>
  <si>
    <t>342005990184</t>
  </si>
  <si>
    <t>9181995363</t>
  </si>
  <si>
    <t>849616803451</t>
  </si>
  <si>
    <t>9159275582</t>
  </si>
  <si>
    <t>742991887804</t>
  </si>
  <si>
    <t>9546353163</t>
  </si>
  <si>
    <t>493501266078</t>
  </si>
  <si>
    <t>9039619640</t>
  </si>
  <si>
    <t>181846270116</t>
  </si>
  <si>
    <t>9076976982</t>
  </si>
  <si>
    <t>045980961803</t>
  </si>
  <si>
    <t>9503415655</t>
  </si>
  <si>
    <t>616509490637</t>
  </si>
  <si>
    <t>9878166432</t>
  </si>
  <si>
    <t>591506606184</t>
  </si>
  <si>
    <t>9739140916</t>
  </si>
  <si>
    <t>151241163371</t>
  </si>
  <si>
    <t>9806789963</t>
  </si>
  <si>
    <t>790404567160</t>
  </si>
  <si>
    <t>9301019459</t>
  </si>
  <si>
    <t>016509891893</t>
  </si>
  <si>
    <t>9840432067</t>
  </si>
  <si>
    <t>332127616447</t>
  </si>
  <si>
    <t>9846213276</t>
  </si>
  <si>
    <t>446750701650</t>
  </si>
  <si>
    <t>9979155379</t>
  </si>
  <si>
    <t>521514947581</t>
  </si>
  <si>
    <t>9863002834</t>
  </si>
  <si>
    <t>435968630606</t>
  </si>
  <si>
    <t>9099704195</t>
  </si>
  <si>
    <t>120313109584</t>
  </si>
  <si>
    <t>9513510639</t>
  </si>
  <si>
    <t>840892246504</t>
  </si>
  <si>
    <t>9604714092</t>
  </si>
  <si>
    <t>596256938733</t>
  </si>
  <si>
    <t>9827520341</t>
  </si>
  <si>
    <t>304446193960</t>
  </si>
  <si>
    <t>9756380627</t>
  </si>
  <si>
    <t>054458969453</t>
  </si>
  <si>
    <t>9969991465</t>
  </si>
  <si>
    <t>016382508378</t>
  </si>
  <si>
    <t>9473654669</t>
  </si>
  <si>
    <t>721412911213</t>
  </si>
  <si>
    <t>9825263942</t>
  </si>
  <si>
    <t>956775095212</t>
  </si>
  <si>
    <t>9580687758</t>
  </si>
  <si>
    <t>251232270456</t>
  </si>
  <si>
    <t>9734634116</t>
  </si>
  <si>
    <t>651414760944</t>
  </si>
  <si>
    <t>9086671555</t>
  </si>
  <si>
    <t>505282063342</t>
  </si>
  <si>
    <t>9160895637</t>
  </si>
  <si>
    <t>686391052205</t>
  </si>
  <si>
    <t>9413836021</t>
  </si>
  <si>
    <t>424106531618</t>
  </si>
  <si>
    <t>9221418154</t>
  </si>
  <si>
    <t>441952538472</t>
  </si>
  <si>
    <t>9048392830</t>
  </si>
  <si>
    <t>691893463752</t>
  </si>
  <si>
    <t>9796747019</t>
  </si>
  <si>
    <t>280922988763</t>
  </si>
  <si>
    <t>9551105261</t>
  </si>
  <si>
    <t>244379394256</t>
  </si>
  <si>
    <t>9694566808</t>
  </si>
  <si>
    <t>354333562174</t>
  </si>
  <si>
    <t>9272535320</t>
  </si>
  <si>
    <t>720495977988</t>
  </si>
  <si>
    <t>9863881165</t>
  </si>
  <si>
    <t>932690671097</t>
  </si>
  <si>
    <t>9318363095</t>
  </si>
  <si>
    <t>828697761629</t>
  </si>
  <si>
    <t>9237014775</t>
  </si>
  <si>
    <t>317961855882</t>
  </si>
  <si>
    <t>9785658445</t>
  </si>
  <si>
    <t>614628136566</t>
  </si>
  <si>
    <t>9300609270</t>
  </si>
  <si>
    <t>868052640147</t>
  </si>
  <si>
    <t>9486497171</t>
  </si>
  <si>
    <t>379291848649</t>
  </si>
  <si>
    <t>9795610611</t>
  </si>
  <si>
    <t>279888529987</t>
  </si>
  <si>
    <t>9425985519</t>
  </si>
  <si>
    <t>784017013951</t>
  </si>
  <si>
    <t>9825597124</t>
  </si>
  <si>
    <t>891568888341</t>
  </si>
  <si>
    <t>9523700938</t>
  </si>
  <si>
    <t>024841546073</t>
  </si>
  <si>
    <t>9375943013</t>
  </si>
  <si>
    <t>806000028817</t>
  </si>
  <si>
    <t>9211899314</t>
  </si>
  <si>
    <t>712199279492</t>
  </si>
  <si>
    <t>9158605460</t>
  </si>
  <si>
    <t>686110756330</t>
  </si>
  <si>
    <t>9651192297</t>
  </si>
  <si>
    <t>864520152219</t>
  </si>
  <si>
    <t>9322763597</t>
  </si>
  <si>
    <t>974643096051</t>
  </si>
  <si>
    <t>9632913278</t>
  </si>
  <si>
    <t>610994594803</t>
  </si>
  <si>
    <t>9205013168</t>
  </si>
  <si>
    <t>512028393199</t>
  </si>
  <si>
    <t>9662339531</t>
  </si>
  <si>
    <t>353711461992</t>
  </si>
  <si>
    <t>9885538361</t>
  </si>
  <si>
    <t>103742756328</t>
  </si>
  <si>
    <t>9475520299</t>
  </si>
  <si>
    <t>267741757685</t>
  </si>
  <si>
    <t>9923459653</t>
  </si>
  <si>
    <t>499258819806</t>
  </si>
  <si>
    <t>9698733295</t>
  </si>
  <si>
    <t>614212841500</t>
  </si>
  <si>
    <t>9633046014</t>
  </si>
  <si>
    <t>491040597823</t>
  </si>
  <si>
    <t>9673033715</t>
  </si>
  <si>
    <t>241400342524</t>
  </si>
  <si>
    <t>9334910856</t>
  </si>
  <si>
    <t>984106873431</t>
  </si>
  <si>
    <t>9947529256</t>
  </si>
  <si>
    <t>785923017964</t>
  </si>
  <si>
    <t>9740077399</t>
  </si>
  <si>
    <t>440832087002</t>
  </si>
  <si>
    <t>9365682536</t>
  </si>
  <si>
    <t>368059262544</t>
  </si>
  <si>
    <t>9099036177</t>
  </si>
  <si>
    <t>535388470502</t>
  </si>
  <si>
    <t>9965486923</t>
  </si>
  <si>
    <t>497381896040</t>
  </si>
  <si>
    <t>9381575281</t>
  </si>
  <si>
    <t>859146856718</t>
  </si>
  <si>
    <t>9658208688</t>
  </si>
  <si>
    <t>640108016563</t>
  </si>
  <si>
    <t>9444542834</t>
  </si>
  <si>
    <t>649739346708</t>
  </si>
  <si>
    <t>9823566109</t>
  </si>
  <si>
    <t>121112661373</t>
  </si>
  <si>
    <t>9725666545</t>
  </si>
  <si>
    <t>384027010191</t>
  </si>
  <si>
    <t>9685852696</t>
  </si>
  <si>
    <t>060588402429</t>
  </si>
  <si>
    <t>9654559178</t>
  </si>
  <si>
    <t>961669351905</t>
  </si>
  <si>
    <t>9298030476</t>
  </si>
  <si>
    <t>712546572992</t>
  </si>
  <si>
    <t>9123616037</t>
  </si>
  <si>
    <t>562449062884</t>
  </si>
  <si>
    <t>9105072127</t>
  </si>
  <si>
    <t>405608005520</t>
  </si>
  <si>
    <t>9722311057</t>
  </si>
  <si>
    <t>373990917892</t>
  </si>
  <si>
    <t>9779845528</t>
  </si>
  <si>
    <t>565626323063</t>
  </si>
  <si>
    <t>9916354444</t>
  </si>
  <si>
    <t>157262928737</t>
  </si>
  <si>
    <t>9911843121</t>
  </si>
  <si>
    <t>205059510849</t>
  </si>
  <si>
    <t>9526818027</t>
  </si>
  <si>
    <t>589630291735</t>
  </si>
  <si>
    <t>9754823615</t>
  </si>
  <si>
    <t>498288921502</t>
  </si>
  <si>
    <t>9230680964</t>
  </si>
  <si>
    <t>947525415489</t>
  </si>
  <si>
    <t>9930529718</t>
  </si>
  <si>
    <t>726171158225</t>
  </si>
  <si>
    <t>9237260031</t>
  </si>
  <si>
    <t>855656188601</t>
  </si>
  <si>
    <t>9074592253</t>
  </si>
  <si>
    <t>257520136884</t>
  </si>
  <si>
    <t>9135906593</t>
  </si>
  <si>
    <t>703258678998</t>
  </si>
  <si>
    <t>9803098648</t>
  </si>
  <si>
    <t>827074299588</t>
  </si>
  <si>
    <t>9734929511</t>
  </si>
  <si>
    <t>371353795567</t>
  </si>
  <si>
    <t>9990657109</t>
  </si>
  <si>
    <t>268720425916</t>
  </si>
  <si>
    <t>9482814820</t>
  </si>
  <si>
    <t>261229726948</t>
  </si>
  <si>
    <t>9960991441</t>
  </si>
  <si>
    <t>304276331151</t>
  </si>
  <si>
    <t>9588875322</t>
  </si>
  <si>
    <t>834187088745</t>
  </si>
  <si>
    <t>9342423299</t>
  </si>
  <si>
    <t>337800583555</t>
  </si>
  <si>
    <t>9280178553</t>
  </si>
  <si>
    <t>141450720121</t>
  </si>
  <si>
    <t>9615336478</t>
  </si>
  <si>
    <t>079189773980</t>
  </si>
  <si>
    <t>9338683716</t>
  </si>
  <si>
    <t>124235992385</t>
  </si>
  <si>
    <t>9211288152</t>
  </si>
  <si>
    <t>916020660084</t>
  </si>
  <si>
    <t>9785822233</t>
  </si>
  <si>
    <t>005214444391</t>
  </si>
  <si>
    <t>9477801480</t>
  </si>
  <si>
    <t>290387425118</t>
  </si>
  <si>
    <t>9873611170</t>
  </si>
  <si>
    <t>686875267820</t>
  </si>
  <si>
    <t>9852941641</t>
  </si>
  <si>
    <t>177041283080</t>
  </si>
  <si>
    <t>9266591244</t>
  </si>
  <si>
    <t>493050885907</t>
  </si>
  <si>
    <t>9566495229</t>
  </si>
  <si>
    <t>922479653484</t>
  </si>
  <si>
    <t>9751583480</t>
  </si>
  <si>
    <t>819192980143</t>
  </si>
  <si>
    <t>9103592120</t>
  </si>
  <si>
    <t>938577912701</t>
  </si>
  <si>
    <t>9696274906</t>
  </si>
  <si>
    <t>320008061270</t>
  </si>
  <si>
    <t>9237788510</t>
  </si>
  <si>
    <t>528131911883</t>
  </si>
  <si>
    <t>9376962459</t>
  </si>
  <si>
    <t>021398012648</t>
  </si>
  <si>
    <t>9218736574</t>
  </si>
  <si>
    <t>227721654664</t>
  </si>
  <si>
    <t>9093836322</t>
  </si>
  <si>
    <t>547967788561</t>
  </si>
  <si>
    <t>9933760673</t>
  </si>
  <si>
    <t>603570350873</t>
  </si>
  <si>
    <t>9165577622</t>
  </si>
  <si>
    <t>708094664838</t>
  </si>
  <si>
    <t>9875934528</t>
  </si>
  <si>
    <t>320576239335</t>
  </si>
  <si>
    <t>9984498727</t>
  </si>
  <si>
    <t>942886440809</t>
  </si>
  <si>
    <t>9713979034</t>
  </si>
  <si>
    <t>067032764651</t>
  </si>
  <si>
    <t>9599078933</t>
  </si>
  <si>
    <t>897457054114</t>
  </si>
  <si>
    <t>9986570139</t>
  </si>
  <si>
    <t>591838837287</t>
  </si>
  <si>
    <t>9255716468</t>
  </si>
  <si>
    <t>926411960636</t>
  </si>
  <si>
    <t>9980582063</t>
  </si>
  <si>
    <t>149461403137</t>
  </si>
  <si>
    <t>9208820848</t>
  </si>
  <si>
    <t>794847402186</t>
  </si>
  <si>
    <t>9363033372</t>
  </si>
  <si>
    <t>357861927801</t>
  </si>
  <si>
    <t>9395762317</t>
  </si>
  <si>
    <t>709713503675</t>
  </si>
  <si>
    <t>9414770088</t>
  </si>
  <si>
    <t>322676901517</t>
  </si>
  <si>
    <t>9254013171</t>
  </si>
  <si>
    <t>785363435084</t>
  </si>
  <si>
    <t>9738030177</t>
  </si>
  <si>
    <t>454212683879</t>
  </si>
  <si>
    <t>9938504043</t>
  </si>
  <si>
    <t>112186751299</t>
  </si>
  <si>
    <t>9099441751</t>
  </si>
  <si>
    <t>612610516161</t>
  </si>
  <si>
    <t>9747353011</t>
  </si>
  <si>
    <t>963428560493</t>
  </si>
  <si>
    <t>9026825782</t>
  </si>
  <si>
    <t>626748204458</t>
  </si>
  <si>
    <t>9114962004</t>
  </si>
  <si>
    <t>723586949021</t>
  </si>
  <si>
    <t>9190388376</t>
  </si>
  <si>
    <t>321725948402</t>
  </si>
  <si>
    <t>9334136923</t>
  </si>
  <si>
    <t>237812501865</t>
  </si>
  <si>
    <t>9777123215</t>
  </si>
  <si>
    <t>418544734610</t>
  </si>
  <si>
    <t>9422841097</t>
  </si>
  <si>
    <t>689069945391</t>
  </si>
  <si>
    <t>9621592597</t>
  </si>
  <si>
    <t>944866178878</t>
  </si>
  <si>
    <t>9927479244</t>
  </si>
  <si>
    <t>660125935416</t>
  </si>
  <si>
    <t>9894919236</t>
  </si>
  <si>
    <t>733890540746</t>
  </si>
  <si>
    <t>9740680633</t>
  </si>
  <si>
    <t>243992788981</t>
  </si>
  <si>
    <t>9810008655</t>
  </si>
  <si>
    <t>075440161011</t>
  </si>
  <si>
    <t>9652343272</t>
  </si>
  <si>
    <t>663712313697</t>
  </si>
  <si>
    <t>9218520047</t>
  </si>
  <si>
    <t>018204518592</t>
  </si>
  <si>
    <t>9860427787</t>
  </si>
  <si>
    <t>057172513624</t>
  </si>
  <si>
    <t>9272561705</t>
  </si>
  <si>
    <t>766894997678</t>
  </si>
  <si>
    <t>9191743498</t>
  </si>
  <si>
    <t>011478878211</t>
  </si>
  <si>
    <t>9883290372</t>
  </si>
  <si>
    <t>622998178891</t>
  </si>
  <si>
    <t>9785656005</t>
  </si>
  <si>
    <t>351005578158</t>
  </si>
  <si>
    <t>9933566155</t>
  </si>
  <si>
    <t>514199352543</t>
  </si>
  <si>
    <t>9061917484</t>
  </si>
  <si>
    <t>647396686248</t>
  </si>
  <si>
    <t>9038654177</t>
  </si>
  <si>
    <t>143201858022</t>
  </si>
  <si>
    <t>9487957585</t>
  </si>
  <si>
    <t>425188314267</t>
  </si>
  <si>
    <t>9669111085</t>
  </si>
  <si>
    <t>024251407436</t>
  </si>
  <si>
    <t>9878601449</t>
  </si>
  <si>
    <t>760267466037</t>
  </si>
  <si>
    <t>9735051073</t>
  </si>
  <si>
    <t>831299945859</t>
  </si>
  <si>
    <t>9286391941</t>
  </si>
  <si>
    <t>246602567990</t>
  </si>
  <si>
    <t>9051178256</t>
  </si>
  <si>
    <t>053149048219</t>
  </si>
  <si>
    <t>9994142732</t>
  </si>
  <si>
    <t>193742362390</t>
  </si>
  <si>
    <t>9951282076</t>
  </si>
  <si>
    <t>104740057208</t>
  </si>
  <si>
    <t>9484472689</t>
  </si>
  <si>
    <t>594741399028</t>
  </si>
  <si>
    <t>9586844473</t>
  </si>
  <si>
    <t>815869297112</t>
  </si>
  <si>
    <t>9760886526</t>
  </si>
  <si>
    <t>282805109008</t>
  </si>
  <si>
    <t>9350425941</t>
  </si>
  <si>
    <t>426884401258</t>
  </si>
  <si>
    <t>9944068166</t>
  </si>
  <si>
    <t>417228418343</t>
  </si>
  <si>
    <t>9855839025</t>
  </si>
  <si>
    <t>557501947927</t>
  </si>
  <si>
    <t>9358597882</t>
  </si>
  <si>
    <t>116380687950</t>
  </si>
  <si>
    <t>9768710186</t>
  </si>
  <si>
    <t>955486069909</t>
  </si>
  <si>
    <t>9871045623</t>
  </si>
  <si>
    <t>771969351198</t>
  </si>
  <si>
    <t>9814907183</t>
  </si>
  <si>
    <t>337235837516</t>
  </si>
  <si>
    <t>9656087431</t>
  </si>
  <si>
    <t>650340823756</t>
  </si>
  <si>
    <t>9818996683</t>
  </si>
  <si>
    <t>322169201384</t>
  </si>
  <si>
    <t>9370499363</t>
  </si>
  <si>
    <t>359852648080</t>
  </si>
  <si>
    <t>9753328475</t>
  </si>
  <si>
    <t>759086094137</t>
  </si>
  <si>
    <t>9461893753</t>
  </si>
  <si>
    <t>907105982881</t>
  </si>
  <si>
    <t>9853765736</t>
  </si>
  <si>
    <t>055711697915</t>
  </si>
  <si>
    <t>9995544596</t>
  </si>
  <si>
    <t>868424528235</t>
  </si>
  <si>
    <t>9958445128</t>
  </si>
  <si>
    <t>037047371043</t>
  </si>
  <si>
    <t>9560163835</t>
  </si>
  <si>
    <t>835397625877</t>
  </si>
  <si>
    <t>9493889762</t>
  </si>
  <si>
    <t>811304247173</t>
  </si>
  <si>
    <t>9643844599</t>
  </si>
  <si>
    <t>378375825046</t>
  </si>
  <si>
    <t>9465125108</t>
  </si>
  <si>
    <t>130567917171</t>
  </si>
  <si>
    <t>9442958405</t>
  </si>
  <si>
    <t>069242865199</t>
  </si>
  <si>
    <t>9087140561</t>
  </si>
  <si>
    <t>115651854485</t>
  </si>
  <si>
    <t>9423983687</t>
  </si>
  <si>
    <t>453220261769</t>
  </si>
  <si>
    <t>9662180033</t>
  </si>
  <si>
    <t>795501295657</t>
  </si>
  <si>
    <t>9966887915</t>
  </si>
  <si>
    <t>765110925552</t>
  </si>
  <si>
    <t>9192776940</t>
  </si>
  <si>
    <t>954826353007</t>
  </si>
  <si>
    <t>9463226843</t>
  </si>
  <si>
    <t>514676613693</t>
  </si>
  <si>
    <t>9474765715</t>
  </si>
  <si>
    <t>616870662190</t>
  </si>
  <si>
    <t>9494721340</t>
  </si>
  <si>
    <t>102973373913</t>
  </si>
  <si>
    <t>9351615410</t>
  </si>
  <si>
    <t>661918633053</t>
  </si>
  <si>
    <t>9055812751</t>
  </si>
  <si>
    <t>926949417565</t>
  </si>
  <si>
    <t>9901263557</t>
  </si>
  <si>
    <t>729582234582</t>
  </si>
  <si>
    <t>9660933448</t>
  </si>
  <si>
    <t>304973618106</t>
  </si>
  <si>
    <t>9237571757</t>
  </si>
  <si>
    <t>156435834570</t>
  </si>
  <si>
    <t>9584322398</t>
  </si>
  <si>
    <t>603658866335</t>
  </si>
  <si>
    <t>9474189734</t>
  </si>
  <si>
    <t>734251765027</t>
  </si>
  <si>
    <t>9647683530</t>
  </si>
  <si>
    <t>172022587758</t>
  </si>
  <si>
    <t>9203407797</t>
  </si>
  <si>
    <t>094674921363</t>
  </si>
  <si>
    <t>9015983205</t>
  </si>
  <si>
    <t>960434158350</t>
  </si>
  <si>
    <t>9762948667</t>
  </si>
  <si>
    <t>214302042532</t>
  </si>
  <si>
    <t>9741003923</t>
  </si>
  <si>
    <t>471608354988</t>
  </si>
  <si>
    <t>9778132579</t>
  </si>
  <si>
    <t>823122171571</t>
  </si>
  <si>
    <t>9819948131</t>
  </si>
  <si>
    <t>715034645761</t>
  </si>
  <si>
    <t>9564706339</t>
  </si>
  <si>
    <t>005978560861</t>
  </si>
  <si>
    <t>9402073018</t>
  </si>
  <si>
    <t>597107214981</t>
  </si>
  <si>
    <t>9489801647</t>
  </si>
  <si>
    <t>540024913670</t>
  </si>
  <si>
    <t>9049560076</t>
  </si>
  <si>
    <t>226782737467</t>
  </si>
  <si>
    <t>9394370540</t>
  </si>
  <si>
    <t>538382817407</t>
  </si>
  <si>
    <t>9975587077</t>
  </si>
  <si>
    <t>619268639052</t>
  </si>
  <si>
    <t>9152493957</t>
  </si>
  <si>
    <t>831622329143</t>
  </si>
  <si>
    <t>9593929413</t>
  </si>
  <si>
    <t>796753135320</t>
  </si>
  <si>
    <t>9039050749</t>
  </si>
  <si>
    <t>781357207387</t>
  </si>
  <si>
    <t>9165088380</t>
  </si>
  <si>
    <t>572135588682</t>
  </si>
  <si>
    <t>9805325086</t>
  </si>
  <si>
    <t>240832654489</t>
  </si>
  <si>
    <t>9845785781</t>
  </si>
  <si>
    <t>961586401513</t>
  </si>
  <si>
    <t>9776825010</t>
  </si>
  <si>
    <t>198857538999</t>
  </si>
  <si>
    <t>9153453420</t>
  </si>
  <si>
    <t>842095363464</t>
  </si>
  <si>
    <t>9755732866</t>
  </si>
  <si>
    <t>102031588037</t>
  </si>
  <si>
    <t>9043196662</t>
  </si>
  <si>
    <t>823130990995</t>
  </si>
  <si>
    <t>9511399825</t>
  </si>
  <si>
    <t>386296068032</t>
  </si>
  <si>
    <t>9763771235</t>
  </si>
  <si>
    <t>091495455566</t>
  </si>
  <si>
    <t>9583559330</t>
  </si>
  <si>
    <t>715439475891</t>
  </si>
  <si>
    <t>9113865427</t>
  </si>
  <si>
    <t>430059135522</t>
  </si>
  <si>
    <t>9354776356</t>
  </si>
  <si>
    <t>278488045268</t>
  </si>
  <si>
    <t>9151276099</t>
  </si>
  <si>
    <t>703874638823</t>
  </si>
  <si>
    <t>9335977087</t>
  </si>
  <si>
    <t>912985120201</t>
  </si>
  <si>
    <t>9654757192</t>
  </si>
  <si>
    <t>273013368240</t>
  </si>
  <si>
    <t>9708903294</t>
  </si>
  <si>
    <t>871765718997</t>
  </si>
  <si>
    <t>9323071352</t>
  </si>
  <si>
    <t>310041911202</t>
  </si>
  <si>
    <t>9649069228</t>
  </si>
  <si>
    <t>928563353271</t>
  </si>
  <si>
    <t>9219926125</t>
  </si>
  <si>
    <t>421530304264</t>
  </si>
  <si>
    <t>9109036804</t>
  </si>
  <si>
    <t>664826990037</t>
  </si>
  <si>
    <t>9394078266</t>
  </si>
  <si>
    <t>294298635487</t>
  </si>
  <si>
    <t>9597630055</t>
  </si>
  <si>
    <t>644131907269</t>
  </si>
  <si>
    <t>9379502916</t>
  </si>
  <si>
    <t>932767574159</t>
  </si>
  <si>
    <t>9768842841</t>
  </si>
  <si>
    <t>529999440283</t>
  </si>
  <si>
    <t>9788419896</t>
  </si>
  <si>
    <t>533306860344</t>
  </si>
  <si>
    <t>9052061357</t>
  </si>
  <si>
    <t>773186031896</t>
  </si>
  <si>
    <t>9888444266</t>
  </si>
  <si>
    <t>483086350976</t>
  </si>
  <si>
    <t>9371290330</t>
  </si>
  <si>
    <t>917503272124</t>
  </si>
  <si>
    <t>9297959131</t>
  </si>
  <si>
    <t>671725437080</t>
  </si>
  <si>
    <t>9287100468</t>
  </si>
  <si>
    <t>273104670230</t>
  </si>
  <si>
    <t>9795201664</t>
  </si>
  <si>
    <t>425817424729</t>
  </si>
  <si>
    <t>9634764379</t>
  </si>
  <si>
    <t>304124109491</t>
  </si>
  <si>
    <t>9612793592</t>
  </si>
  <si>
    <t>297722098907</t>
  </si>
  <si>
    <t>9282973073</t>
  </si>
  <si>
    <t>875294313652</t>
  </si>
  <si>
    <t>9723218792</t>
  </si>
  <si>
    <t>229574866132</t>
  </si>
  <si>
    <t>9858446982</t>
  </si>
  <si>
    <t>153461964555</t>
  </si>
  <si>
    <t>9956416760</t>
  </si>
  <si>
    <t>615256452772</t>
  </si>
  <si>
    <t>9637119824</t>
  </si>
  <si>
    <t>665872922827</t>
  </si>
  <si>
    <t>9985350645</t>
  </si>
  <si>
    <t>336580769075</t>
  </si>
  <si>
    <t>9792597941</t>
  </si>
  <si>
    <t>669947805918</t>
  </si>
  <si>
    <t>9683100299</t>
  </si>
  <si>
    <t>221728673349</t>
  </si>
  <si>
    <t>9093461498</t>
  </si>
  <si>
    <t>106060829047</t>
  </si>
  <si>
    <t>9343973476</t>
  </si>
  <si>
    <t>634328506063</t>
  </si>
  <si>
    <t>9097090143</t>
  </si>
  <si>
    <t>355163792240</t>
  </si>
  <si>
    <t>9664731423</t>
  </si>
  <si>
    <t>108399947195</t>
  </si>
  <si>
    <t>9931186782</t>
  </si>
  <si>
    <t>785256045014</t>
  </si>
  <si>
    <t>9922469636</t>
  </si>
  <si>
    <t>053011907047</t>
  </si>
  <si>
    <t>9051394298</t>
  </si>
  <si>
    <t>245907765916</t>
  </si>
  <si>
    <t>9837314921</t>
  </si>
  <si>
    <t>869937111757</t>
  </si>
  <si>
    <t>9203524754</t>
  </si>
  <si>
    <t>472460290598</t>
  </si>
  <si>
    <t>9891840814</t>
  </si>
  <si>
    <t>438598516498</t>
  </si>
  <si>
    <t>9608240647</t>
  </si>
  <si>
    <t>995230850422</t>
  </si>
  <si>
    <t>9332061550</t>
  </si>
  <si>
    <t>922807692009</t>
  </si>
  <si>
    <t>9801979977</t>
  </si>
  <si>
    <t>763511869676</t>
  </si>
  <si>
    <t>9846088972</t>
  </si>
  <si>
    <t>689144527646</t>
  </si>
  <si>
    <t>9242428471</t>
  </si>
  <si>
    <t>173181586384</t>
  </si>
  <si>
    <t>9331439829</t>
  </si>
  <si>
    <t>840836734543</t>
  </si>
  <si>
    <t>9216765184</t>
  </si>
  <si>
    <t>960934686019</t>
  </si>
  <si>
    <t>9968491928</t>
  </si>
  <si>
    <t>217724401893</t>
  </si>
  <si>
    <t>9399007613</t>
  </si>
  <si>
    <t>251090395581</t>
  </si>
  <si>
    <t>9356942765</t>
  </si>
  <si>
    <t>100493807752</t>
  </si>
  <si>
    <t>9688141096</t>
  </si>
  <si>
    <t>924961292732</t>
  </si>
  <si>
    <t>9060341864</t>
  </si>
  <si>
    <t>467198692606</t>
  </si>
  <si>
    <t>9884031913</t>
  </si>
  <si>
    <t>197513773526</t>
  </si>
  <si>
    <t>9249697900</t>
  </si>
  <si>
    <t>588370530968</t>
  </si>
  <si>
    <t>9688976389</t>
  </si>
  <si>
    <t>471712480822</t>
  </si>
  <si>
    <t>9867844579</t>
  </si>
  <si>
    <t>490170891568</t>
  </si>
  <si>
    <t>9455625939</t>
  </si>
  <si>
    <t>787111706060</t>
  </si>
  <si>
    <t>9828853042</t>
  </si>
  <si>
    <t>737042897135</t>
  </si>
  <si>
    <t>9356208676</t>
  </si>
  <si>
    <t>170425554073</t>
  </si>
  <si>
    <t>9357083230</t>
  </si>
  <si>
    <t>704662662181</t>
  </si>
  <si>
    <t>9595642139</t>
  </si>
  <si>
    <t>025498407351</t>
  </si>
  <si>
    <t>9708481676</t>
  </si>
  <si>
    <t>460541395829</t>
  </si>
  <si>
    <t>9896061425</t>
  </si>
  <si>
    <t>705100176125</t>
  </si>
  <si>
    <t>9175577011</t>
  </si>
  <si>
    <t>413263102592</t>
  </si>
  <si>
    <t>9984137682</t>
  </si>
  <si>
    <t>303967659925</t>
  </si>
  <si>
    <t>9636719098</t>
  </si>
  <si>
    <t>644045772397</t>
  </si>
  <si>
    <t>9063768787</t>
  </si>
  <si>
    <t>585970286564</t>
  </si>
  <si>
    <t>9235599986</t>
  </si>
  <si>
    <t>378573740781</t>
  </si>
  <si>
    <t>9918561238</t>
  </si>
  <si>
    <t>288532698388</t>
  </si>
  <si>
    <t>9768652197</t>
  </si>
  <si>
    <t>880651037960</t>
  </si>
  <si>
    <t>9099437854</t>
  </si>
  <si>
    <t>119533956328</t>
  </si>
  <si>
    <t>9137378409</t>
  </si>
  <si>
    <t>558839242046</t>
  </si>
  <si>
    <t>9256705450</t>
  </si>
  <si>
    <t>231450126014</t>
  </si>
  <si>
    <t>9567695489</t>
  </si>
  <si>
    <t>370747082351</t>
  </si>
  <si>
    <t>9427967404</t>
  </si>
  <si>
    <t>102180413831</t>
  </si>
  <si>
    <t>9990537188</t>
  </si>
  <si>
    <t>561485120777</t>
  </si>
  <si>
    <t>9900263658</t>
  </si>
  <si>
    <t>174297322104</t>
  </si>
  <si>
    <t>9614593079</t>
  </si>
  <si>
    <t>502860223138</t>
  </si>
  <si>
    <t>9663301892</t>
  </si>
  <si>
    <t>799141813321</t>
  </si>
  <si>
    <t>9369427531</t>
  </si>
  <si>
    <t>069581708317</t>
  </si>
  <si>
    <t>9238957726</t>
  </si>
  <si>
    <t>729410809175</t>
  </si>
  <si>
    <t>9332502897</t>
  </si>
  <si>
    <t>624227138991</t>
  </si>
  <si>
    <t>9296660310</t>
  </si>
  <si>
    <t>435021040550</t>
  </si>
  <si>
    <t>9686034400</t>
  </si>
  <si>
    <t>323541612888</t>
  </si>
  <si>
    <t>9381018660</t>
  </si>
  <si>
    <t>079235894221</t>
  </si>
  <si>
    <t>9750124566</t>
  </si>
  <si>
    <t>040432200014</t>
  </si>
  <si>
    <t>9511081176</t>
  </si>
  <si>
    <t>643065289571</t>
  </si>
  <si>
    <t>9252475533</t>
  </si>
  <si>
    <t>717561610934</t>
  </si>
  <si>
    <t>9544677035</t>
  </si>
  <si>
    <t>860977821813</t>
  </si>
  <si>
    <t>9816759435</t>
  </si>
  <si>
    <t>904184846250</t>
  </si>
  <si>
    <t>9741039020</t>
  </si>
  <si>
    <t>301047948278</t>
  </si>
  <si>
    <t>9825806143</t>
  </si>
  <si>
    <t>594950777388</t>
  </si>
  <si>
    <t>9133385165</t>
  </si>
  <si>
    <t>894390106666</t>
  </si>
  <si>
    <t>9817970067</t>
  </si>
  <si>
    <t>771532921774</t>
  </si>
  <si>
    <t>9052398875</t>
  </si>
  <si>
    <t>941765681630</t>
  </si>
  <si>
    <t>9610634147</t>
  </si>
  <si>
    <t>237556688965</t>
  </si>
  <si>
    <t>9432811705</t>
  </si>
  <si>
    <t>803864034189</t>
  </si>
  <si>
    <t>9330670984</t>
  </si>
  <si>
    <t>972811743357</t>
  </si>
  <si>
    <t>9479011005</t>
  </si>
  <si>
    <t>745674168689</t>
  </si>
  <si>
    <t>9118455289</t>
  </si>
  <si>
    <t>151977317011</t>
  </si>
  <si>
    <t>9750795386</t>
  </si>
  <si>
    <t>691426136108</t>
  </si>
  <si>
    <t>9919109709</t>
  </si>
  <si>
    <t>504786701794</t>
  </si>
  <si>
    <t>9432554117</t>
  </si>
  <si>
    <t>223784223966</t>
  </si>
  <si>
    <t>9666601969</t>
  </si>
  <si>
    <t>670710618643</t>
  </si>
  <si>
    <t>9623494291</t>
  </si>
  <si>
    <t>089277818383</t>
  </si>
  <si>
    <t>9671005264</t>
  </si>
  <si>
    <t>561319581281</t>
  </si>
  <si>
    <t>9209015469</t>
  </si>
  <si>
    <t>926158763487</t>
  </si>
  <si>
    <t>9508801018</t>
  </si>
  <si>
    <t>765153312945</t>
  </si>
  <si>
    <t>9878775302</t>
  </si>
  <si>
    <t>545594620063</t>
  </si>
  <si>
    <t>9609047315</t>
  </si>
  <si>
    <t>035983583769</t>
  </si>
  <si>
    <t>9734925356</t>
  </si>
  <si>
    <t>714282206930</t>
  </si>
  <si>
    <t>9879989504</t>
  </si>
  <si>
    <t>935196636314</t>
  </si>
  <si>
    <t>9018605496</t>
  </si>
  <si>
    <t>585619039200</t>
  </si>
  <si>
    <t>9153577614</t>
  </si>
  <si>
    <t>436051797008</t>
  </si>
  <si>
    <t>9478953724</t>
  </si>
  <si>
    <t>442807816296</t>
  </si>
  <si>
    <t>9695072504</t>
  </si>
  <si>
    <t>909395994589</t>
  </si>
  <si>
    <t>9589882087</t>
  </si>
  <si>
    <t>439558029635</t>
  </si>
  <si>
    <t>9982490036</t>
  </si>
  <si>
    <t>223003253550</t>
  </si>
  <si>
    <t>Age_Group</t>
  </si>
  <si>
    <t>Month</t>
  </si>
  <si>
    <t>Month_Number</t>
  </si>
  <si>
    <t>Quarter</t>
  </si>
  <si>
    <t>Year</t>
  </si>
  <si>
    <t>Day_Name</t>
  </si>
  <si>
    <t>Recovery_Date</t>
  </si>
  <si>
    <t>Risk_Level</t>
  </si>
  <si>
    <t>Follow_up</t>
  </si>
  <si>
    <t>Patient_Category</t>
  </si>
  <si>
    <t>Satisfaction_Level</t>
  </si>
  <si>
    <t>Cost_Category</t>
  </si>
  <si>
    <t>Weekend_Admission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</si>
</sst>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85"/>
  <sheetViews>
    <sheetView tabSelected="1" topLeftCell="T1" workbookViewId="0">
      <selection activeCell="Y14" sqref="Y14"/>
    </sheetView>
  </sheetViews>
  <sheetFormatPr defaultRowHeight="14.4" x14ac:dyDescent="0.3"/>
  <cols>
    <col min="4" max="4" width="18.5546875" customWidth="1"/>
    <col min="5" max="5" width="33.33203125" customWidth="1"/>
    <col min="10" max="10" width="15.21875" customWidth="1"/>
    <col min="11" max="11" width="13.21875" customWidth="1"/>
    <col min="12" max="12" width="14" customWidth="1"/>
    <col min="13" max="13" width="16.5546875" customWidth="1"/>
    <col min="14" max="14" width="18.6640625" customWidth="1"/>
    <col min="15" max="15" width="21.88671875" customWidth="1"/>
    <col min="16" max="16" width="14.44140625" customWidth="1"/>
    <col min="17" max="17" width="14.21875" customWidth="1"/>
    <col min="18" max="18" width="13" customWidth="1"/>
    <col min="21" max="21" width="17.109375" customWidth="1"/>
    <col min="22" max="22" width="15.6640625" customWidth="1"/>
    <col min="24" max="24" width="15.21875" customWidth="1"/>
    <col min="27" max="27" width="14" customWidth="1"/>
    <col min="28" max="28" width="16.21875" customWidth="1"/>
    <col min="29" max="29" width="11.33203125" customWidth="1"/>
    <col min="31" max="31" width="15" customWidth="1"/>
    <col min="32" max="32" width="14.77734375" customWidth="1"/>
    <col min="33" max="33" width="20.44140625" customWidth="1"/>
    <col min="34" max="34" width="18.77734375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2095</v>
      </c>
      <c r="W1" s="3" t="s">
        <v>2096</v>
      </c>
      <c r="X1" s="3" t="s">
        <v>2097</v>
      </c>
      <c r="Y1" s="3" t="s">
        <v>2098</v>
      </c>
      <c r="Z1" s="3" t="s">
        <v>2099</v>
      </c>
      <c r="AA1" s="3" t="s">
        <v>2100</v>
      </c>
      <c r="AB1" s="3" t="s">
        <v>2101</v>
      </c>
      <c r="AC1" s="3" t="s">
        <v>2102</v>
      </c>
      <c r="AD1" s="4" t="s">
        <v>2103</v>
      </c>
      <c r="AE1" s="4" t="s">
        <v>2104</v>
      </c>
      <c r="AF1" s="4" t="s">
        <v>2106</v>
      </c>
      <c r="AG1" s="4" t="s">
        <v>2105</v>
      </c>
      <c r="AH1" s="4" t="s">
        <v>2107</v>
      </c>
    </row>
    <row r="2" spans="1:34" x14ac:dyDescent="0.3">
      <c r="A2">
        <v>1</v>
      </c>
      <c r="B2">
        <v>45</v>
      </c>
      <c r="C2" t="s">
        <v>21</v>
      </c>
      <c r="D2" t="s">
        <v>22</v>
      </c>
      <c r="E2" t="s">
        <v>23</v>
      </c>
      <c r="F2">
        <v>15000</v>
      </c>
      <c r="G2">
        <v>5</v>
      </c>
      <c r="H2" t="s">
        <v>24</v>
      </c>
      <c r="I2" t="s">
        <v>25</v>
      </c>
      <c r="J2">
        <v>4</v>
      </c>
      <c r="K2" t="s">
        <v>26</v>
      </c>
      <c r="L2" t="s">
        <v>27</v>
      </c>
      <c r="M2" t="s">
        <v>28</v>
      </c>
      <c r="N2" s="2">
        <v>45658</v>
      </c>
      <c r="O2" s="2">
        <v>45663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  <c r="V2" t="str">
        <f>IF(B2&lt;=18,"Children",IF(B2&lt;=35,"Young adult",IF(B2&lt;=60,"Adult", "Senior Citizen")))</f>
        <v>Adult</v>
      </c>
      <c r="W2" t="str">
        <f>TEXT(N2,"MMM")</f>
        <v>Jan</v>
      </c>
      <c r="X2">
        <f>MONTH(N2)</f>
        <v>1</v>
      </c>
      <c r="Y2" t="str">
        <f>"Q"&amp;ROUNDUP(MONTH(N2)/3,0)</f>
        <v>Q1</v>
      </c>
      <c r="Z2">
        <f>YEAR(N2)</f>
        <v>2025</v>
      </c>
      <c r="AA2" t="str">
        <f>TEXT(N2, "dddd")</f>
        <v>Wednesday</v>
      </c>
      <c r="AB2">
        <f>N2-O2</f>
        <v>-5</v>
      </c>
      <c r="AC2" t="str">
        <f>IF(OR(D2="Heart Disease",D2="Cancer",D2="Stroke"),"High",IF(OR(D2="Diabetes",D2="Asthma"),"Medium","Low"))</f>
        <v>High</v>
      </c>
      <c r="AD2" t="str">
        <f>IF(AC2="High","Yes","No")</f>
        <v>Yes</v>
      </c>
      <c r="AE2" t="str">
        <f>IF(G2&lt;=2,"Short Stay", IF(G2&lt;=7,"Normal Stay", "Long Stay"))</f>
        <v>Normal Stay</v>
      </c>
      <c r="AF2" t="str">
        <f>IF(F2&gt;60000,"Expensive",IF(F2&gt;30000,"Moderate","Affordable"))</f>
        <v>Affordable</v>
      </c>
      <c r="AG2" t="str">
        <f>IF(J2&gt;=4.5,"Excellent",IF(J2&gt;=3.5,"Good",IF(J2&gt;=2.5,"Average","Poor")))</f>
        <v>Good</v>
      </c>
      <c r="AH2" t="str">
        <f>IF(OR(TEXT(N2,"dddd")="Saturday",TEXT(N2,"dddd")="Sunday"),"Weekend","Weekday")</f>
        <v>Weekday</v>
      </c>
    </row>
    <row r="3" spans="1:34" x14ac:dyDescent="0.3">
      <c r="A3">
        <v>2</v>
      </c>
      <c r="B3">
        <v>60</v>
      </c>
      <c r="C3" t="s">
        <v>35</v>
      </c>
      <c r="D3" t="s">
        <v>36</v>
      </c>
      <c r="E3" t="s">
        <v>37</v>
      </c>
      <c r="F3">
        <v>2000</v>
      </c>
      <c r="G3">
        <v>3</v>
      </c>
      <c r="H3" t="s">
        <v>38</v>
      </c>
      <c r="I3" t="s">
        <v>39</v>
      </c>
      <c r="J3">
        <v>3</v>
      </c>
      <c r="K3" t="s">
        <v>40</v>
      </c>
      <c r="L3" t="s">
        <v>41</v>
      </c>
      <c r="M3" t="s">
        <v>42</v>
      </c>
      <c r="N3" s="2">
        <v>45659</v>
      </c>
      <c r="O3" s="2">
        <v>45662</v>
      </c>
      <c r="P3" t="s">
        <v>43</v>
      </c>
      <c r="Q3" t="s">
        <v>44</v>
      </c>
      <c r="R3" t="s">
        <v>45</v>
      </c>
      <c r="S3" t="s">
        <v>32</v>
      </c>
      <c r="T3" t="s">
        <v>33</v>
      </c>
      <c r="U3" t="s">
        <v>46</v>
      </c>
      <c r="V3" t="str">
        <f>IF(B3&lt;=18,"Children",IF(B3&lt;=35,"Young adult",IF(B3&lt;=60,"Adult", "Senior Citizen")))</f>
        <v>Adult</v>
      </c>
      <c r="W3" t="str">
        <f t="shared" ref="W3:W66" si="0">TEXT(N3,"MMM")</f>
        <v>Jan</v>
      </c>
      <c r="X3">
        <f t="shared" ref="X3:X66" si="1">MONTH(N3)</f>
        <v>1</v>
      </c>
      <c r="Y3" t="str">
        <f t="shared" ref="Y3:Y66" si="2">"Q"&amp;ROUNDUP(MONTH(N3)/3,0)</f>
        <v>Q1</v>
      </c>
      <c r="Z3">
        <f t="shared" ref="Z3:Z66" si="3">YEAR(N3)</f>
        <v>2025</v>
      </c>
      <c r="AA3" t="str">
        <f t="shared" ref="AA3:AA66" si="4">TEXT(N3, "dddd")</f>
        <v>Thursday</v>
      </c>
      <c r="AB3">
        <f t="shared" ref="AB3:AB66" si="5">N3-O3</f>
        <v>-3</v>
      </c>
      <c r="AC3" t="str">
        <f>IF(OR(D3="Heart Disease",D3="Cancer",D3="Stroke"),"High",IF(OR(D3="Diabetes",D3="Asthma"),"Medium","Low"))</f>
        <v>Medium</v>
      </c>
      <c r="AD3" t="str">
        <f t="shared" ref="AD3:AD66" si="6">IF(AC3="High","Yes","No")</f>
        <v>No</v>
      </c>
      <c r="AE3" t="str">
        <f>IF(G3&lt;=2,"Short Stay", IF(G3&lt;=7,"Normal Stay", "Long Stay"))</f>
        <v>Normal Stay</v>
      </c>
      <c r="AF3" t="str">
        <f>IF(F3&gt;60000,"Expensive",IF(F3&gt;30000,"Moderate","Affordable"))</f>
        <v>Affordable</v>
      </c>
      <c r="AG3" t="str">
        <f>IF(J3&gt;=4.5,"Excellent",IF(J3&gt;=3.5,"Good",IF(J3&gt;=2.5,"Average","Poor")))</f>
        <v>Average</v>
      </c>
      <c r="AH3" t="str">
        <f>IF(OR(TEXT(N3,"dddd")="Saturday",TEXT(N3,"dddd")="Sunday"),"Weekend","Weekday")</f>
        <v>Weekday</v>
      </c>
    </row>
    <row r="4" spans="1:34" x14ac:dyDescent="0.3">
      <c r="A4">
        <v>3</v>
      </c>
      <c r="B4">
        <v>32</v>
      </c>
      <c r="C4" t="s">
        <v>21</v>
      </c>
      <c r="D4" t="s">
        <v>47</v>
      </c>
      <c r="E4" t="s">
        <v>48</v>
      </c>
      <c r="F4">
        <v>500</v>
      </c>
      <c r="G4">
        <v>1</v>
      </c>
      <c r="H4" t="s">
        <v>24</v>
      </c>
      <c r="I4" t="s">
        <v>25</v>
      </c>
      <c r="J4">
        <v>5</v>
      </c>
      <c r="K4" t="s">
        <v>49</v>
      </c>
      <c r="L4" t="s">
        <v>50</v>
      </c>
      <c r="M4" t="s">
        <v>51</v>
      </c>
      <c r="N4" s="2">
        <v>45660</v>
      </c>
      <c r="O4" s="2">
        <v>45661</v>
      </c>
      <c r="P4" t="s">
        <v>29</v>
      </c>
      <c r="Q4" t="s">
        <v>52</v>
      </c>
      <c r="R4" t="s">
        <v>45</v>
      </c>
      <c r="S4" t="s">
        <v>53</v>
      </c>
      <c r="T4" t="s">
        <v>33</v>
      </c>
      <c r="U4" t="s">
        <v>34</v>
      </c>
      <c r="V4" t="str">
        <f>IF(B4&lt;=18,"Children",IF(B4&lt;=35,"Young adult",IF(B4&lt;=60,"Adult", "Senior Citizen")))</f>
        <v>Young adult</v>
      </c>
      <c r="W4" t="str">
        <f t="shared" si="0"/>
        <v>Jan</v>
      </c>
      <c r="X4">
        <f t="shared" si="1"/>
        <v>1</v>
      </c>
      <c r="Y4" t="str">
        <f t="shared" si="2"/>
        <v>Q1</v>
      </c>
      <c r="Z4">
        <f t="shared" si="3"/>
        <v>2025</v>
      </c>
      <c r="AA4" t="str">
        <f t="shared" si="4"/>
        <v>Friday</v>
      </c>
      <c r="AB4">
        <f t="shared" si="5"/>
        <v>-1</v>
      </c>
      <c r="AC4" t="str">
        <f>IF(OR(D4="Heart Disease",D4="Cancer",D4="Stroke"),"High",IF(OR(D4="Diabetes",D4="Asthma"),"Medium","Low"))</f>
        <v>Low</v>
      </c>
      <c r="AD4" t="str">
        <f t="shared" si="6"/>
        <v>No</v>
      </c>
      <c r="AE4" t="str">
        <f>IF(G4&lt;=2,"Short Stay", IF(G4&lt;=7,"Normal Stay", "Long Stay"))</f>
        <v>Short Stay</v>
      </c>
      <c r="AF4" t="str">
        <f>IF(F4&gt;60000,"Expensive",IF(F4&gt;30000,"Moderate","Affordable"))</f>
        <v>Affordable</v>
      </c>
      <c r="AG4" t="str">
        <f>IF(J4&gt;=4.5,"Excellent",IF(J4&gt;=3.5,"Good",IF(J4&gt;=2.5,"Average","Poor")))</f>
        <v>Excellent</v>
      </c>
      <c r="AH4" t="str">
        <f>IF(OR(TEXT(N4,"dddd")="Saturday",TEXT(N4,"dddd")="Sunday"),"Weekend","Weekday")</f>
        <v>Weekday</v>
      </c>
    </row>
    <row r="5" spans="1:34" x14ac:dyDescent="0.3">
      <c r="A5">
        <v>4</v>
      </c>
      <c r="B5">
        <v>75</v>
      </c>
      <c r="C5" t="s">
        <v>35</v>
      </c>
      <c r="D5" t="s">
        <v>54</v>
      </c>
      <c r="E5" t="s">
        <v>55</v>
      </c>
      <c r="F5">
        <v>10000</v>
      </c>
      <c r="G5">
        <v>7</v>
      </c>
      <c r="H5" t="s">
        <v>38</v>
      </c>
      <c r="I5" t="s">
        <v>39</v>
      </c>
      <c r="J5">
        <v>2</v>
      </c>
      <c r="K5" t="s">
        <v>56</v>
      </c>
      <c r="L5" t="s">
        <v>57</v>
      </c>
      <c r="M5" t="s">
        <v>58</v>
      </c>
      <c r="N5" s="2">
        <v>45661</v>
      </c>
      <c r="O5" s="2">
        <v>45668</v>
      </c>
      <c r="P5" t="s">
        <v>43</v>
      </c>
      <c r="Q5" t="s">
        <v>52</v>
      </c>
      <c r="R5" t="s">
        <v>59</v>
      </c>
      <c r="S5" t="s">
        <v>53</v>
      </c>
      <c r="T5" t="s">
        <v>33</v>
      </c>
      <c r="U5" t="s">
        <v>46</v>
      </c>
      <c r="V5" t="str">
        <f>IF(B5&lt;=18,"Children",IF(B5&lt;=35,"Young adult",IF(B5&lt;=60,"Adult", "Senior Citizen")))</f>
        <v>Senior Citizen</v>
      </c>
      <c r="W5" t="str">
        <f t="shared" si="0"/>
        <v>Jan</v>
      </c>
      <c r="X5">
        <f t="shared" si="1"/>
        <v>1</v>
      </c>
      <c r="Y5" t="str">
        <f t="shared" si="2"/>
        <v>Q1</v>
      </c>
      <c r="Z5">
        <f t="shared" si="3"/>
        <v>2025</v>
      </c>
      <c r="AA5" t="str">
        <f t="shared" si="4"/>
        <v>Saturday</v>
      </c>
      <c r="AB5">
        <f t="shared" si="5"/>
        <v>-7</v>
      </c>
      <c r="AC5" t="str">
        <f>IF(OR(D5="Heart Disease",D5="Cancer",D5="Stroke"),"High",IF(OR(D5="Diabetes",D5="Asthma"),"Medium","Low"))</f>
        <v>High</v>
      </c>
      <c r="AD5" t="str">
        <f t="shared" si="6"/>
        <v>Yes</v>
      </c>
      <c r="AE5" t="str">
        <f>IF(G5&lt;=2,"Short Stay", IF(G5&lt;=7,"Normal Stay", "Long Stay"))</f>
        <v>Normal Stay</v>
      </c>
      <c r="AF5" t="str">
        <f>IF(F5&gt;60000,"Expensive",IF(F5&gt;30000,"Moderate","Affordable"))</f>
        <v>Affordable</v>
      </c>
      <c r="AG5" t="str">
        <f>IF(J5&gt;=4.5,"Excellent",IF(J5&gt;=3.5,"Good",IF(J5&gt;=2.5,"Average","Poor")))</f>
        <v>Poor</v>
      </c>
      <c r="AH5" t="str">
        <f>IF(OR(TEXT(N5,"dddd")="Saturday",TEXT(N5,"dddd")="Sunday"),"Weekend","Weekday")</f>
        <v>Weekend</v>
      </c>
    </row>
    <row r="6" spans="1:34" x14ac:dyDescent="0.3">
      <c r="A6">
        <v>5</v>
      </c>
      <c r="B6">
        <v>50</v>
      </c>
      <c r="C6" t="s">
        <v>21</v>
      </c>
      <c r="D6" t="s">
        <v>60</v>
      </c>
      <c r="E6" t="s">
        <v>61</v>
      </c>
      <c r="F6">
        <v>25000</v>
      </c>
      <c r="G6">
        <v>10</v>
      </c>
      <c r="H6" t="s">
        <v>24</v>
      </c>
      <c r="I6" t="s">
        <v>25</v>
      </c>
      <c r="J6">
        <v>4</v>
      </c>
      <c r="K6" t="s">
        <v>62</v>
      </c>
      <c r="L6" t="s">
        <v>63</v>
      </c>
      <c r="M6" t="s">
        <v>64</v>
      </c>
      <c r="N6" s="2">
        <v>45662</v>
      </c>
      <c r="O6" s="2">
        <v>45672</v>
      </c>
      <c r="P6" t="s">
        <v>29</v>
      </c>
      <c r="Q6" t="s">
        <v>30</v>
      </c>
      <c r="R6" t="s">
        <v>65</v>
      </c>
      <c r="S6" t="s">
        <v>53</v>
      </c>
      <c r="T6" t="s">
        <v>33</v>
      </c>
      <c r="U6" t="s">
        <v>46</v>
      </c>
      <c r="V6" t="str">
        <f>IF(B6&lt;=18,"Children",IF(B6&lt;=35,"Young adult",IF(B6&lt;=60,"Adult", "Senior Citizen")))</f>
        <v>Adult</v>
      </c>
      <c r="W6" t="str">
        <f t="shared" si="0"/>
        <v>Jan</v>
      </c>
      <c r="X6">
        <f t="shared" si="1"/>
        <v>1</v>
      </c>
      <c r="Y6" t="str">
        <f t="shared" si="2"/>
        <v>Q1</v>
      </c>
      <c r="Z6">
        <f t="shared" si="3"/>
        <v>2025</v>
      </c>
      <c r="AA6" t="str">
        <f t="shared" si="4"/>
        <v>Sunday</v>
      </c>
      <c r="AB6">
        <f t="shared" si="5"/>
        <v>-10</v>
      </c>
      <c r="AC6" t="str">
        <f>IF(OR(D6="Heart Disease",D6="Cancer",D6="Stroke"),"High",IF(OR(D6="Diabetes",D6="Asthma"),"Medium","Low"))</f>
        <v>High</v>
      </c>
      <c r="AD6" t="str">
        <f t="shared" si="6"/>
        <v>Yes</v>
      </c>
      <c r="AE6" t="str">
        <f>IF(G6&lt;=2,"Short Stay", IF(G6&lt;=7,"Normal Stay", "Long Stay"))</f>
        <v>Long Stay</v>
      </c>
      <c r="AF6" t="str">
        <f>IF(F6&gt;60000,"Expensive",IF(F6&gt;30000,"Moderate","Affordable"))</f>
        <v>Affordable</v>
      </c>
      <c r="AG6" t="str">
        <f>IF(J6&gt;=4.5,"Excellent",IF(J6&gt;=3.5,"Good",IF(J6&gt;=2.5,"Average","Poor")))</f>
        <v>Good</v>
      </c>
      <c r="AH6" t="str">
        <f>IF(OR(TEXT(N6,"dddd")="Saturday",TEXT(N6,"dddd")="Sunday"),"Weekend","Weekday")</f>
        <v>Weekend</v>
      </c>
    </row>
    <row r="7" spans="1:34" x14ac:dyDescent="0.3">
      <c r="A7">
        <v>6</v>
      </c>
      <c r="B7">
        <v>68</v>
      </c>
      <c r="C7" t="s">
        <v>35</v>
      </c>
      <c r="D7" t="s">
        <v>66</v>
      </c>
      <c r="E7" t="s">
        <v>67</v>
      </c>
      <c r="F7">
        <v>1000</v>
      </c>
      <c r="G7">
        <v>2</v>
      </c>
      <c r="H7" t="s">
        <v>24</v>
      </c>
      <c r="I7" t="s">
        <v>39</v>
      </c>
      <c r="J7">
        <v>4</v>
      </c>
      <c r="K7" t="s">
        <v>68</v>
      </c>
      <c r="L7" t="s">
        <v>69</v>
      </c>
      <c r="M7" t="s">
        <v>70</v>
      </c>
      <c r="N7" s="2">
        <v>45663</v>
      </c>
      <c r="O7" s="2">
        <v>45665</v>
      </c>
      <c r="P7" t="s">
        <v>29</v>
      </c>
      <c r="Q7" t="s">
        <v>71</v>
      </c>
      <c r="R7" t="s">
        <v>45</v>
      </c>
      <c r="S7" t="s">
        <v>72</v>
      </c>
      <c r="T7" t="s">
        <v>33</v>
      </c>
      <c r="U7" t="s">
        <v>46</v>
      </c>
      <c r="V7" t="str">
        <f>IF(B7&lt;=18,"Children",IF(B7&lt;=35,"Young adult",IF(B7&lt;=60,"Adult", "Senior Citizen")))</f>
        <v>Senior Citizen</v>
      </c>
      <c r="W7" t="str">
        <f t="shared" si="0"/>
        <v>Jan</v>
      </c>
      <c r="X7">
        <f t="shared" si="1"/>
        <v>1</v>
      </c>
      <c r="Y7" t="str">
        <f t="shared" si="2"/>
        <v>Q1</v>
      </c>
      <c r="Z7">
        <f t="shared" si="3"/>
        <v>2025</v>
      </c>
      <c r="AA7" t="str">
        <f t="shared" si="4"/>
        <v>Monday</v>
      </c>
      <c r="AB7">
        <f t="shared" si="5"/>
        <v>-2</v>
      </c>
      <c r="AC7" t="str">
        <f>IF(OR(D7="Heart Disease",D7="Cancer",D7="Stroke"),"High",IF(OR(D7="Diabetes",D7="Asthma"),"Medium","Low"))</f>
        <v>Low</v>
      </c>
      <c r="AD7" t="str">
        <f t="shared" si="6"/>
        <v>No</v>
      </c>
      <c r="AE7" t="str">
        <f>IF(G7&lt;=2,"Short Stay", IF(G7&lt;=7,"Normal Stay", "Long Stay"))</f>
        <v>Short Stay</v>
      </c>
      <c r="AF7" t="str">
        <f>IF(F7&gt;60000,"Expensive",IF(F7&gt;30000,"Moderate","Affordable"))</f>
        <v>Affordable</v>
      </c>
      <c r="AG7" t="str">
        <f>IF(J7&gt;=4.5,"Excellent",IF(J7&gt;=3.5,"Good",IF(J7&gt;=2.5,"Average","Poor")))</f>
        <v>Good</v>
      </c>
      <c r="AH7" t="str">
        <f>IF(OR(TEXT(N7,"dddd")="Saturday",TEXT(N7,"dddd")="Sunday"),"Weekend","Weekday")</f>
        <v>Weekday</v>
      </c>
    </row>
    <row r="8" spans="1:34" x14ac:dyDescent="0.3">
      <c r="A8">
        <v>7</v>
      </c>
      <c r="B8">
        <v>55</v>
      </c>
      <c r="C8" t="s">
        <v>21</v>
      </c>
      <c r="D8" t="s">
        <v>73</v>
      </c>
      <c r="E8" t="s">
        <v>74</v>
      </c>
      <c r="F8">
        <v>8000</v>
      </c>
      <c r="G8">
        <v>4</v>
      </c>
      <c r="H8" t="s">
        <v>24</v>
      </c>
      <c r="I8" t="s">
        <v>25</v>
      </c>
      <c r="J8">
        <v>3</v>
      </c>
      <c r="K8" t="s">
        <v>62</v>
      </c>
      <c r="L8" t="s">
        <v>75</v>
      </c>
      <c r="M8" t="s">
        <v>76</v>
      </c>
      <c r="N8" s="2">
        <v>45664</v>
      </c>
      <c r="O8" s="2">
        <v>45668</v>
      </c>
      <c r="P8" t="s">
        <v>43</v>
      </c>
      <c r="Q8" t="s">
        <v>71</v>
      </c>
      <c r="R8" t="s">
        <v>45</v>
      </c>
      <c r="S8" t="s">
        <v>77</v>
      </c>
      <c r="T8" t="s">
        <v>33</v>
      </c>
      <c r="U8" t="s">
        <v>78</v>
      </c>
      <c r="V8" t="str">
        <f>IF(B8&lt;=18,"Children",IF(B8&lt;=35,"Young adult",IF(B8&lt;=60,"Adult", "Senior Citizen")))</f>
        <v>Adult</v>
      </c>
      <c r="W8" t="str">
        <f t="shared" si="0"/>
        <v>Jan</v>
      </c>
      <c r="X8">
        <f t="shared" si="1"/>
        <v>1</v>
      </c>
      <c r="Y8" t="str">
        <f t="shared" si="2"/>
        <v>Q1</v>
      </c>
      <c r="Z8">
        <f t="shared" si="3"/>
        <v>2025</v>
      </c>
      <c r="AA8" t="str">
        <f t="shared" si="4"/>
        <v>Tuesday</v>
      </c>
      <c r="AB8">
        <f t="shared" si="5"/>
        <v>-4</v>
      </c>
      <c r="AC8" t="str">
        <f>IF(OR(D8="Heart Disease",D8="Cancer",D8="Stroke"),"High",IF(OR(D8="Diabetes",D8="Asthma"),"Medium","Low"))</f>
        <v>Low</v>
      </c>
      <c r="AD8" t="str">
        <f t="shared" si="6"/>
        <v>No</v>
      </c>
      <c r="AE8" t="str">
        <f>IF(G8&lt;=2,"Short Stay", IF(G8&lt;=7,"Normal Stay", "Long Stay"))</f>
        <v>Normal Stay</v>
      </c>
      <c r="AF8" t="str">
        <f>IF(F8&gt;60000,"Expensive",IF(F8&gt;30000,"Moderate","Affordable"))</f>
        <v>Affordable</v>
      </c>
      <c r="AG8" t="str">
        <f>IF(J8&gt;=4.5,"Excellent",IF(J8&gt;=3.5,"Good",IF(J8&gt;=2.5,"Average","Poor")))</f>
        <v>Average</v>
      </c>
      <c r="AH8" t="str">
        <f>IF(OR(TEXT(N8,"dddd")="Saturday",TEXT(N8,"dddd")="Sunday"),"Weekend","Weekday")</f>
        <v>Weekday</v>
      </c>
    </row>
    <row r="9" spans="1:34" x14ac:dyDescent="0.3">
      <c r="A9">
        <v>8</v>
      </c>
      <c r="B9">
        <v>40</v>
      </c>
      <c r="C9" t="s">
        <v>35</v>
      </c>
      <c r="D9" t="s">
        <v>79</v>
      </c>
      <c r="E9" t="s">
        <v>80</v>
      </c>
      <c r="F9">
        <v>3000</v>
      </c>
      <c r="G9">
        <v>6</v>
      </c>
      <c r="H9" t="s">
        <v>24</v>
      </c>
      <c r="I9" t="s">
        <v>25</v>
      </c>
      <c r="J9">
        <v>4</v>
      </c>
      <c r="K9" t="s">
        <v>81</v>
      </c>
      <c r="L9" t="s">
        <v>82</v>
      </c>
      <c r="M9" t="s">
        <v>83</v>
      </c>
      <c r="N9" s="2">
        <v>45665</v>
      </c>
      <c r="O9" s="2">
        <v>45671</v>
      </c>
      <c r="P9" t="s">
        <v>43</v>
      </c>
      <c r="Q9" t="s">
        <v>30</v>
      </c>
      <c r="R9" t="s">
        <v>45</v>
      </c>
      <c r="S9" t="s">
        <v>84</v>
      </c>
      <c r="T9" t="s">
        <v>33</v>
      </c>
      <c r="U9" t="s">
        <v>34</v>
      </c>
      <c r="V9" t="str">
        <f>IF(B9&lt;=18,"Children",IF(B9&lt;=35,"Young adult",IF(B9&lt;=60,"Adult", "Senior Citizen")))</f>
        <v>Adult</v>
      </c>
      <c r="W9" t="str">
        <f t="shared" si="0"/>
        <v>Jan</v>
      </c>
      <c r="X9">
        <f t="shared" si="1"/>
        <v>1</v>
      </c>
      <c r="Y9" t="str">
        <f t="shared" si="2"/>
        <v>Q1</v>
      </c>
      <c r="Z9">
        <f t="shared" si="3"/>
        <v>2025</v>
      </c>
      <c r="AA9" t="str">
        <f t="shared" si="4"/>
        <v>Wednesday</v>
      </c>
      <c r="AB9">
        <f t="shared" si="5"/>
        <v>-6</v>
      </c>
      <c r="AC9" t="str">
        <f>IF(OR(D9="Heart Disease",D9="Cancer",D9="Stroke"),"High",IF(OR(D9="Diabetes",D9="Asthma"),"Medium","Low"))</f>
        <v>Low</v>
      </c>
      <c r="AD9" t="str">
        <f t="shared" si="6"/>
        <v>No</v>
      </c>
      <c r="AE9" t="str">
        <f>IF(G9&lt;=2,"Short Stay", IF(G9&lt;=7,"Normal Stay", "Long Stay"))</f>
        <v>Normal Stay</v>
      </c>
      <c r="AF9" t="str">
        <f>IF(F9&gt;60000,"Expensive",IF(F9&gt;30000,"Moderate","Affordable"))</f>
        <v>Affordable</v>
      </c>
      <c r="AG9" t="str">
        <f>IF(J9&gt;=4.5,"Excellent",IF(J9&gt;=3.5,"Good",IF(J9&gt;=2.5,"Average","Poor")))</f>
        <v>Good</v>
      </c>
      <c r="AH9" t="str">
        <f>IF(OR(TEXT(N9,"dddd")="Saturday",TEXT(N9,"dddd")="Sunday"),"Weekend","Weekday")</f>
        <v>Weekday</v>
      </c>
    </row>
    <row r="10" spans="1:34" x14ac:dyDescent="0.3">
      <c r="A10">
        <v>9</v>
      </c>
      <c r="B10">
        <v>70</v>
      </c>
      <c r="C10" t="s">
        <v>21</v>
      </c>
      <c r="D10" t="s">
        <v>85</v>
      </c>
      <c r="E10" t="s">
        <v>86</v>
      </c>
      <c r="F10">
        <v>18000</v>
      </c>
      <c r="G10">
        <v>8</v>
      </c>
      <c r="H10" t="s">
        <v>38</v>
      </c>
      <c r="I10" t="s">
        <v>39</v>
      </c>
      <c r="J10">
        <v>2</v>
      </c>
      <c r="K10" t="s">
        <v>81</v>
      </c>
      <c r="L10" t="s">
        <v>87</v>
      </c>
      <c r="M10" t="s">
        <v>88</v>
      </c>
      <c r="N10" s="2">
        <v>45666</v>
      </c>
      <c r="O10" s="2">
        <v>45674</v>
      </c>
      <c r="P10" t="s">
        <v>43</v>
      </c>
      <c r="Q10" t="s">
        <v>30</v>
      </c>
      <c r="R10" t="s">
        <v>45</v>
      </c>
      <c r="S10" t="s">
        <v>32</v>
      </c>
      <c r="T10" t="s">
        <v>33</v>
      </c>
      <c r="U10" t="s">
        <v>46</v>
      </c>
      <c r="V10" t="str">
        <f>IF(B10&lt;=18,"Children",IF(B10&lt;=35,"Young adult",IF(B10&lt;=60,"Adult", "Senior Citizen")))</f>
        <v>Senior Citizen</v>
      </c>
      <c r="W10" t="str">
        <f t="shared" si="0"/>
        <v>Jan</v>
      </c>
      <c r="X10">
        <f t="shared" si="1"/>
        <v>1</v>
      </c>
      <c r="Y10" t="str">
        <f t="shared" si="2"/>
        <v>Q1</v>
      </c>
      <c r="Z10">
        <f t="shared" si="3"/>
        <v>2025</v>
      </c>
      <c r="AA10" t="str">
        <f t="shared" si="4"/>
        <v>Thursday</v>
      </c>
      <c r="AB10">
        <f t="shared" si="5"/>
        <v>-8</v>
      </c>
      <c r="AC10" t="str">
        <f>IF(OR(D10="Heart Disease",D10="Cancer",D10="Stroke"),"High",IF(OR(D10="Diabetes",D10="Asthma"),"Medium","Low"))</f>
        <v>Low</v>
      </c>
      <c r="AD10" t="str">
        <f t="shared" si="6"/>
        <v>No</v>
      </c>
      <c r="AE10" t="str">
        <f>IF(G10&lt;=2,"Short Stay", IF(G10&lt;=7,"Normal Stay", "Long Stay"))</f>
        <v>Long Stay</v>
      </c>
      <c r="AF10" t="str">
        <f>IF(F10&gt;60000,"Expensive",IF(F10&gt;30000,"Moderate","Affordable"))</f>
        <v>Affordable</v>
      </c>
      <c r="AG10" t="str">
        <f>IF(J10&gt;=4.5,"Excellent",IF(J10&gt;=3.5,"Good",IF(J10&gt;=2.5,"Average","Poor")))</f>
        <v>Poor</v>
      </c>
      <c r="AH10" t="str">
        <f>IF(OR(TEXT(N10,"dddd")="Saturday",TEXT(N10,"dddd")="Sunday"),"Weekend","Weekday")</f>
        <v>Weekday</v>
      </c>
    </row>
    <row r="11" spans="1:34" x14ac:dyDescent="0.3">
      <c r="A11">
        <v>10</v>
      </c>
      <c r="B11">
        <v>25</v>
      </c>
      <c r="C11" t="s">
        <v>35</v>
      </c>
      <c r="D11" t="s">
        <v>89</v>
      </c>
      <c r="E11" t="s">
        <v>90</v>
      </c>
      <c r="F11">
        <v>100</v>
      </c>
      <c r="G11">
        <v>1</v>
      </c>
      <c r="H11" t="s">
        <v>24</v>
      </c>
      <c r="I11" t="s">
        <v>25</v>
      </c>
      <c r="J11">
        <v>5</v>
      </c>
      <c r="K11" t="s">
        <v>91</v>
      </c>
      <c r="L11" t="s">
        <v>92</v>
      </c>
      <c r="M11" t="s">
        <v>93</v>
      </c>
      <c r="N11" s="2">
        <v>45667</v>
      </c>
      <c r="O11" s="2">
        <v>45668</v>
      </c>
      <c r="P11" t="s">
        <v>29</v>
      </c>
      <c r="Q11" t="s">
        <v>71</v>
      </c>
      <c r="R11" t="s">
        <v>45</v>
      </c>
      <c r="S11" t="s">
        <v>77</v>
      </c>
      <c r="T11" t="s">
        <v>33</v>
      </c>
      <c r="U11" t="s">
        <v>34</v>
      </c>
      <c r="V11" t="str">
        <f>IF(B11&lt;=18,"Children",IF(B11&lt;=35,"Young adult",IF(B11&lt;=60,"Adult", "Senior Citizen")))</f>
        <v>Young adult</v>
      </c>
      <c r="W11" t="str">
        <f t="shared" si="0"/>
        <v>Jan</v>
      </c>
      <c r="X11">
        <f t="shared" si="1"/>
        <v>1</v>
      </c>
      <c r="Y11" t="str">
        <f t="shared" si="2"/>
        <v>Q1</v>
      </c>
      <c r="Z11">
        <f t="shared" si="3"/>
        <v>2025</v>
      </c>
      <c r="AA11" t="str">
        <f t="shared" si="4"/>
        <v>Friday</v>
      </c>
      <c r="AB11">
        <f t="shared" si="5"/>
        <v>-1</v>
      </c>
      <c r="AC11" t="str">
        <f>IF(OR(D11="Heart Disease",D11="Cancer",D11="Stroke"),"High",IF(OR(D11="Diabetes",D11="Asthma"),"Medium","Low"))</f>
        <v>Low</v>
      </c>
      <c r="AD11" t="str">
        <f t="shared" si="6"/>
        <v>No</v>
      </c>
      <c r="AE11" t="str">
        <f>IF(G11&lt;=2,"Short Stay", IF(G11&lt;=7,"Normal Stay", "Long Stay"))</f>
        <v>Short Stay</v>
      </c>
      <c r="AF11" t="str">
        <f>IF(F11&gt;60000,"Expensive",IF(F11&gt;30000,"Moderate","Affordable"))</f>
        <v>Affordable</v>
      </c>
      <c r="AG11" t="str">
        <f>IF(J11&gt;=4.5,"Excellent",IF(J11&gt;=3.5,"Good",IF(J11&gt;=2.5,"Average","Poor")))</f>
        <v>Excellent</v>
      </c>
      <c r="AH11" t="str">
        <f>IF(OR(TEXT(N11,"dddd")="Saturday",TEXT(N11,"dddd")="Sunday"),"Weekend","Weekday")</f>
        <v>Weekday</v>
      </c>
    </row>
    <row r="12" spans="1:34" x14ac:dyDescent="0.3">
      <c r="A12">
        <v>11</v>
      </c>
      <c r="B12">
        <v>48</v>
      </c>
      <c r="C12" t="s">
        <v>21</v>
      </c>
      <c r="D12" t="s">
        <v>94</v>
      </c>
      <c r="E12" t="s">
        <v>95</v>
      </c>
      <c r="F12">
        <v>800</v>
      </c>
      <c r="G12">
        <v>2</v>
      </c>
      <c r="H12" t="s">
        <v>24</v>
      </c>
      <c r="I12" t="s">
        <v>39</v>
      </c>
      <c r="J12">
        <v>4</v>
      </c>
      <c r="K12" t="s">
        <v>96</v>
      </c>
      <c r="L12" t="s">
        <v>97</v>
      </c>
      <c r="M12" t="s">
        <v>98</v>
      </c>
      <c r="N12" s="2">
        <v>45668</v>
      </c>
      <c r="O12" s="2">
        <v>45670</v>
      </c>
      <c r="P12" t="s">
        <v>29</v>
      </c>
      <c r="Q12" t="s">
        <v>71</v>
      </c>
      <c r="R12" t="s">
        <v>45</v>
      </c>
      <c r="S12" t="s">
        <v>53</v>
      </c>
      <c r="T12" t="s">
        <v>33</v>
      </c>
      <c r="U12" t="s">
        <v>46</v>
      </c>
      <c r="V12" t="str">
        <f>IF(B12&lt;=18,"Children",IF(B12&lt;=35,"Young adult",IF(B12&lt;=60,"Adult", "Senior Citizen")))</f>
        <v>Adult</v>
      </c>
      <c r="W12" t="str">
        <f t="shared" si="0"/>
        <v>Jan</v>
      </c>
      <c r="X12">
        <f t="shared" si="1"/>
        <v>1</v>
      </c>
      <c r="Y12" t="str">
        <f t="shared" si="2"/>
        <v>Q1</v>
      </c>
      <c r="Z12">
        <f t="shared" si="3"/>
        <v>2025</v>
      </c>
      <c r="AA12" t="str">
        <f t="shared" si="4"/>
        <v>Saturday</v>
      </c>
      <c r="AB12">
        <f t="shared" si="5"/>
        <v>-2</v>
      </c>
      <c r="AC12" t="str">
        <f>IF(OR(D12="Heart Disease",D12="Cancer",D12="Stroke"),"High",IF(OR(D12="Diabetes",D12="Asthma"),"Medium","Low"))</f>
        <v>Low</v>
      </c>
      <c r="AD12" t="str">
        <f t="shared" si="6"/>
        <v>No</v>
      </c>
      <c r="AE12" t="str">
        <f>IF(G12&lt;=2,"Short Stay", IF(G12&lt;=7,"Normal Stay", "Long Stay"))</f>
        <v>Short Stay</v>
      </c>
      <c r="AF12" t="str">
        <f>IF(F12&gt;60000,"Expensive",IF(F12&gt;30000,"Moderate","Affordable"))</f>
        <v>Affordable</v>
      </c>
      <c r="AG12" t="str">
        <f>IF(J12&gt;=4.5,"Excellent",IF(J12&gt;=3.5,"Good",IF(J12&gt;=2.5,"Average","Poor")))</f>
        <v>Good</v>
      </c>
      <c r="AH12" t="str">
        <f>IF(OR(TEXT(N12,"dddd")="Saturday",TEXT(N12,"dddd")="Sunday"),"Weekend","Weekday")</f>
        <v>Weekend</v>
      </c>
    </row>
    <row r="13" spans="1:34" x14ac:dyDescent="0.3">
      <c r="A13">
        <v>12</v>
      </c>
      <c r="B13">
        <v>65</v>
      </c>
      <c r="C13" t="s">
        <v>35</v>
      </c>
      <c r="D13" t="s">
        <v>99</v>
      </c>
      <c r="E13" t="s">
        <v>100</v>
      </c>
      <c r="F13">
        <v>20000</v>
      </c>
      <c r="G13">
        <v>9</v>
      </c>
      <c r="H13" t="s">
        <v>24</v>
      </c>
      <c r="I13" t="s">
        <v>25</v>
      </c>
      <c r="J13">
        <v>3</v>
      </c>
      <c r="K13" t="s">
        <v>101</v>
      </c>
      <c r="L13" t="s">
        <v>102</v>
      </c>
      <c r="M13" t="s">
        <v>103</v>
      </c>
      <c r="N13" s="2">
        <v>45669</v>
      </c>
      <c r="O13" s="2">
        <v>45678</v>
      </c>
      <c r="P13" t="s">
        <v>29</v>
      </c>
      <c r="Q13" t="s">
        <v>71</v>
      </c>
      <c r="R13" t="s">
        <v>45</v>
      </c>
      <c r="S13" t="s">
        <v>77</v>
      </c>
      <c r="T13" t="s">
        <v>33</v>
      </c>
      <c r="U13" t="s">
        <v>104</v>
      </c>
      <c r="V13" t="str">
        <f>IF(B13&lt;=18,"Children",IF(B13&lt;=35,"Young adult",IF(B13&lt;=60,"Adult", "Senior Citizen")))</f>
        <v>Senior Citizen</v>
      </c>
      <c r="W13" t="str">
        <f t="shared" si="0"/>
        <v>Jan</v>
      </c>
      <c r="X13">
        <f t="shared" si="1"/>
        <v>1</v>
      </c>
      <c r="Y13" t="str">
        <f t="shared" si="2"/>
        <v>Q1</v>
      </c>
      <c r="Z13">
        <f t="shared" si="3"/>
        <v>2025</v>
      </c>
      <c r="AA13" t="str">
        <f t="shared" si="4"/>
        <v>Sunday</v>
      </c>
      <c r="AB13">
        <f t="shared" si="5"/>
        <v>-9</v>
      </c>
      <c r="AC13" t="str">
        <f>IF(OR(D13="Heart Disease",D13="Cancer",D13="Stroke"),"High",IF(OR(D13="Diabetes",D13="Asthma"),"Medium","Low"))</f>
        <v>Low</v>
      </c>
      <c r="AD13" t="str">
        <f t="shared" si="6"/>
        <v>No</v>
      </c>
      <c r="AE13" t="str">
        <f>IF(G13&lt;=2,"Short Stay", IF(G13&lt;=7,"Normal Stay", "Long Stay"))</f>
        <v>Long Stay</v>
      </c>
      <c r="AF13" t="str">
        <f>IF(F13&gt;60000,"Expensive",IF(F13&gt;30000,"Moderate","Affordable"))</f>
        <v>Affordable</v>
      </c>
      <c r="AG13" t="str">
        <f>IF(J13&gt;=4.5,"Excellent",IF(J13&gt;=3.5,"Good",IF(J13&gt;=2.5,"Average","Poor")))</f>
        <v>Average</v>
      </c>
      <c r="AH13" t="str">
        <f>IF(OR(TEXT(N13,"dddd")="Saturday",TEXT(N13,"dddd")="Sunday"),"Weekend","Weekday")</f>
        <v>Weekend</v>
      </c>
    </row>
    <row r="14" spans="1:34" x14ac:dyDescent="0.3">
      <c r="A14">
        <v>13</v>
      </c>
      <c r="B14">
        <v>30</v>
      </c>
      <c r="C14" t="s">
        <v>21</v>
      </c>
      <c r="D14" t="s">
        <v>105</v>
      </c>
      <c r="E14" t="s">
        <v>106</v>
      </c>
      <c r="F14">
        <v>12000</v>
      </c>
      <c r="G14">
        <v>3</v>
      </c>
      <c r="H14" t="s">
        <v>24</v>
      </c>
      <c r="I14" t="s">
        <v>25</v>
      </c>
      <c r="J14">
        <v>4</v>
      </c>
      <c r="K14" t="s">
        <v>107</v>
      </c>
      <c r="L14" t="s">
        <v>108</v>
      </c>
      <c r="M14" t="s">
        <v>109</v>
      </c>
      <c r="N14" s="2">
        <v>45670</v>
      </c>
      <c r="O14" s="2">
        <v>45673</v>
      </c>
      <c r="P14" t="s">
        <v>43</v>
      </c>
      <c r="Q14" t="s">
        <v>30</v>
      </c>
      <c r="R14" t="s">
        <v>45</v>
      </c>
      <c r="S14" t="s">
        <v>110</v>
      </c>
      <c r="T14" t="s">
        <v>33</v>
      </c>
      <c r="U14" t="s">
        <v>78</v>
      </c>
      <c r="V14" t="str">
        <f>IF(B14&lt;=18,"Children",IF(B14&lt;=35,"Young adult",IF(B14&lt;=60,"Adult", "Senior Citizen")))</f>
        <v>Young adult</v>
      </c>
      <c r="W14" t="str">
        <f t="shared" si="0"/>
        <v>Jan</v>
      </c>
      <c r="X14">
        <f t="shared" si="1"/>
        <v>1</v>
      </c>
      <c r="Y14" t="str">
        <f t="shared" si="2"/>
        <v>Q1</v>
      </c>
      <c r="Z14">
        <f t="shared" si="3"/>
        <v>2025</v>
      </c>
      <c r="AA14" t="str">
        <f t="shared" si="4"/>
        <v>Monday</v>
      </c>
      <c r="AB14">
        <f t="shared" si="5"/>
        <v>-3</v>
      </c>
      <c r="AC14" t="str">
        <f>IF(OR(D14="Heart Disease",D14="Cancer",D14="Stroke"),"High",IF(OR(D14="Diabetes",D14="Asthma"),"Medium","Low"))</f>
        <v>Low</v>
      </c>
      <c r="AD14" t="str">
        <f t="shared" si="6"/>
        <v>No</v>
      </c>
      <c r="AE14" t="str">
        <f>IF(G14&lt;=2,"Short Stay", IF(G14&lt;=7,"Normal Stay", "Long Stay"))</f>
        <v>Normal Stay</v>
      </c>
      <c r="AF14" t="str">
        <f>IF(F14&gt;60000,"Expensive",IF(F14&gt;30000,"Moderate","Affordable"))</f>
        <v>Affordable</v>
      </c>
      <c r="AG14" t="str">
        <f>IF(J14&gt;=4.5,"Excellent",IF(J14&gt;=3.5,"Good",IF(J14&gt;=2.5,"Average","Poor")))</f>
        <v>Good</v>
      </c>
      <c r="AH14" t="str">
        <f>IF(OR(TEXT(N14,"dddd")="Saturday",TEXT(N14,"dddd")="Sunday"),"Weekend","Weekday")</f>
        <v>Weekday</v>
      </c>
    </row>
    <row r="15" spans="1:34" x14ac:dyDescent="0.3">
      <c r="A15">
        <v>14</v>
      </c>
      <c r="B15">
        <v>52</v>
      </c>
      <c r="C15" t="s">
        <v>35</v>
      </c>
      <c r="D15" t="s">
        <v>111</v>
      </c>
      <c r="E15" t="s">
        <v>112</v>
      </c>
      <c r="F15">
        <v>6000</v>
      </c>
      <c r="G15">
        <v>4</v>
      </c>
      <c r="H15" t="s">
        <v>24</v>
      </c>
      <c r="I15" t="s">
        <v>25</v>
      </c>
      <c r="J15">
        <v>3</v>
      </c>
      <c r="K15" t="s">
        <v>113</v>
      </c>
      <c r="L15" t="s">
        <v>114</v>
      </c>
      <c r="M15" t="s">
        <v>115</v>
      </c>
      <c r="N15" s="2">
        <v>45671</v>
      </c>
      <c r="O15" s="2">
        <v>45675</v>
      </c>
      <c r="P15" t="s">
        <v>43</v>
      </c>
      <c r="Q15" t="s">
        <v>71</v>
      </c>
      <c r="R15" t="s">
        <v>45</v>
      </c>
      <c r="S15" t="s">
        <v>53</v>
      </c>
      <c r="T15" t="s">
        <v>33</v>
      </c>
      <c r="U15" t="s">
        <v>46</v>
      </c>
      <c r="V15" t="str">
        <f>IF(B15&lt;=18,"Children",IF(B15&lt;=35,"Young adult",IF(B15&lt;=60,"Adult", "Senior Citizen")))</f>
        <v>Adult</v>
      </c>
      <c r="W15" t="str">
        <f t="shared" si="0"/>
        <v>Jan</v>
      </c>
      <c r="X15">
        <f t="shared" si="1"/>
        <v>1</v>
      </c>
      <c r="Y15" t="str">
        <f t="shared" si="2"/>
        <v>Q1</v>
      </c>
      <c r="Z15">
        <f t="shared" si="3"/>
        <v>2025</v>
      </c>
      <c r="AA15" t="str">
        <f t="shared" si="4"/>
        <v>Tuesday</v>
      </c>
      <c r="AB15">
        <f t="shared" si="5"/>
        <v>-4</v>
      </c>
      <c r="AC15" t="str">
        <f>IF(OR(D15="Heart Disease",D15="Cancer",D15="Stroke"),"High",IF(OR(D15="Diabetes",D15="Asthma"),"Medium","Low"))</f>
        <v>Low</v>
      </c>
      <c r="AD15" t="str">
        <f t="shared" si="6"/>
        <v>No</v>
      </c>
      <c r="AE15" t="str">
        <f>IF(G15&lt;=2,"Short Stay", IF(G15&lt;=7,"Normal Stay", "Long Stay"))</f>
        <v>Normal Stay</v>
      </c>
      <c r="AF15" t="str">
        <f>IF(F15&gt;60000,"Expensive",IF(F15&gt;30000,"Moderate","Affordable"))</f>
        <v>Affordable</v>
      </c>
      <c r="AG15" t="str">
        <f>IF(J15&gt;=4.5,"Excellent",IF(J15&gt;=3.5,"Good",IF(J15&gt;=2.5,"Average","Poor")))</f>
        <v>Average</v>
      </c>
      <c r="AH15" t="str">
        <f>IF(OR(TEXT(N15,"dddd")="Saturday",TEXT(N15,"dddd")="Sunday"),"Weekend","Weekday")</f>
        <v>Weekday</v>
      </c>
    </row>
    <row r="16" spans="1:34" x14ac:dyDescent="0.3">
      <c r="A16">
        <v>15</v>
      </c>
      <c r="B16">
        <v>58</v>
      </c>
      <c r="C16" t="s">
        <v>21</v>
      </c>
      <c r="D16" t="s">
        <v>116</v>
      </c>
      <c r="E16" t="s">
        <v>117</v>
      </c>
      <c r="F16">
        <v>4000</v>
      </c>
      <c r="G16">
        <v>5</v>
      </c>
      <c r="H16" t="s">
        <v>24</v>
      </c>
      <c r="I16" t="s">
        <v>39</v>
      </c>
      <c r="J16">
        <v>4</v>
      </c>
      <c r="K16" t="s">
        <v>56</v>
      </c>
      <c r="L16" t="s">
        <v>118</v>
      </c>
      <c r="M16" t="s">
        <v>119</v>
      </c>
      <c r="N16" s="2">
        <v>45672</v>
      </c>
      <c r="O16" s="2">
        <v>45677</v>
      </c>
      <c r="P16" t="s">
        <v>43</v>
      </c>
      <c r="Q16" t="s">
        <v>52</v>
      </c>
      <c r="R16" t="s">
        <v>45</v>
      </c>
      <c r="S16" t="s">
        <v>53</v>
      </c>
      <c r="T16" t="s">
        <v>33</v>
      </c>
      <c r="U16" t="s">
        <v>34</v>
      </c>
      <c r="V16" t="str">
        <f>IF(B16&lt;=18,"Children",IF(B16&lt;=35,"Young adult",IF(B16&lt;=60,"Adult", "Senior Citizen")))</f>
        <v>Adult</v>
      </c>
      <c r="W16" t="str">
        <f t="shared" si="0"/>
        <v>Jan</v>
      </c>
      <c r="X16">
        <f t="shared" si="1"/>
        <v>1</v>
      </c>
      <c r="Y16" t="str">
        <f t="shared" si="2"/>
        <v>Q1</v>
      </c>
      <c r="Z16">
        <f t="shared" si="3"/>
        <v>2025</v>
      </c>
      <c r="AA16" t="str">
        <f t="shared" si="4"/>
        <v>Wednesday</v>
      </c>
      <c r="AB16">
        <f t="shared" si="5"/>
        <v>-5</v>
      </c>
      <c r="AC16" t="str">
        <f>IF(OR(D16="Heart Disease",D16="Cancer",D16="Stroke"),"High",IF(OR(D16="Diabetes",D16="Asthma"),"Medium","Low"))</f>
        <v>Low</v>
      </c>
      <c r="AD16" t="str">
        <f t="shared" si="6"/>
        <v>No</v>
      </c>
      <c r="AE16" t="str">
        <f>IF(G16&lt;=2,"Short Stay", IF(G16&lt;=7,"Normal Stay", "Long Stay"))</f>
        <v>Normal Stay</v>
      </c>
      <c r="AF16" t="str">
        <f>IF(F16&gt;60000,"Expensive",IF(F16&gt;30000,"Moderate","Affordable"))</f>
        <v>Affordable</v>
      </c>
      <c r="AG16" t="str">
        <f>IF(J16&gt;=4.5,"Excellent",IF(J16&gt;=3.5,"Good",IF(J16&gt;=2.5,"Average","Poor")))</f>
        <v>Good</v>
      </c>
      <c r="AH16" t="str">
        <f>IF(OR(TEXT(N16,"dddd")="Saturday",TEXT(N16,"dddd")="Sunday"),"Weekend","Weekday")</f>
        <v>Weekday</v>
      </c>
    </row>
    <row r="17" spans="1:34" x14ac:dyDescent="0.3">
      <c r="A17">
        <v>16</v>
      </c>
      <c r="B17">
        <v>55</v>
      </c>
      <c r="C17" t="s">
        <v>21</v>
      </c>
      <c r="D17" t="s">
        <v>22</v>
      </c>
      <c r="E17" t="s">
        <v>23</v>
      </c>
      <c r="F17">
        <v>15000</v>
      </c>
      <c r="G17">
        <v>6</v>
      </c>
      <c r="H17" t="s">
        <v>38</v>
      </c>
      <c r="I17" t="s">
        <v>25</v>
      </c>
      <c r="J17">
        <v>3</v>
      </c>
      <c r="K17" t="s">
        <v>120</v>
      </c>
      <c r="L17" t="s">
        <v>121</v>
      </c>
      <c r="M17" t="s">
        <v>122</v>
      </c>
      <c r="N17" s="2">
        <v>45673</v>
      </c>
      <c r="O17" s="2">
        <v>45679</v>
      </c>
      <c r="P17" t="s">
        <v>43</v>
      </c>
      <c r="Q17" t="s">
        <v>44</v>
      </c>
      <c r="R17" t="s">
        <v>31</v>
      </c>
      <c r="S17" t="s">
        <v>72</v>
      </c>
      <c r="T17" t="s">
        <v>33</v>
      </c>
      <c r="U17" t="s">
        <v>104</v>
      </c>
      <c r="V17" t="str">
        <f>IF(B17&lt;=18,"Children",IF(B17&lt;=35,"Young adult",IF(B17&lt;=60,"Adult", "Senior Citizen")))</f>
        <v>Adult</v>
      </c>
      <c r="W17" t="str">
        <f t="shared" si="0"/>
        <v>Jan</v>
      </c>
      <c r="X17">
        <f t="shared" si="1"/>
        <v>1</v>
      </c>
      <c r="Y17" t="str">
        <f t="shared" si="2"/>
        <v>Q1</v>
      </c>
      <c r="Z17">
        <f t="shared" si="3"/>
        <v>2025</v>
      </c>
      <c r="AA17" t="str">
        <f t="shared" si="4"/>
        <v>Thursday</v>
      </c>
      <c r="AB17">
        <f t="shared" si="5"/>
        <v>-6</v>
      </c>
      <c r="AC17" t="str">
        <f>IF(OR(D17="Heart Disease",D17="Cancer",D17="Stroke"),"High",IF(OR(D17="Diabetes",D17="Asthma"),"Medium","Low"))</f>
        <v>High</v>
      </c>
      <c r="AD17" t="str">
        <f t="shared" si="6"/>
        <v>Yes</v>
      </c>
      <c r="AE17" t="str">
        <f>IF(G17&lt;=2,"Short Stay", IF(G17&lt;=7,"Normal Stay", "Long Stay"))</f>
        <v>Normal Stay</v>
      </c>
      <c r="AF17" t="str">
        <f>IF(F17&gt;60000,"Expensive",IF(F17&gt;30000,"Moderate","Affordable"))</f>
        <v>Affordable</v>
      </c>
      <c r="AG17" t="str">
        <f>IF(J17&gt;=4.5,"Excellent",IF(J17&gt;=3.5,"Good",IF(J17&gt;=2.5,"Average","Poor")))</f>
        <v>Average</v>
      </c>
      <c r="AH17" t="str">
        <f>IF(OR(TEXT(N17,"dddd")="Saturday",TEXT(N17,"dddd")="Sunday"),"Weekend","Weekday")</f>
        <v>Weekday</v>
      </c>
    </row>
    <row r="18" spans="1:34" x14ac:dyDescent="0.3">
      <c r="A18">
        <v>17</v>
      </c>
      <c r="B18">
        <v>62</v>
      </c>
      <c r="C18" t="s">
        <v>35</v>
      </c>
      <c r="D18" t="s">
        <v>36</v>
      </c>
      <c r="E18" t="s">
        <v>37</v>
      </c>
      <c r="F18">
        <v>2000</v>
      </c>
      <c r="G18">
        <v>4</v>
      </c>
      <c r="H18" t="s">
        <v>24</v>
      </c>
      <c r="I18" t="s">
        <v>39</v>
      </c>
      <c r="J18">
        <v>4</v>
      </c>
      <c r="K18" t="s">
        <v>91</v>
      </c>
      <c r="L18" t="s">
        <v>123</v>
      </c>
      <c r="M18" t="s">
        <v>124</v>
      </c>
      <c r="N18" s="2">
        <v>45674</v>
      </c>
      <c r="O18" s="2">
        <v>45678</v>
      </c>
      <c r="P18" t="s">
        <v>29</v>
      </c>
      <c r="Q18" t="s">
        <v>71</v>
      </c>
      <c r="R18" t="s">
        <v>45</v>
      </c>
      <c r="S18" t="s">
        <v>32</v>
      </c>
      <c r="T18" t="s">
        <v>33</v>
      </c>
      <c r="U18" t="s">
        <v>104</v>
      </c>
      <c r="V18" t="str">
        <f>IF(B18&lt;=18,"Children",IF(B18&lt;=35,"Young adult",IF(B18&lt;=60,"Adult", "Senior Citizen")))</f>
        <v>Senior Citizen</v>
      </c>
      <c r="W18" t="str">
        <f t="shared" si="0"/>
        <v>Jan</v>
      </c>
      <c r="X18">
        <f t="shared" si="1"/>
        <v>1</v>
      </c>
      <c r="Y18" t="str">
        <f t="shared" si="2"/>
        <v>Q1</v>
      </c>
      <c r="Z18">
        <f t="shared" si="3"/>
        <v>2025</v>
      </c>
      <c r="AA18" t="str">
        <f t="shared" si="4"/>
        <v>Friday</v>
      </c>
      <c r="AB18">
        <f t="shared" si="5"/>
        <v>-4</v>
      </c>
      <c r="AC18" t="str">
        <f>IF(OR(D18="Heart Disease",D18="Cancer",D18="Stroke"),"High",IF(OR(D18="Diabetes",D18="Asthma"),"Medium","Low"))</f>
        <v>Medium</v>
      </c>
      <c r="AD18" t="str">
        <f t="shared" si="6"/>
        <v>No</v>
      </c>
      <c r="AE18" t="str">
        <f>IF(G18&lt;=2,"Short Stay", IF(G18&lt;=7,"Normal Stay", "Long Stay"))</f>
        <v>Normal Stay</v>
      </c>
      <c r="AF18" t="str">
        <f>IF(F18&gt;60000,"Expensive",IF(F18&gt;30000,"Moderate","Affordable"))</f>
        <v>Affordable</v>
      </c>
      <c r="AG18" t="str">
        <f>IF(J18&gt;=4.5,"Excellent",IF(J18&gt;=3.5,"Good",IF(J18&gt;=2.5,"Average","Poor")))</f>
        <v>Good</v>
      </c>
      <c r="AH18" t="str">
        <f>IF(OR(TEXT(N18,"dddd")="Saturday",TEXT(N18,"dddd")="Sunday"),"Weekend","Weekday")</f>
        <v>Weekday</v>
      </c>
    </row>
    <row r="19" spans="1:34" x14ac:dyDescent="0.3">
      <c r="A19">
        <v>18</v>
      </c>
      <c r="B19">
        <v>35</v>
      </c>
      <c r="C19" t="s">
        <v>21</v>
      </c>
      <c r="D19" t="s">
        <v>47</v>
      </c>
      <c r="E19" t="s">
        <v>48</v>
      </c>
      <c r="F19">
        <v>500</v>
      </c>
      <c r="G19">
        <v>2</v>
      </c>
      <c r="H19" t="s">
        <v>38</v>
      </c>
      <c r="I19" t="s">
        <v>25</v>
      </c>
      <c r="J19">
        <v>5</v>
      </c>
      <c r="K19" t="s">
        <v>125</v>
      </c>
      <c r="L19" t="s">
        <v>126</v>
      </c>
      <c r="M19" t="s">
        <v>127</v>
      </c>
      <c r="N19" s="2">
        <v>45675</v>
      </c>
      <c r="O19" s="2">
        <v>45677</v>
      </c>
      <c r="P19" t="s">
        <v>29</v>
      </c>
      <c r="Q19" t="s">
        <v>52</v>
      </c>
      <c r="R19" t="s">
        <v>45</v>
      </c>
      <c r="S19" t="s">
        <v>77</v>
      </c>
      <c r="T19" t="s">
        <v>33</v>
      </c>
      <c r="U19" t="s">
        <v>104</v>
      </c>
      <c r="V19" t="str">
        <f>IF(B19&lt;=18,"Children",IF(B19&lt;=35,"Young adult",IF(B19&lt;=60,"Adult", "Senior Citizen")))</f>
        <v>Young adult</v>
      </c>
      <c r="W19" t="str">
        <f t="shared" si="0"/>
        <v>Jan</v>
      </c>
      <c r="X19">
        <f t="shared" si="1"/>
        <v>1</v>
      </c>
      <c r="Y19" t="str">
        <f t="shared" si="2"/>
        <v>Q1</v>
      </c>
      <c r="Z19">
        <f t="shared" si="3"/>
        <v>2025</v>
      </c>
      <c r="AA19" t="str">
        <f t="shared" si="4"/>
        <v>Saturday</v>
      </c>
      <c r="AB19">
        <f t="shared" si="5"/>
        <v>-2</v>
      </c>
      <c r="AC19" t="str">
        <f>IF(OR(D19="Heart Disease",D19="Cancer",D19="Stroke"),"High",IF(OR(D19="Diabetes",D19="Asthma"),"Medium","Low"))</f>
        <v>Low</v>
      </c>
      <c r="AD19" t="str">
        <f t="shared" si="6"/>
        <v>No</v>
      </c>
      <c r="AE19" t="str">
        <f>IF(G19&lt;=2,"Short Stay", IF(G19&lt;=7,"Normal Stay", "Long Stay"))</f>
        <v>Short Stay</v>
      </c>
      <c r="AF19" t="str">
        <f>IF(F19&gt;60000,"Expensive",IF(F19&gt;30000,"Moderate","Affordable"))</f>
        <v>Affordable</v>
      </c>
      <c r="AG19" t="str">
        <f>IF(J19&gt;=4.5,"Excellent",IF(J19&gt;=3.5,"Good",IF(J19&gt;=2.5,"Average","Poor")))</f>
        <v>Excellent</v>
      </c>
      <c r="AH19" t="str">
        <f>IF(OR(TEXT(N19,"dddd")="Saturday",TEXT(N19,"dddd")="Sunday"),"Weekend","Weekday")</f>
        <v>Weekend</v>
      </c>
    </row>
    <row r="20" spans="1:34" x14ac:dyDescent="0.3">
      <c r="A20">
        <v>19</v>
      </c>
      <c r="B20">
        <v>78</v>
      </c>
      <c r="C20" t="s">
        <v>35</v>
      </c>
      <c r="D20" t="s">
        <v>54</v>
      </c>
      <c r="E20" t="s">
        <v>55</v>
      </c>
      <c r="F20">
        <v>10000</v>
      </c>
      <c r="G20">
        <v>8</v>
      </c>
      <c r="H20" t="s">
        <v>24</v>
      </c>
      <c r="I20" t="s">
        <v>39</v>
      </c>
      <c r="J20">
        <v>2</v>
      </c>
      <c r="K20" t="s">
        <v>128</v>
      </c>
      <c r="L20" t="s">
        <v>129</v>
      </c>
      <c r="M20" t="s">
        <v>130</v>
      </c>
      <c r="N20" s="2">
        <v>45676</v>
      </c>
      <c r="O20" s="2">
        <v>45684</v>
      </c>
      <c r="P20" t="s">
        <v>43</v>
      </c>
      <c r="Q20" t="s">
        <v>44</v>
      </c>
      <c r="R20" t="s">
        <v>59</v>
      </c>
      <c r="S20" t="s">
        <v>77</v>
      </c>
      <c r="T20" t="s">
        <v>33</v>
      </c>
      <c r="U20" t="s">
        <v>34</v>
      </c>
      <c r="V20" t="str">
        <f>IF(B20&lt;=18,"Children",IF(B20&lt;=35,"Young adult",IF(B20&lt;=60,"Adult", "Senior Citizen")))</f>
        <v>Senior Citizen</v>
      </c>
      <c r="W20" t="str">
        <f t="shared" si="0"/>
        <v>Jan</v>
      </c>
      <c r="X20">
        <f t="shared" si="1"/>
        <v>1</v>
      </c>
      <c r="Y20" t="str">
        <f t="shared" si="2"/>
        <v>Q1</v>
      </c>
      <c r="Z20">
        <f t="shared" si="3"/>
        <v>2025</v>
      </c>
      <c r="AA20" t="str">
        <f t="shared" si="4"/>
        <v>Sunday</v>
      </c>
      <c r="AB20">
        <f t="shared" si="5"/>
        <v>-8</v>
      </c>
      <c r="AC20" t="str">
        <f>IF(OR(D20="Heart Disease",D20="Cancer",D20="Stroke"),"High",IF(OR(D20="Diabetes",D20="Asthma"),"Medium","Low"))</f>
        <v>High</v>
      </c>
      <c r="AD20" t="str">
        <f t="shared" si="6"/>
        <v>Yes</v>
      </c>
      <c r="AE20" t="str">
        <f>IF(G20&lt;=2,"Short Stay", IF(G20&lt;=7,"Normal Stay", "Long Stay"))</f>
        <v>Long Stay</v>
      </c>
      <c r="AF20" t="str">
        <f>IF(F20&gt;60000,"Expensive",IF(F20&gt;30000,"Moderate","Affordable"))</f>
        <v>Affordable</v>
      </c>
      <c r="AG20" t="str">
        <f>IF(J20&gt;=4.5,"Excellent",IF(J20&gt;=3.5,"Good",IF(J20&gt;=2.5,"Average","Poor")))</f>
        <v>Poor</v>
      </c>
      <c r="AH20" t="str">
        <f>IF(OR(TEXT(N20,"dddd")="Saturday",TEXT(N20,"dddd")="Sunday"),"Weekend","Weekday")</f>
        <v>Weekend</v>
      </c>
    </row>
    <row r="21" spans="1:34" x14ac:dyDescent="0.3">
      <c r="A21">
        <v>20</v>
      </c>
      <c r="B21">
        <v>53</v>
      </c>
      <c r="C21" t="s">
        <v>21</v>
      </c>
      <c r="D21" t="s">
        <v>60</v>
      </c>
      <c r="E21" t="s">
        <v>61</v>
      </c>
      <c r="F21">
        <v>25000</v>
      </c>
      <c r="G21">
        <v>11</v>
      </c>
      <c r="H21" t="s">
        <v>38</v>
      </c>
      <c r="I21" t="s">
        <v>25</v>
      </c>
      <c r="J21">
        <v>4</v>
      </c>
      <c r="K21" t="s">
        <v>26</v>
      </c>
      <c r="L21" t="s">
        <v>131</v>
      </c>
      <c r="M21" t="s">
        <v>132</v>
      </c>
      <c r="N21" s="2">
        <v>45677</v>
      </c>
      <c r="O21" s="2">
        <v>45688</v>
      </c>
      <c r="P21" t="s">
        <v>43</v>
      </c>
      <c r="Q21" t="s">
        <v>52</v>
      </c>
      <c r="R21" t="s">
        <v>65</v>
      </c>
      <c r="S21" t="s">
        <v>32</v>
      </c>
      <c r="T21" t="s">
        <v>33</v>
      </c>
      <c r="U21" t="s">
        <v>104</v>
      </c>
      <c r="V21" t="str">
        <f>IF(B21&lt;=18,"Children",IF(B21&lt;=35,"Young adult",IF(B21&lt;=60,"Adult", "Senior Citizen")))</f>
        <v>Adult</v>
      </c>
      <c r="W21" t="str">
        <f t="shared" si="0"/>
        <v>Jan</v>
      </c>
      <c r="X21">
        <f t="shared" si="1"/>
        <v>1</v>
      </c>
      <c r="Y21" t="str">
        <f t="shared" si="2"/>
        <v>Q1</v>
      </c>
      <c r="Z21">
        <f t="shared" si="3"/>
        <v>2025</v>
      </c>
      <c r="AA21" t="str">
        <f t="shared" si="4"/>
        <v>Monday</v>
      </c>
      <c r="AB21">
        <f t="shared" si="5"/>
        <v>-11</v>
      </c>
      <c r="AC21" t="str">
        <f>IF(OR(D21="Heart Disease",D21="Cancer",D21="Stroke"),"High",IF(OR(D21="Diabetes",D21="Asthma"),"Medium","Low"))</f>
        <v>High</v>
      </c>
      <c r="AD21" t="str">
        <f t="shared" si="6"/>
        <v>Yes</v>
      </c>
      <c r="AE21" t="str">
        <f>IF(G21&lt;=2,"Short Stay", IF(G21&lt;=7,"Normal Stay", "Long Stay"))</f>
        <v>Long Stay</v>
      </c>
      <c r="AF21" t="str">
        <f>IF(F21&gt;60000,"Expensive",IF(F21&gt;30000,"Moderate","Affordable"))</f>
        <v>Affordable</v>
      </c>
      <c r="AG21" t="str">
        <f>IF(J21&gt;=4.5,"Excellent",IF(J21&gt;=3.5,"Good",IF(J21&gt;=2.5,"Average","Poor")))</f>
        <v>Good</v>
      </c>
      <c r="AH21" t="str">
        <f>IF(OR(TEXT(N21,"dddd")="Saturday",TEXT(N21,"dddd")="Sunday"),"Weekend","Weekday")</f>
        <v>Weekday</v>
      </c>
    </row>
    <row r="22" spans="1:34" x14ac:dyDescent="0.3">
      <c r="A22">
        <v>21</v>
      </c>
      <c r="B22">
        <v>72</v>
      </c>
      <c r="C22" t="s">
        <v>35</v>
      </c>
      <c r="D22" t="s">
        <v>66</v>
      </c>
      <c r="E22" t="s">
        <v>67</v>
      </c>
      <c r="F22">
        <v>1000</v>
      </c>
      <c r="G22">
        <v>3</v>
      </c>
      <c r="H22" t="s">
        <v>24</v>
      </c>
      <c r="I22" t="s">
        <v>39</v>
      </c>
      <c r="J22">
        <v>4</v>
      </c>
      <c r="K22" t="s">
        <v>133</v>
      </c>
      <c r="L22" t="s">
        <v>134</v>
      </c>
      <c r="M22" t="s">
        <v>135</v>
      </c>
      <c r="N22" s="2">
        <v>45678</v>
      </c>
      <c r="O22" s="2">
        <v>45681</v>
      </c>
      <c r="P22" t="s">
        <v>43</v>
      </c>
      <c r="Q22" t="s">
        <v>52</v>
      </c>
      <c r="R22" t="s">
        <v>45</v>
      </c>
      <c r="S22" t="s">
        <v>32</v>
      </c>
      <c r="T22" t="s">
        <v>33</v>
      </c>
      <c r="U22" t="s">
        <v>78</v>
      </c>
      <c r="V22" t="str">
        <f>IF(B22&lt;=18,"Children",IF(B22&lt;=35,"Young adult",IF(B22&lt;=60,"Adult", "Senior Citizen")))</f>
        <v>Senior Citizen</v>
      </c>
      <c r="W22" t="str">
        <f t="shared" si="0"/>
        <v>Jan</v>
      </c>
      <c r="X22">
        <f t="shared" si="1"/>
        <v>1</v>
      </c>
      <c r="Y22" t="str">
        <f t="shared" si="2"/>
        <v>Q1</v>
      </c>
      <c r="Z22">
        <f t="shared" si="3"/>
        <v>2025</v>
      </c>
      <c r="AA22" t="str">
        <f t="shared" si="4"/>
        <v>Tuesday</v>
      </c>
      <c r="AB22">
        <f t="shared" si="5"/>
        <v>-3</v>
      </c>
      <c r="AC22" t="str">
        <f>IF(OR(D22="Heart Disease",D22="Cancer",D22="Stroke"),"High",IF(OR(D22="Diabetes",D22="Asthma"),"Medium","Low"))</f>
        <v>Low</v>
      </c>
      <c r="AD22" t="str">
        <f t="shared" si="6"/>
        <v>No</v>
      </c>
      <c r="AE22" t="str">
        <f>IF(G22&lt;=2,"Short Stay", IF(G22&lt;=7,"Normal Stay", "Long Stay"))</f>
        <v>Normal Stay</v>
      </c>
      <c r="AF22" t="str">
        <f>IF(F22&gt;60000,"Expensive",IF(F22&gt;30000,"Moderate","Affordable"))</f>
        <v>Affordable</v>
      </c>
      <c r="AG22" t="str">
        <f>IF(J22&gt;=4.5,"Excellent",IF(J22&gt;=3.5,"Good",IF(J22&gt;=2.5,"Average","Poor")))</f>
        <v>Good</v>
      </c>
      <c r="AH22" t="str">
        <f>IF(OR(TEXT(N22,"dddd")="Saturday",TEXT(N22,"dddd")="Sunday"),"Weekend","Weekday")</f>
        <v>Weekday</v>
      </c>
    </row>
    <row r="23" spans="1:34" x14ac:dyDescent="0.3">
      <c r="A23">
        <v>22</v>
      </c>
      <c r="B23">
        <v>60</v>
      </c>
      <c r="C23" t="s">
        <v>21</v>
      </c>
      <c r="D23" t="s">
        <v>73</v>
      </c>
      <c r="E23" t="s">
        <v>74</v>
      </c>
      <c r="F23">
        <v>8000</v>
      </c>
      <c r="G23">
        <v>5</v>
      </c>
      <c r="H23" t="s">
        <v>38</v>
      </c>
      <c r="I23" t="s">
        <v>25</v>
      </c>
      <c r="J23">
        <v>3</v>
      </c>
      <c r="K23" t="s">
        <v>136</v>
      </c>
      <c r="L23" t="s">
        <v>137</v>
      </c>
      <c r="M23" t="s">
        <v>138</v>
      </c>
      <c r="N23" s="2">
        <v>45679</v>
      </c>
      <c r="O23" s="2">
        <v>45684</v>
      </c>
      <c r="P23" t="s">
        <v>29</v>
      </c>
      <c r="Q23" t="s">
        <v>139</v>
      </c>
      <c r="R23" t="s">
        <v>45</v>
      </c>
      <c r="S23" t="s">
        <v>72</v>
      </c>
      <c r="T23" t="s">
        <v>33</v>
      </c>
      <c r="U23" t="s">
        <v>34</v>
      </c>
      <c r="V23" t="str">
        <f>IF(B23&lt;=18,"Children",IF(B23&lt;=35,"Young adult",IF(B23&lt;=60,"Adult", "Senior Citizen")))</f>
        <v>Adult</v>
      </c>
      <c r="W23" t="str">
        <f t="shared" si="0"/>
        <v>Jan</v>
      </c>
      <c r="X23">
        <f t="shared" si="1"/>
        <v>1</v>
      </c>
      <c r="Y23" t="str">
        <f t="shared" si="2"/>
        <v>Q1</v>
      </c>
      <c r="Z23">
        <f t="shared" si="3"/>
        <v>2025</v>
      </c>
      <c r="AA23" t="str">
        <f t="shared" si="4"/>
        <v>Wednesday</v>
      </c>
      <c r="AB23">
        <f t="shared" si="5"/>
        <v>-5</v>
      </c>
      <c r="AC23" t="str">
        <f>IF(OR(D23="Heart Disease",D23="Cancer",D23="Stroke"),"High",IF(OR(D23="Diabetes",D23="Asthma"),"Medium","Low"))</f>
        <v>Low</v>
      </c>
      <c r="AD23" t="str">
        <f t="shared" si="6"/>
        <v>No</v>
      </c>
      <c r="AE23" t="str">
        <f>IF(G23&lt;=2,"Short Stay", IF(G23&lt;=7,"Normal Stay", "Long Stay"))</f>
        <v>Normal Stay</v>
      </c>
      <c r="AF23" t="str">
        <f>IF(F23&gt;60000,"Expensive",IF(F23&gt;30000,"Moderate","Affordable"))</f>
        <v>Affordable</v>
      </c>
      <c r="AG23" t="str">
        <f>IF(J23&gt;=4.5,"Excellent",IF(J23&gt;=3.5,"Good",IF(J23&gt;=2.5,"Average","Poor")))</f>
        <v>Average</v>
      </c>
      <c r="AH23" t="str">
        <f>IF(OR(TEXT(N23,"dddd")="Saturday",TEXT(N23,"dddd")="Sunday"),"Weekend","Weekday")</f>
        <v>Weekday</v>
      </c>
    </row>
    <row r="24" spans="1:34" x14ac:dyDescent="0.3">
      <c r="A24">
        <v>23</v>
      </c>
      <c r="B24">
        <v>45</v>
      </c>
      <c r="C24" t="s">
        <v>35</v>
      </c>
      <c r="D24" t="s">
        <v>79</v>
      </c>
      <c r="E24" t="s">
        <v>80</v>
      </c>
      <c r="F24">
        <v>3000</v>
      </c>
      <c r="G24">
        <v>7</v>
      </c>
      <c r="H24" t="s">
        <v>24</v>
      </c>
      <c r="I24" t="s">
        <v>25</v>
      </c>
      <c r="J24">
        <v>4</v>
      </c>
      <c r="K24" t="s">
        <v>101</v>
      </c>
      <c r="L24" t="s">
        <v>140</v>
      </c>
      <c r="M24" t="s">
        <v>141</v>
      </c>
      <c r="N24" s="2">
        <v>45680</v>
      </c>
      <c r="O24" s="2">
        <v>45687</v>
      </c>
      <c r="P24" t="s">
        <v>29</v>
      </c>
      <c r="Q24" t="s">
        <v>52</v>
      </c>
      <c r="R24" t="s">
        <v>45</v>
      </c>
      <c r="S24" t="s">
        <v>53</v>
      </c>
      <c r="T24" t="s">
        <v>33</v>
      </c>
      <c r="U24" t="s">
        <v>104</v>
      </c>
      <c r="V24" t="str">
        <f>IF(B24&lt;=18,"Children",IF(B24&lt;=35,"Young adult",IF(B24&lt;=60,"Adult", "Senior Citizen")))</f>
        <v>Adult</v>
      </c>
      <c r="W24" t="str">
        <f t="shared" si="0"/>
        <v>Jan</v>
      </c>
      <c r="X24">
        <f t="shared" si="1"/>
        <v>1</v>
      </c>
      <c r="Y24" t="str">
        <f t="shared" si="2"/>
        <v>Q1</v>
      </c>
      <c r="Z24">
        <f t="shared" si="3"/>
        <v>2025</v>
      </c>
      <c r="AA24" t="str">
        <f t="shared" si="4"/>
        <v>Thursday</v>
      </c>
      <c r="AB24">
        <f t="shared" si="5"/>
        <v>-7</v>
      </c>
      <c r="AC24" t="str">
        <f>IF(OR(D24="Heart Disease",D24="Cancer",D24="Stroke"),"High",IF(OR(D24="Diabetes",D24="Asthma"),"Medium","Low"))</f>
        <v>Low</v>
      </c>
      <c r="AD24" t="str">
        <f t="shared" si="6"/>
        <v>No</v>
      </c>
      <c r="AE24" t="str">
        <f>IF(G24&lt;=2,"Short Stay", IF(G24&lt;=7,"Normal Stay", "Long Stay"))</f>
        <v>Normal Stay</v>
      </c>
      <c r="AF24" t="str">
        <f>IF(F24&gt;60000,"Expensive",IF(F24&gt;30000,"Moderate","Affordable"))</f>
        <v>Affordable</v>
      </c>
      <c r="AG24" t="str">
        <f>IF(J24&gt;=4.5,"Excellent",IF(J24&gt;=3.5,"Good",IF(J24&gt;=2.5,"Average","Poor")))</f>
        <v>Good</v>
      </c>
      <c r="AH24" t="str">
        <f>IF(OR(TEXT(N24,"dddd")="Saturday",TEXT(N24,"dddd")="Sunday"),"Weekend","Weekday")</f>
        <v>Weekday</v>
      </c>
    </row>
    <row r="25" spans="1:34" x14ac:dyDescent="0.3">
      <c r="A25">
        <v>24</v>
      </c>
      <c r="B25">
        <v>75</v>
      </c>
      <c r="C25" t="s">
        <v>21</v>
      </c>
      <c r="D25" t="s">
        <v>85</v>
      </c>
      <c r="E25" t="s">
        <v>86</v>
      </c>
      <c r="F25">
        <v>18000</v>
      </c>
      <c r="G25">
        <v>9</v>
      </c>
      <c r="H25" t="s">
        <v>38</v>
      </c>
      <c r="I25" t="s">
        <v>39</v>
      </c>
      <c r="J25">
        <v>2</v>
      </c>
      <c r="K25" t="s">
        <v>68</v>
      </c>
      <c r="L25" t="s">
        <v>142</v>
      </c>
      <c r="M25" t="s">
        <v>143</v>
      </c>
      <c r="N25" s="2">
        <v>45681</v>
      </c>
      <c r="O25" s="2">
        <v>45690</v>
      </c>
      <c r="P25" t="s">
        <v>43</v>
      </c>
      <c r="Q25" t="s">
        <v>71</v>
      </c>
      <c r="R25" t="s">
        <v>45</v>
      </c>
      <c r="S25" t="s">
        <v>77</v>
      </c>
      <c r="T25" t="s">
        <v>33</v>
      </c>
      <c r="U25" t="s">
        <v>78</v>
      </c>
      <c r="V25" t="str">
        <f>IF(B25&lt;=18,"Children",IF(B25&lt;=35,"Young adult",IF(B25&lt;=60,"Adult", "Senior Citizen")))</f>
        <v>Senior Citizen</v>
      </c>
      <c r="W25" t="str">
        <f t="shared" si="0"/>
        <v>Jan</v>
      </c>
      <c r="X25">
        <f t="shared" si="1"/>
        <v>1</v>
      </c>
      <c r="Y25" t="str">
        <f t="shared" si="2"/>
        <v>Q1</v>
      </c>
      <c r="Z25">
        <f t="shared" si="3"/>
        <v>2025</v>
      </c>
      <c r="AA25" t="str">
        <f t="shared" si="4"/>
        <v>Friday</v>
      </c>
      <c r="AB25">
        <f t="shared" si="5"/>
        <v>-9</v>
      </c>
      <c r="AC25" t="str">
        <f>IF(OR(D25="Heart Disease",D25="Cancer",D25="Stroke"),"High",IF(OR(D25="Diabetes",D25="Asthma"),"Medium","Low"))</f>
        <v>Low</v>
      </c>
      <c r="AD25" t="str">
        <f t="shared" si="6"/>
        <v>No</v>
      </c>
      <c r="AE25" t="str">
        <f>IF(G25&lt;=2,"Short Stay", IF(G25&lt;=7,"Normal Stay", "Long Stay"))</f>
        <v>Long Stay</v>
      </c>
      <c r="AF25" t="str">
        <f>IF(F25&gt;60000,"Expensive",IF(F25&gt;30000,"Moderate","Affordable"))</f>
        <v>Affordable</v>
      </c>
      <c r="AG25" t="str">
        <f>IF(J25&gt;=4.5,"Excellent",IF(J25&gt;=3.5,"Good",IF(J25&gt;=2.5,"Average","Poor")))</f>
        <v>Poor</v>
      </c>
      <c r="AH25" t="str">
        <f>IF(OR(TEXT(N25,"dddd")="Saturday",TEXT(N25,"dddd")="Sunday"),"Weekend","Weekday")</f>
        <v>Weekday</v>
      </c>
    </row>
    <row r="26" spans="1:34" x14ac:dyDescent="0.3">
      <c r="A26">
        <v>25</v>
      </c>
      <c r="B26">
        <v>28</v>
      </c>
      <c r="C26" t="s">
        <v>35</v>
      </c>
      <c r="D26" t="s">
        <v>89</v>
      </c>
      <c r="E26" t="s">
        <v>90</v>
      </c>
      <c r="F26">
        <v>100</v>
      </c>
      <c r="G26">
        <v>2</v>
      </c>
      <c r="H26" t="s">
        <v>24</v>
      </c>
      <c r="I26" t="s">
        <v>25</v>
      </c>
      <c r="J26">
        <v>5</v>
      </c>
      <c r="K26" t="s">
        <v>144</v>
      </c>
      <c r="L26" t="s">
        <v>145</v>
      </c>
      <c r="M26" t="s">
        <v>146</v>
      </c>
      <c r="N26" s="2">
        <v>45682</v>
      </c>
      <c r="O26" s="2">
        <v>45684</v>
      </c>
      <c r="P26" t="s">
        <v>43</v>
      </c>
      <c r="Q26" t="s">
        <v>52</v>
      </c>
      <c r="R26" t="s">
        <v>45</v>
      </c>
      <c r="S26" t="s">
        <v>77</v>
      </c>
      <c r="T26" t="s">
        <v>33</v>
      </c>
      <c r="U26" t="s">
        <v>78</v>
      </c>
      <c r="V26" t="str">
        <f>IF(B26&lt;=18,"Children",IF(B26&lt;=35,"Young adult",IF(B26&lt;=60,"Adult", "Senior Citizen")))</f>
        <v>Young adult</v>
      </c>
      <c r="W26" t="str">
        <f t="shared" si="0"/>
        <v>Jan</v>
      </c>
      <c r="X26">
        <f t="shared" si="1"/>
        <v>1</v>
      </c>
      <c r="Y26" t="str">
        <f t="shared" si="2"/>
        <v>Q1</v>
      </c>
      <c r="Z26">
        <f t="shared" si="3"/>
        <v>2025</v>
      </c>
      <c r="AA26" t="str">
        <f t="shared" si="4"/>
        <v>Saturday</v>
      </c>
      <c r="AB26">
        <f t="shared" si="5"/>
        <v>-2</v>
      </c>
      <c r="AC26" t="str">
        <f>IF(OR(D26="Heart Disease",D26="Cancer",D26="Stroke"),"High",IF(OR(D26="Diabetes",D26="Asthma"),"Medium","Low"))</f>
        <v>Low</v>
      </c>
      <c r="AD26" t="str">
        <f t="shared" si="6"/>
        <v>No</v>
      </c>
      <c r="AE26" t="str">
        <f>IF(G26&lt;=2,"Short Stay", IF(G26&lt;=7,"Normal Stay", "Long Stay"))</f>
        <v>Short Stay</v>
      </c>
      <c r="AF26" t="str">
        <f>IF(F26&gt;60000,"Expensive",IF(F26&gt;30000,"Moderate","Affordable"))</f>
        <v>Affordable</v>
      </c>
      <c r="AG26" t="str">
        <f>IF(J26&gt;=4.5,"Excellent",IF(J26&gt;=3.5,"Good",IF(J26&gt;=2.5,"Average","Poor")))</f>
        <v>Excellent</v>
      </c>
      <c r="AH26" t="str">
        <f>IF(OR(TEXT(N26,"dddd")="Saturday",TEXT(N26,"dddd")="Sunday"),"Weekend","Weekday")</f>
        <v>Weekend</v>
      </c>
    </row>
    <row r="27" spans="1:34" x14ac:dyDescent="0.3">
      <c r="A27">
        <v>26</v>
      </c>
      <c r="B27">
        <v>52</v>
      </c>
      <c r="C27" t="s">
        <v>21</v>
      </c>
      <c r="D27" t="s">
        <v>94</v>
      </c>
      <c r="E27" t="s">
        <v>95</v>
      </c>
      <c r="F27">
        <v>800</v>
      </c>
      <c r="G27">
        <v>3</v>
      </c>
      <c r="H27" t="s">
        <v>24</v>
      </c>
      <c r="I27" t="s">
        <v>39</v>
      </c>
      <c r="J27">
        <v>4</v>
      </c>
      <c r="K27" t="s">
        <v>107</v>
      </c>
      <c r="L27" t="s">
        <v>147</v>
      </c>
      <c r="M27" t="s">
        <v>148</v>
      </c>
      <c r="N27" s="2">
        <v>45683</v>
      </c>
      <c r="O27" s="2">
        <v>45686</v>
      </c>
      <c r="P27" t="s">
        <v>43</v>
      </c>
      <c r="Q27" t="s">
        <v>71</v>
      </c>
      <c r="R27" t="s">
        <v>45</v>
      </c>
      <c r="S27" t="s">
        <v>77</v>
      </c>
      <c r="T27" t="s">
        <v>33</v>
      </c>
      <c r="U27" t="s">
        <v>46</v>
      </c>
      <c r="V27" t="str">
        <f>IF(B27&lt;=18,"Children",IF(B27&lt;=35,"Young adult",IF(B27&lt;=60,"Adult", "Senior Citizen")))</f>
        <v>Adult</v>
      </c>
      <c r="W27" t="str">
        <f t="shared" si="0"/>
        <v>Jan</v>
      </c>
      <c r="X27">
        <f t="shared" si="1"/>
        <v>1</v>
      </c>
      <c r="Y27" t="str">
        <f t="shared" si="2"/>
        <v>Q1</v>
      </c>
      <c r="Z27">
        <f t="shared" si="3"/>
        <v>2025</v>
      </c>
      <c r="AA27" t="str">
        <f t="shared" si="4"/>
        <v>Sunday</v>
      </c>
      <c r="AB27">
        <f t="shared" si="5"/>
        <v>-3</v>
      </c>
      <c r="AC27" t="str">
        <f>IF(OR(D27="Heart Disease",D27="Cancer",D27="Stroke"),"High",IF(OR(D27="Diabetes",D27="Asthma"),"Medium","Low"))</f>
        <v>Low</v>
      </c>
      <c r="AD27" t="str">
        <f t="shared" si="6"/>
        <v>No</v>
      </c>
      <c r="AE27" t="str">
        <f>IF(G27&lt;=2,"Short Stay", IF(G27&lt;=7,"Normal Stay", "Long Stay"))</f>
        <v>Normal Stay</v>
      </c>
      <c r="AF27" t="str">
        <f>IF(F27&gt;60000,"Expensive",IF(F27&gt;30000,"Moderate","Affordable"))</f>
        <v>Affordable</v>
      </c>
      <c r="AG27" t="str">
        <f>IF(J27&gt;=4.5,"Excellent",IF(J27&gt;=3.5,"Good",IF(J27&gt;=2.5,"Average","Poor")))</f>
        <v>Good</v>
      </c>
      <c r="AH27" t="str">
        <f>IF(OR(TEXT(N27,"dddd")="Saturday",TEXT(N27,"dddd")="Sunday"),"Weekend","Weekday")</f>
        <v>Weekend</v>
      </c>
    </row>
    <row r="28" spans="1:34" x14ac:dyDescent="0.3">
      <c r="A28">
        <v>27</v>
      </c>
      <c r="B28">
        <v>67</v>
      </c>
      <c r="C28" t="s">
        <v>35</v>
      </c>
      <c r="D28" t="s">
        <v>99</v>
      </c>
      <c r="E28" t="s">
        <v>100</v>
      </c>
      <c r="F28">
        <v>20000</v>
      </c>
      <c r="G28">
        <v>10</v>
      </c>
      <c r="H28" t="s">
        <v>24</v>
      </c>
      <c r="I28" t="s">
        <v>25</v>
      </c>
      <c r="J28">
        <v>3</v>
      </c>
      <c r="K28" t="s">
        <v>149</v>
      </c>
      <c r="L28" t="s">
        <v>150</v>
      </c>
      <c r="M28" t="s">
        <v>151</v>
      </c>
      <c r="N28" s="2">
        <v>45684</v>
      </c>
      <c r="O28" s="2">
        <v>45694</v>
      </c>
      <c r="P28" t="s">
        <v>43</v>
      </c>
      <c r="Q28" t="s">
        <v>44</v>
      </c>
      <c r="R28" t="s">
        <v>45</v>
      </c>
      <c r="S28" t="s">
        <v>84</v>
      </c>
      <c r="T28" t="s">
        <v>33</v>
      </c>
      <c r="U28" t="s">
        <v>46</v>
      </c>
      <c r="V28" t="str">
        <f>IF(B28&lt;=18,"Children",IF(B28&lt;=35,"Young adult",IF(B28&lt;=60,"Adult", "Senior Citizen")))</f>
        <v>Senior Citizen</v>
      </c>
      <c r="W28" t="str">
        <f t="shared" si="0"/>
        <v>Jan</v>
      </c>
      <c r="X28">
        <f t="shared" si="1"/>
        <v>1</v>
      </c>
      <c r="Y28" t="str">
        <f t="shared" si="2"/>
        <v>Q1</v>
      </c>
      <c r="Z28">
        <f t="shared" si="3"/>
        <v>2025</v>
      </c>
      <c r="AA28" t="str">
        <f t="shared" si="4"/>
        <v>Monday</v>
      </c>
      <c r="AB28">
        <f t="shared" si="5"/>
        <v>-10</v>
      </c>
      <c r="AC28" t="str">
        <f>IF(OR(D28="Heart Disease",D28="Cancer",D28="Stroke"),"High",IF(OR(D28="Diabetes",D28="Asthma"),"Medium","Low"))</f>
        <v>Low</v>
      </c>
      <c r="AD28" t="str">
        <f t="shared" si="6"/>
        <v>No</v>
      </c>
      <c r="AE28" t="str">
        <f>IF(G28&lt;=2,"Short Stay", IF(G28&lt;=7,"Normal Stay", "Long Stay"))</f>
        <v>Long Stay</v>
      </c>
      <c r="AF28" t="str">
        <f>IF(F28&gt;60000,"Expensive",IF(F28&gt;30000,"Moderate","Affordable"))</f>
        <v>Affordable</v>
      </c>
      <c r="AG28" t="str">
        <f>IF(J28&gt;=4.5,"Excellent",IF(J28&gt;=3.5,"Good",IF(J28&gt;=2.5,"Average","Poor")))</f>
        <v>Average</v>
      </c>
      <c r="AH28" t="str">
        <f>IF(OR(TEXT(N28,"dddd")="Saturday",TEXT(N28,"dddd")="Sunday"),"Weekend","Weekday")</f>
        <v>Weekday</v>
      </c>
    </row>
    <row r="29" spans="1:34" x14ac:dyDescent="0.3">
      <c r="A29">
        <v>28</v>
      </c>
      <c r="B29">
        <v>35</v>
      </c>
      <c r="C29" t="s">
        <v>21</v>
      </c>
      <c r="D29" t="s">
        <v>105</v>
      </c>
      <c r="E29" t="s">
        <v>106</v>
      </c>
      <c r="F29">
        <v>12000</v>
      </c>
      <c r="G29">
        <v>4</v>
      </c>
      <c r="H29" t="s">
        <v>24</v>
      </c>
      <c r="I29" t="s">
        <v>25</v>
      </c>
      <c r="J29">
        <v>4</v>
      </c>
      <c r="K29" t="s">
        <v>40</v>
      </c>
      <c r="L29" t="s">
        <v>152</v>
      </c>
      <c r="M29" t="s">
        <v>153</v>
      </c>
      <c r="N29" s="2">
        <v>45685</v>
      </c>
      <c r="O29" s="2">
        <v>45689</v>
      </c>
      <c r="P29" t="s">
        <v>43</v>
      </c>
      <c r="Q29" t="s">
        <v>71</v>
      </c>
      <c r="R29" t="s">
        <v>45</v>
      </c>
      <c r="S29" t="s">
        <v>77</v>
      </c>
      <c r="T29" t="s">
        <v>33</v>
      </c>
      <c r="U29" t="s">
        <v>34</v>
      </c>
      <c r="V29" t="str">
        <f>IF(B29&lt;=18,"Children",IF(B29&lt;=35,"Young adult",IF(B29&lt;=60,"Adult", "Senior Citizen")))</f>
        <v>Young adult</v>
      </c>
      <c r="W29" t="str">
        <f t="shared" si="0"/>
        <v>Jan</v>
      </c>
      <c r="X29">
        <f t="shared" si="1"/>
        <v>1</v>
      </c>
      <c r="Y29" t="str">
        <f t="shared" si="2"/>
        <v>Q1</v>
      </c>
      <c r="Z29">
        <f t="shared" si="3"/>
        <v>2025</v>
      </c>
      <c r="AA29" t="str">
        <f t="shared" si="4"/>
        <v>Tuesday</v>
      </c>
      <c r="AB29">
        <f t="shared" si="5"/>
        <v>-4</v>
      </c>
      <c r="AC29" t="str">
        <f>IF(OR(D29="Heart Disease",D29="Cancer",D29="Stroke"),"High",IF(OR(D29="Diabetes",D29="Asthma"),"Medium","Low"))</f>
        <v>Low</v>
      </c>
      <c r="AD29" t="str">
        <f t="shared" si="6"/>
        <v>No</v>
      </c>
      <c r="AE29" t="str">
        <f>IF(G29&lt;=2,"Short Stay", IF(G29&lt;=7,"Normal Stay", "Long Stay"))</f>
        <v>Normal Stay</v>
      </c>
      <c r="AF29" t="str">
        <f>IF(F29&gt;60000,"Expensive",IF(F29&gt;30000,"Moderate","Affordable"))</f>
        <v>Affordable</v>
      </c>
      <c r="AG29" t="str">
        <f>IF(J29&gt;=4.5,"Excellent",IF(J29&gt;=3.5,"Good",IF(J29&gt;=2.5,"Average","Poor")))</f>
        <v>Good</v>
      </c>
      <c r="AH29" t="str">
        <f>IF(OR(TEXT(N29,"dddd")="Saturday",TEXT(N29,"dddd")="Sunday"),"Weekend","Weekday")</f>
        <v>Weekday</v>
      </c>
    </row>
    <row r="30" spans="1:34" x14ac:dyDescent="0.3">
      <c r="A30">
        <v>29</v>
      </c>
      <c r="B30">
        <v>50</v>
      </c>
      <c r="C30" t="s">
        <v>35</v>
      </c>
      <c r="D30" t="s">
        <v>111</v>
      </c>
      <c r="E30" t="s">
        <v>112</v>
      </c>
      <c r="F30">
        <v>6000</v>
      </c>
      <c r="G30">
        <v>5</v>
      </c>
      <c r="H30" t="s">
        <v>24</v>
      </c>
      <c r="I30" t="s">
        <v>25</v>
      </c>
      <c r="J30">
        <v>3</v>
      </c>
      <c r="K30" t="s">
        <v>154</v>
      </c>
      <c r="L30" t="s">
        <v>155</v>
      </c>
      <c r="M30" t="s">
        <v>156</v>
      </c>
      <c r="N30" s="2">
        <v>45686</v>
      </c>
      <c r="O30" s="2">
        <v>45691</v>
      </c>
      <c r="P30" t="s">
        <v>43</v>
      </c>
      <c r="Q30" t="s">
        <v>52</v>
      </c>
      <c r="R30" t="s">
        <v>45</v>
      </c>
      <c r="S30" t="s">
        <v>32</v>
      </c>
      <c r="T30" t="s">
        <v>33</v>
      </c>
      <c r="U30" t="s">
        <v>104</v>
      </c>
      <c r="V30" t="str">
        <f>IF(B30&lt;=18,"Children",IF(B30&lt;=35,"Young adult",IF(B30&lt;=60,"Adult", "Senior Citizen")))</f>
        <v>Adult</v>
      </c>
      <c r="W30" t="str">
        <f t="shared" si="0"/>
        <v>Jan</v>
      </c>
      <c r="X30">
        <f t="shared" si="1"/>
        <v>1</v>
      </c>
      <c r="Y30" t="str">
        <f t="shared" si="2"/>
        <v>Q1</v>
      </c>
      <c r="Z30">
        <f t="shared" si="3"/>
        <v>2025</v>
      </c>
      <c r="AA30" t="str">
        <f t="shared" si="4"/>
        <v>Wednesday</v>
      </c>
      <c r="AB30">
        <f t="shared" si="5"/>
        <v>-5</v>
      </c>
      <c r="AC30" t="str">
        <f>IF(OR(D30="Heart Disease",D30="Cancer",D30="Stroke"),"High",IF(OR(D30="Diabetes",D30="Asthma"),"Medium","Low"))</f>
        <v>Low</v>
      </c>
      <c r="AD30" t="str">
        <f t="shared" si="6"/>
        <v>No</v>
      </c>
      <c r="AE30" t="str">
        <f>IF(G30&lt;=2,"Short Stay", IF(G30&lt;=7,"Normal Stay", "Long Stay"))</f>
        <v>Normal Stay</v>
      </c>
      <c r="AF30" t="str">
        <f>IF(F30&gt;60000,"Expensive",IF(F30&gt;30000,"Moderate","Affordable"))</f>
        <v>Affordable</v>
      </c>
      <c r="AG30" t="str">
        <f>IF(J30&gt;=4.5,"Excellent",IF(J30&gt;=3.5,"Good",IF(J30&gt;=2.5,"Average","Poor")))</f>
        <v>Average</v>
      </c>
      <c r="AH30" t="str">
        <f>IF(OR(TEXT(N30,"dddd")="Saturday",TEXT(N30,"dddd")="Sunday"),"Weekend","Weekday")</f>
        <v>Weekday</v>
      </c>
    </row>
    <row r="31" spans="1:34" x14ac:dyDescent="0.3">
      <c r="A31">
        <v>30</v>
      </c>
      <c r="B31">
        <v>60</v>
      </c>
      <c r="C31" t="s">
        <v>21</v>
      </c>
      <c r="D31" t="s">
        <v>116</v>
      </c>
      <c r="E31" t="s">
        <v>117</v>
      </c>
      <c r="F31">
        <v>4000</v>
      </c>
      <c r="G31">
        <v>6</v>
      </c>
      <c r="H31" t="s">
        <v>24</v>
      </c>
      <c r="I31" t="s">
        <v>39</v>
      </c>
      <c r="J31">
        <v>4</v>
      </c>
      <c r="K31" t="s">
        <v>157</v>
      </c>
      <c r="L31" t="s">
        <v>158</v>
      </c>
      <c r="M31" t="s">
        <v>159</v>
      </c>
      <c r="N31" s="2">
        <v>45687</v>
      </c>
      <c r="O31" s="2">
        <v>45693</v>
      </c>
      <c r="P31" t="s">
        <v>43</v>
      </c>
      <c r="Q31" t="s">
        <v>139</v>
      </c>
      <c r="R31" t="s">
        <v>45</v>
      </c>
      <c r="S31" t="s">
        <v>72</v>
      </c>
      <c r="T31" t="s">
        <v>33</v>
      </c>
      <c r="U31" t="s">
        <v>46</v>
      </c>
      <c r="V31" t="str">
        <f>IF(B31&lt;=18,"Children",IF(B31&lt;=35,"Young adult",IF(B31&lt;=60,"Adult", "Senior Citizen")))</f>
        <v>Adult</v>
      </c>
      <c r="W31" t="str">
        <f t="shared" si="0"/>
        <v>Jan</v>
      </c>
      <c r="X31">
        <f t="shared" si="1"/>
        <v>1</v>
      </c>
      <c r="Y31" t="str">
        <f t="shared" si="2"/>
        <v>Q1</v>
      </c>
      <c r="Z31">
        <f t="shared" si="3"/>
        <v>2025</v>
      </c>
      <c r="AA31" t="str">
        <f t="shared" si="4"/>
        <v>Thursday</v>
      </c>
      <c r="AB31">
        <f t="shared" si="5"/>
        <v>-6</v>
      </c>
      <c r="AC31" t="str">
        <f>IF(OR(D31="Heart Disease",D31="Cancer",D31="Stroke"),"High",IF(OR(D31="Diabetes",D31="Asthma"),"Medium","Low"))</f>
        <v>Low</v>
      </c>
      <c r="AD31" t="str">
        <f t="shared" si="6"/>
        <v>No</v>
      </c>
      <c r="AE31" t="str">
        <f>IF(G31&lt;=2,"Short Stay", IF(G31&lt;=7,"Normal Stay", "Long Stay"))</f>
        <v>Normal Stay</v>
      </c>
      <c r="AF31" t="str">
        <f>IF(F31&gt;60000,"Expensive",IF(F31&gt;30000,"Moderate","Affordable"))</f>
        <v>Affordable</v>
      </c>
      <c r="AG31" t="str">
        <f>IF(J31&gt;=4.5,"Excellent",IF(J31&gt;=3.5,"Good",IF(J31&gt;=2.5,"Average","Poor")))</f>
        <v>Good</v>
      </c>
      <c r="AH31" t="str">
        <f>IF(OR(TEXT(N31,"dddd")="Saturday",TEXT(N31,"dddd")="Sunday"),"Weekend","Weekday")</f>
        <v>Weekday</v>
      </c>
    </row>
    <row r="32" spans="1:34" x14ac:dyDescent="0.3">
      <c r="A32">
        <v>31</v>
      </c>
      <c r="B32">
        <v>48</v>
      </c>
      <c r="C32" t="s">
        <v>21</v>
      </c>
      <c r="D32" t="s">
        <v>22</v>
      </c>
      <c r="E32" t="s">
        <v>23</v>
      </c>
      <c r="F32">
        <v>15000</v>
      </c>
      <c r="G32">
        <v>7</v>
      </c>
      <c r="H32" t="s">
        <v>38</v>
      </c>
      <c r="I32" t="s">
        <v>25</v>
      </c>
      <c r="J32">
        <v>4</v>
      </c>
      <c r="K32" t="s">
        <v>160</v>
      </c>
      <c r="L32" t="s">
        <v>161</v>
      </c>
      <c r="M32" t="s">
        <v>162</v>
      </c>
      <c r="N32" s="2">
        <v>45688</v>
      </c>
      <c r="O32" s="2">
        <v>45695</v>
      </c>
      <c r="P32" t="s">
        <v>43</v>
      </c>
      <c r="Q32" t="s">
        <v>30</v>
      </c>
      <c r="R32" t="s">
        <v>31</v>
      </c>
      <c r="S32" t="s">
        <v>72</v>
      </c>
      <c r="T32" t="s">
        <v>33</v>
      </c>
      <c r="U32" t="s">
        <v>78</v>
      </c>
      <c r="V32" t="str">
        <f>IF(B32&lt;=18,"Children",IF(B32&lt;=35,"Young adult",IF(B32&lt;=60,"Adult", "Senior Citizen")))</f>
        <v>Adult</v>
      </c>
      <c r="W32" t="str">
        <f t="shared" si="0"/>
        <v>Jan</v>
      </c>
      <c r="X32">
        <f t="shared" si="1"/>
        <v>1</v>
      </c>
      <c r="Y32" t="str">
        <f t="shared" si="2"/>
        <v>Q1</v>
      </c>
      <c r="Z32">
        <f t="shared" si="3"/>
        <v>2025</v>
      </c>
      <c r="AA32" t="str">
        <f t="shared" si="4"/>
        <v>Friday</v>
      </c>
      <c r="AB32">
        <f t="shared" si="5"/>
        <v>-7</v>
      </c>
      <c r="AC32" t="str">
        <f>IF(OR(D32="Heart Disease",D32="Cancer",D32="Stroke"),"High",IF(OR(D32="Diabetes",D32="Asthma"),"Medium","Low"))</f>
        <v>High</v>
      </c>
      <c r="AD32" t="str">
        <f t="shared" si="6"/>
        <v>Yes</v>
      </c>
      <c r="AE32" t="str">
        <f>IF(G32&lt;=2,"Short Stay", IF(G32&lt;=7,"Normal Stay", "Long Stay"))</f>
        <v>Normal Stay</v>
      </c>
      <c r="AF32" t="str">
        <f>IF(F32&gt;60000,"Expensive",IF(F32&gt;30000,"Moderate","Affordable"))</f>
        <v>Affordable</v>
      </c>
      <c r="AG32" t="str">
        <f>IF(J32&gt;=4.5,"Excellent",IF(J32&gt;=3.5,"Good",IF(J32&gt;=2.5,"Average","Poor")))</f>
        <v>Good</v>
      </c>
      <c r="AH32" t="str">
        <f>IF(OR(TEXT(N32,"dddd")="Saturday",TEXT(N32,"dddd")="Sunday"),"Weekend","Weekday")</f>
        <v>Weekday</v>
      </c>
    </row>
    <row r="33" spans="1:34" x14ac:dyDescent="0.3">
      <c r="A33">
        <v>32</v>
      </c>
      <c r="B33">
        <v>65</v>
      </c>
      <c r="C33" t="s">
        <v>35</v>
      </c>
      <c r="D33" t="s">
        <v>36</v>
      </c>
      <c r="E33" t="s">
        <v>37</v>
      </c>
      <c r="F33">
        <v>2000</v>
      </c>
      <c r="G33">
        <v>5</v>
      </c>
      <c r="H33" t="s">
        <v>24</v>
      </c>
      <c r="I33" t="s">
        <v>39</v>
      </c>
      <c r="J33">
        <v>3</v>
      </c>
      <c r="K33" t="s">
        <v>107</v>
      </c>
      <c r="L33" t="s">
        <v>163</v>
      </c>
      <c r="M33" t="s">
        <v>164</v>
      </c>
      <c r="N33" s="2">
        <v>45689</v>
      </c>
      <c r="O33" s="2">
        <v>45694</v>
      </c>
      <c r="P33" t="s">
        <v>43</v>
      </c>
      <c r="Q33" t="s">
        <v>71</v>
      </c>
      <c r="R33" t="s">
        <v>45</v>
      </c>
      <c r="S33" t="s">
        <v>32</v>
      </c>
      <c r="T33" t="s">
        <v>33</v>
      </c>
      <c r="U33" t="s">
        <v>34</v>
      </c>
      <c r="V33" t="str">
        <f>IF(B33&lt;=18,"Children",IF(B33&lt;=35,"Young adult",IF(B33&lt;=60,"Adult", "Senior Citizen")))</f>
        <v>Senior Citizen</v>
      </c>
      <c r="W33" t="str">
        <f t="shared" si="0"/>
        <v>Feb</v>
      </c>
      <c r="X33">
        <f t="shared" si="1"/>
        <v>2</v>
      </c>
      <c r="Y33" t="str">
        <f t="shared" si="2"/>
        <v>Q1</v>
      </c>
      <c r="Z33">
        <f t="shared" si="3"/>
        <v>2025</v>
      </c>
      <c r="AA33" t="str">
        <f t="shared" si="4"/>
        <v>Saturday</v>
      </c>
      <c r="AB33">
        <f t="shared" si="5"/>
        <v>-5</v>
      </c>
      <c r="AC33" t="str">
        <f>IF(OR(D33="Heart Disease",D33="Cancer",D33="Stroke"),"High",IF(OR(D33="Diabetes",D33="Asthma"),"Medium","Low"))</f>
        <v>Medium</v>
      </c>
      <c r="AD33" t="str">
        <f t="shared" si="6"/>
        <v>No</v>
      </c>
      <c r="AE33" t="str">
        <f>IF(G33&lt;=2,"Short Stay", IF(G33&lt;=7,"Normal Stay", "Long Stay"))</f>
        <v>Normal Stay</v>
      </c>
      <c r="AF33" t="str">
        <f>IF(F33&gt;60000,"Expensive",IF(F33&gt;30000,"Moderate","Affordable"))</f>
        <v>Affordable</v>
      </c>
      <c r="AG33" t="str">
        <f>IF(J33&gt;=4.5,"Excellent",IF(J33&gt;=3.5,"Good",IF(J33&gt;=2.5,"Average","Poor")))</f>
        <v>Average</v>
      </c>
      <c r="AH33" t="str">
        <f>IF(OR(TEXT(N33,"dddd")="Saturday",TEXT(N33,"dddd")="Sunday"),"Weekend","Weekday")</f>
        <v>Weekend</v>
      </c>
    </row>
    <row r="34" spans="1:34" x14ac:dyDescent="0.3">
      <c r="A34">
        <v>33</v>
      </c>
      <c r="B34">
        <v>30</v>
      </c>
      <c r="C34" t="s">
        <v>21</v>
      </c>
      <c r="D34" t="s">
        <v>47</v>
      </c>
      <c r="E34" t="s">
        <v>48</v>
      </c>
      <c r="F34">
        <v>500</v>
      </c>
      <c r="G34">
        <v>3</v>
      </c>
      <c r="H34" t="s">
        <v>24</v>
      </c>
      <c r="I34" t="s">
        <v>25</v>
      </c>
      <c r="J34">
        <v>5</v>
      </c>
      <c r="K34" t="s">
        <v>149</v>
      </c>
      <c r="L34" t="s">
        <v>165</v>
      </c>
      <c r="M34" t="s">
        <v>166</v>
      </c>
      <c r="N34" s="2">
        <v>45690</v>
      </c>
      <c r="O34" s="2">
        <v>45693</v>
      </c>
      <c r="P34" t="s">
        <v>29</v>
      </c>
      <c r="Q34" t="s">
        <v>71</v>
      </c>
      <c r="R34" t="s">
        <v>45</v>
      </c>
      <c r="S34" t="s">
        <v>53</v>
      </c>
      <c r="T34" t="s">
        <v>33</v>
      </c>
      <c r="U34" t="s">
        <v>46</v>
      </c>
      <c r="V34" t="str">
        <f>IF(B34&lt;=18,"Children",IF(B34&lt;=35,"Young adult",IF(B34&lt;=60,"Adult", "Senior Citizen")))</f>
        <v>Young adult</v>
      </c>
      <c r="W34" t="str">
        <f t="shared" si="0"/>
        <v>Feb</v>
      </c>
      <c r="X34">
        <f t="shared" si="1"/>
        <v>2</v>
      </c>
      <c r="Y34" t="str">
        <f t="shared" si="2"/>
        <v>Q1</v>
      </c>
      <c r="Z34">
        <f t="shared" si="3"/>
        <v>2025</v>
      </c>
      <c r="AA34" t="str">
        <f t="shared" si="4"/>
        <v>Sunday</v>
      </c>
      <c r="AB34">
        <f t="shared" si="5"/>
        <v>-3</v>
      </c>
      <c r="AC34" t="str">
        <f>IF(OR(D34="Heart Disease",D34="Cancer",D34="Stroke"),"High",IF(OR(D34="Diabetes",D34="Asthma"),"Medium","Low"))</f>
        <v>Low</v>
      </c>
      <c r="AD34" t="str">
        <f t="shared" si="6"/>
        <v>No</v>
      </c>
      <c r="AE34" t="str">
        <f>IF(G34&lt;=2,"Short Stay", IF(G34&lt;=7,"Normal Stay", "Long Stay"))</f>
        <v>Normal Stay</v>
      </c>
      <c r="AF34" t="str">
        <f>IF(F34&gt;60000,"Expensive",IF(F34&gt;30000,"Moderate","Affordable"))</f>
        <v>Affordable</v>
      </c>
      <c r="AG34" t="str">
        <f>IF(J34&gt;=4.5,"Excellent",IF(J34&gt;=3.5,"Good",IF(J34&gt;=2.5,"Average","Poor")))</f>
        <v>Excellent</v>
      </c>
      <c r="AH34" t="str">
        <f>IF(OR(TEXT(N34,"dddd")="Saturday",TEXT(N34,"dddd")="Sunday"),"Weekend","Weekday")</f>
        <v>Weekend</v>
      </c>
    </row>
    <row r="35" spans="1:34" x14ac:dyDescent="0.3">
      <c r="A35">
        <v>34</v>
      </c>
      <c r="B35">
        <v>70</v>
      </c>
      <c r="C35" t="s">
        <v>35</v>
      </c>
      <c r="D35" t="s">
        <v>54</v>
      </c>
      <c r="E35" t="s">
        <v>55</v>
      </c>
      <c r="F35">
        <v>10000</v>
      </c>
      <c r="G35">
        <v>9</v>
      </c>
      <c r="H35" t="s">
        <v>38</v>
      </c>
      <c r="I35" t="s">
        <v>39</v>
      </c>
      <c r="J35">
        <v>2</v>
      </c>
      <c r="K35" t="s">
        <v>107</v>
      </c>
      <c r="L35" t="s">
        <v>167</v>
      </c>
      <c r="M35" t="s">
        <v>168</v>
      </c>
      <c r="N35" s="2">
        <v>45691</v>
      </c>
      <c r="O35" s="2">
        <v>45700</v>
      </c>
      <c r="P35" t="s">
        <v>43</v>
      </c>
      <c r="Q35" t="s">
        <v>139</v>
      </c>
      <c r="R35" t="s">
        <v>59</v>
      </c>
      <c r="S35" t="s">
        <v>72</v>
      </c>
      <c r="T35" t="s">
        <v>33</v>
      </c>
      <c r="U35" t="s">
        <v>46</v>
      </c>
      <c r="V35" t="str">
        <f>IF(B35&lt;=18,"Children",IF(B35&lt;=35,"Young adult",IF(B35&lt;=60,"Adult", "Senior Citizen")))</f>
        <v>Senior Citizen</v>
      </c>
      <c r="W35" t="str">
        <f t="shared" si="0"/>
        <v>Feb</v>
      </c>
      <c r="X35">
        <f t="shared" si="1"/>
        <v>2</v>
      </c>
      <c r="Y35" t="str">
        <f t="shared" si="2"/>
        <v>Q1</v>
      </c>
      <c r="Z35">
        <f t="shared" si="3"/>
        <v>2025</v>
      </c>
      <c r="AA35" t="str">
        <f t="shared" si="4"/>
        <v>Monday</v>
      </c>
      <c r="AB35">
        <f t="shared" si="5"/>
        <v>-9</v>
      </c>
      <c r="AC35" t="str">
        <f>IF(OR(D35="Heart Disease",D35="Cancer",D35="Stroke"),"High",IF(OR(D35="Diabetes",D35="Asthma"),"Medium","Low"))</f>
        <v>High</v>
      </c>
      <c r="AD35" t="str">
        <f t="shared" si="6"/>
        <v>Yes</v>
      </c>
      <c r="AE35" t="str">
        <f>IF(G35&lt;=2,"Short Stay", IF(G35&lt;=7,"Normal Stay", "Long Stay"))</f>
        <v>Long Stay</v>
      </c>
      <c r="AF35" t="str">
        <f>IF(F35&gt;60000,"Expensive",IF(F35&gt;30000,"Moderate","Affordable"))</f>
        <v>Affordable</v>
      </c>
      <c r="AG35" t="str">
        <f>IF(J35&gt;=4.5,"Excellent",IF(J35&gt;=3.5,"Good",IF(J35&gt;=2.5,"Average","Poor")))</f>
        <v>Poor</v>
      </c>
      <c r="AH35" t="str">
        <f>IF(OR(TEXT(N35,"dddd")="Saturday",TEXT(N35,"dddd")="Sunday"),"Weekend","Weekday")</f>
        <v>Weekday</v>
      </c>
    </row>
    <row r="36" spans="1:34" x14ac:dyDescent="0.3">
      <c r="A36">
        <v>35</v>
      </c>
      <c r="B36">
        <v>55</v>
      </c>
      <c r="C36" t="s">
        <v>21</v>
      </c>
      <c r="D36" t="s">
        <v>60</v>
      </c>
      <c r="E36" t="s">
        <v>61</v>
      </c>
      <c r="F36">
        <v>25000</v>
      </c>
      <c r="G36">
        <v>12</v>
      </c>
      <c r="H36" t="s">
        <v>24</v>
      </c>
      <c r="I36" t="s">
        <v>25</v>
      </c>
      <c r="J36">
        <v>4</v>
      </c>
      <c r="K36" t="s">
        <v>169</v>
      </c>
      <c r="L36" t="s">
        <v>170</v>
      </c>
      <c r="M36" t="s">
        <v>171</v>
      </c>
      <c r="N36" s="2">
        <v>45692</v>
      </c>
      <c r="O36" s="2">
        <v>45704</v>
      </c>
      <c r="P36" t="s">
        <v>29</v>
      </c>
      <c r="Q36" t="s">
        <v>52</v>
      </c>
      <c r="R36" t="s">
        <v>65</v>
      </c>
      <c r="S36" t="s">
        <v>72</v>
      </c>
      <c r="T36" t="s">
        <v>33</v>
      </c>
      <c r="U36" t="s">
        <v>104</v>
      </c>
      <c r="V36" t="str">
        <f>IF(B36&lt;=18,"Children",IF(B36&lt;=35,"Young adult",IF(B36&lt;=60,"Adult", "Senior Citizen")))</f>
        <v>Adult</v>
      </c>
      <c r="W36" t="str">
        <f t="shared" si="0"/>
        <v>Feb</v>
      </c>
      <c r="X36">
        <f t="shared" si="1"/>
        <v>2</v>
      </c>
      <c r="Y36" t="str">
        <f t="shared" si="2"/>
        <v>Q1</v>
      </c>
      <c r="Z36">
        <f t="shared" si="3"/>
        <v>2025</v>
      </c>
      <c r="AA36" t="str">
        <f t="shared" si="4"/>
        <v>Tuesday</v>
      </c>
      <c r="AB36">
        <f t="shared" si="5"/>
        <v>-12</v>
      </c>
      <c r="AC36" t="str">
        <f>IF(OR(D36="Heart Disease",D36="Cancer",D36="Stroke"),"High",IF(OR(D36="Diabetes",D36="Asthma"),"Medium","Low"))</f>
        <v>High</v>
      </c>
      <c r="AD36" t="str">
        <f t="shared" si="6"/>
        <v>Yes</v>
      </c>
      <c r="AE36" t="str">
        <f>IF(G36&lt;=2,"Short Stay", IF(G36&lt;=7,"Normal Stay", "Long Stay"))</f>
        <v>Long Stay</v>
      </c>
      <c r="AF36" t="str">
        <f>IF(F36&gt;60000,"Expensive",IF(F36&gt;30000,"Moderate","Affordable"))</f>
        <v>Affordable</v>
      </c>
      <c r="AG36" t="str">
        <f>IF(J36&gt;=4.5,"Excellent",IF(J36&gt;=3.5,"Good",IF(J36&gt;=2.5,"Average","Poor")))</f>
        <v>Good</v>
      </c>
      <c r="AH36" t="str">
        <f>IF(OR(TEXT(N36,"dddd")="Saturday",TEXT(N36,"dddd")="Sunday"),"Weekend","Weekday")</f>
        <v>Weekday</v>
      </c>
    </row>
    <row r="37" spans="1:34" x14ac:dyDescent="0.3">
      <c r="A37">
        <v>36</v>
      </c>
      <c r="B37">
        <v>68</v>
      </c>
      <c r="C37" t="s">
        <v>35</v>
      </c>
      <c r="D37" t="s">
        <v>66</v>
      </c>
      <c r="E37" t="s">
        <v>67</v>
      </c>
      <c r="F37">
        <v>1000</v>
      </c>
      <c r="G37">
        <v>4</v>
      </c>
      <c r="H37" t="s">
        <v>24</v>
      </c>
      <c r="I37" t="s">
        <v>39</v>
      </c>
      <c r="J37">
        <v>4</v>
      </c>
      <c r="K37" t="s">
        <v>172</v>
      </c>
      <c r="L37" t="s">
        <v>173</v>
      </c>
      <c r="M37" t="s">
        <v>174</v>
      </c>
      <c r="N37" s="2">
        <v>45693</v>
      </c>
      <c r="O37" s="2">
        <v>45697</v>
      </c>
      <c r="P37" t="s">
        <v>29</v>
      </c>
      <c r="Q37" t="s">
        <v>44</v>
      </c>
      <c r="R37" t="s">
        <v>45</v>
      </c>
      <c r="S37" t="s">
        <v>53</v>
      </c>
      <c r="T37" t="s">
        <v>33</v>
      </c>
      <c r="U37" t="s">
        <v>34</v>
      </c>
      <c r="V37" t="str">
        <f>IF(B37&lt;=18,"Children",IF(B37&lt;=35,"Young adult",IF(B37&lt;=60,"Adult", "Senior Citizen")))</f>
        <v>Senior Citizen</v>
      </c>
      <c r="W37" t="str">
        <f t="shared" si="0"/>
        <v>Feb</v>
      </c>
      <c r="X37">
        <f t="shared" si="1"/>
        <v>2</v>
      </c>
      <c r="Y37" t="str">
        <f t="shared" si="2"/>
        <v>Q1</v>
      </c>
      <c r="Z37">
        <f t="shared" si="3"/>
        <v>2025</v>
      </c>
      <c r="AA37" t="str">
        <f t="shared" si="4"/>
        <v>Wednesday</v>
      </c>
      <c r="AB37">
        <f t="shared" si="5"/>
        <v>-4</v>
      </c>
      <c r="AC37" t="str">
        <f>IF(OR(D37="Heart Disease",D37="Cancer",D37="Stroke"),"High",IF(OR(D37="Diabetes",D37="Asthma"),"Medium","Low"))</f>
        <v>Low</v>
      </c>
      <c r="AD37" t="str">
        <f t="shared" si="6"/>
        <v>No</v>
      </c>
      <c r="AE37" t="str">
        <f>IF(G37&lt;=2,"Short Stay", IF(G37&lt;=7,"Normal Stay", "Long Stay"))</f>
        <v>Normal Stay</v>
      </c>
      <c r="AF37" t="str">
        <f>IF(F37&gt;60000,"Expensive",IF(F37&gt;30000,"Moderate","Affordable"))</f>
        <v>Affordable</v>
      </c>
      <c r="AG37" t="str">
        <f>IF(J37&gt;=4.5,"Excellent",IF(J37&gt;=3.5,"Good",IF(J37&gt;=2.5,"Average","Poor")))</f>
        <v>Good</v>
      </c>
      <c r="AH37" t="str">
        <f>IF(OR(TEXT(N37,"dddd")="Saturday",TEXT(N37,"dddd")="Sunday"),"Weekend","Weekday")</f>
        <v>Weekday</v>
      </c>
    </row>
    <row r="38" spans="1:34" x14ac:dyDescent="0.3">
      <c r="A38">
        <v>37</v>
      </c>
      <c r="B38">
        <v>45</v>
      </c>
      <c r="C38" t="s">
        <v>21</v>
      </c>
      <c r="D38" t="s">
        <v>73</v>
      </c>
      <c r="E38" t="s">
        <v>74</v>
      </c>
      <c r="F38">
        <v>8000</v>
      </c>
      <c r="G38">
        <v>6</v>
      </c>
      <c r="H38" t="s">
        <v>24</v>
      </c>
      <c r="I38" t="s">
        <v>25</v>
      </c>
      <c r="J38">
        <v>3</v>
      </c>
      <c r="K38" t="s">
        <v>175</v>
      </c>
      <c r="L38" t="s">
        <v>176</v>
      </c>
      <c r="M38" t="s">
        <v>177</v>
      </c>
      <c r="N38" s="2">
        <v>45694</v>
      </c>
      <c r="O38" s="2">
        <v>45700</v>
      </c>
      <c r="P38" t="s">
        <v>43</v>
      </c>
      <c r="Q38" t="s">
        <v>30</v>
      </c>
      <c r="R38" t="s">
        <v>45</v>
      </c>
      <c r="S38" t="s">
        <v>77</v>
      </c>
      <c r="T38" t="s">
        <v>33</v>
      </c>
      <c r="U38" t="s">
        <v>78</v>
      </c>
      <c r="V38" t="str">
        <f>IF(B38&lt;=18,"Children",IF(B38&lt;=35,"Young adult",IF(B38&lt;=60,"Adult", "Senior Citizen")))</f>
        <v>Adult</v>
      </c>
      <c r="W38" t="str">
        <f t="shared" si="0"/>
        <v>Feb</v>
      </c>
      <c r="X38">
        <f t="shared" si="1"/>
        <v>2</v>
      </c>
      <c r="Y38" t="str">
        <f t="shared" si="2"/>
        <v>Q1</v>
      </c>
      <c r="Z38">
        <f t="shared" si="3"/>
        <v>2025</v>
      </c>
      <c r="AA38" t="str">
        <f t="shared" si="4"/>
        <v>Thursday</v>
      </c>
      <c r="AB38">
        <f t="shared" si="5"/>
        <v>-6</v>
      </c>
      <c r="AC38" t="str">
        <f>IF(OR(D38="Heart Disease",D38="Cancer",D38="Stroke"),"High",IF(OR(D38="Diabetes",D38="Asthma"),"Medium","Low"))</f>
        <v>Low</v>
      </c>
      <c r="AD38" t="str">
        <f t="shared" si="6"/>
        <v>No</v>
      </c>
      <c r="AE38" t="str">
        <f>IF(G38&lt;=2,"Short Stay", IF(G38&lt;=7,"Normal Stay", "Long Stay"))</f>
        <v>Normal Stay</v>
      </c>
      <c r="AF38" t="str">
        <f>IF(F38&gt;60000,"Expensive",IF(F38&gt;30000,"Moderate","Affordable"))</f>
        <v>Affordable</v>
      </c>
      <c r="AG38" t="str">
        <f>IF(J38&gt;=4.5,"Excellent",IF(J38&gt;=3.5,"Good",IF(J38&gt;=2.5,"Average","Poor")))</f>
        <v>Average</v>
      </c>
      <c r="AH38" t="str">
        <f>IF(OR(TEXT(N38,"dddd")="Saturday",TEXT(N38,"dddd")="Sunday"),"Weekend","Weekday")</f>
        <v>Weekday</v>
      </c>
    </row>
    <row r="39" spans="1:34" x14ac:dyDescent="0.3">
      <c r="A39">
        <v>38</v>
      </c>
      <c r="B39">
        <v>40</v>
      </c>
      <c r="C39" t="s">
        <v>35</v>
      </c>
      <c r="D39" t="s">
        <v>79</v>
      </c>
      <c r="E39" t="s">
        <v>80</v>
      </c>
      <c r="F39">
        <v>3000</v>
      </c>
      <c r="G39">
        <v>8</v>
      </c>
      <c r="H39" t="s">
        <v>24</v>
      </c>
      <c r="I39" t="s">
        <v>25</v>
      </c>
      <c r="J39">
        <v>4</v>
      </c>
      <c r="K39" t="s">
        <v>178</v>
      </c>
      <c r="L39" t="s">
        <v>179</v>
      </c>
      <c r="M39" t="s">
        <v>180</v>
      </c>
      <c r="N39" s="2">
        <v>45695</v>
      </c>
      <c r="O39" s="2">
        <v>45703</v>
      </c>
      <c r="P39" t="s">
        <v>43</v>
      </c>
      <c r="Q39" t="s">
        <v>44</v>
      </c>
      <c r="R39" t="s">
        <v>45</v>
      </c>
      <c r="S39" t="s">
        <v>84</v>
      </c>
      <c r="T39" t="s">
        <v>33</v>
      </c>
      <c r="U39" t="s">
        <v>34</v>
      </c>
      <c r="V39" t="str">
        <f>IF(B39&lt;=18,"Children",IF(B39&lt;=35,"Young adult",IF(B39&lt;=60,"Adult", "Senior Citizen")))</f>
        <v>Adult</v>
      </c>
      <c r="W39" t="str">
        <f t="shared" si="0"/>
        <v>Feb</v>
      </c>
      <c r="X39">
        <f t="shared" si="1"/>
        <v>2</v>
      </c>
      <c r="Y39" t="str">
        <f t="shared" si="2"/>
        <v>Q1</v>
      </c>
      <c r="Z39">
        <f t="shared" si="3"/>
        <v>2025</v>
      </c>
      <c r="AA39" t="str">
        <f t="shared" si="4"/>
        <v>Friday</v>
      </c>
      <c r="AB39">
        <f t="shared" si="5"/>
        <v>-8</v>
      </c>
      <c r="AC39" t="str">
        <f>IF(OR(D39="Heart Disease",D39="Cancer",D39="Stroke"),"High",IF(OR(D39="Diabetes",D39="Asthma"),"Medium","Low"))</f>
        <v>Low</v>
      </c>
      <c r="AD39" t="str">
        <f t="shared" si="6"/>
        <v>No</v>
      </c>
      <c r="AE39" t="str">
        <f>IF(G39&lt;=2,"Short Stay", IF(G39&lt;=7,"Normal Stay", "Long Stay"))</f>
        <v>Long Stay</v>
      </c>
      <c r="AF39" t="str">
        <f>IF(F39&gt;60000,"Expensive",IF(F39&gt;30000,"Moderate","Affordable"))</f>
        <v>Affordable</v>
      </c>
      <c r="AG39" t="str">
        <f>IF(J39&gt;=4.5,"Excellent",IF(J39&gt;=3.5,"Good",IF(J39&gt;=2.5,"Average","Poor")))</f>
        <v>Good</v>
      </c>
      <c r="AH39" t="str">
        <f>IF(OR(TEXT(N39,"dddd")="Saturday",TEXT(N39,"dddd")="Sunday"),"Weekend","Weekday")</f>
        <v>Weekday</v>
      </c>
    </row>
    <row r="40" spans="1:34" x14ac:dyDescent="0.3">
      <c r="A40">
        <v>39</v>
      </c>
      <c r="B40">
        <v>78</v>
      </c>
      <c r="C40" t="s">
        <v>21</v>
      </c>
      <c r="D40" t="s">
        <v>85</v>
      </c>
      <c r="E40" t="s">
        <v>86</v>
      </c>
      <c r="F40">
        <v>18000</v>
      </c>
      <c r="G40">
        <v>10</v>
      </c>
      <c r="H40" t="s">
        <v>38</v>
      </c>
      <c r="I40" t="s">
        <v>39</v>
      </c>
      <c r="J40">
        <v>2</v>
      </c>
      <c r="K40" t="s">
        <v>160</v>
      </c>
      <c r="L40" t="s">
        <v>181</v>
      </c>
      <c r="M40" t="s">
        <v>182</v>
      </c>
      <c r="N40" s="2">
        <v>45696</v>
      </c>
      <c r="O40" s="2">
        <v>45706</v>
      </c>
      <c r="P40" t="s">
        <v>43</v>
      </c>
      <c r="Q40" t="s">
        <v>44</v>
      </c>
      <c r="R40" t="s">
        <v>45</v>
      </c>
      <c r="S40" t="s">
        <v>72</v>
      </c>
      <c r="T40" t="s">
        <v>33</v>
      </c>
      <c r="U40" t="s">
        <v>78</v>
      </c>
      <c r="V40" t="str">
        <f>IF(B40&lt;=18,"Children",IF(B40&lt;=35,"Young adult",IF(B40&lt;=60,"Adult", "Senior Citizen")))</f>
        <v>Senior Citizen</v>
      </c>
      <c r="W40" t="str">
        <f t="shared" si="0"/>
        <v>Feb</v>
      </c>
      <c r="X40">
        <f t="shared" si="1"/>
        <v>2</v>
      </c>
      <c r="Y40" t="str">
        <f t="shared" si="2"/>
        <v>Q1</v>
      </c>
      <c r="Z40">
        <f t="shared" si="3"/>
        <v>2025</v>
      </c>
      <c r="AA40" t="str">
        <f t="shared" si="4"/>
        <v>Saturday</v>
      </c>
      <c r="AB40">
        <f t="shared" si="5"/>
        <v>-10</v>
      </c>
      <c r="AC40" t="str">
        <f>IF(OR(D40="Heart Disease",D40="Cancer",D40="Stroke"),"High",IF(OR(D40="Diabetes",D40="Asthma"),"Medium","Low"))</f>
        <v>Low</v>
      </c>
      <c r="AD40" t="str">
        <f t="shared" si="6"/>
        <v>No</v>
      </c>
      <c r="AE40" t="str">
        <f>IF(G40&lt;=2,"Short Stay", IF(G40&lt;=7,"Normal Stay", "Long Stay"))</f>
        <v>Long Stay</v>
      </c>
      <c r="AF40" t="str">
        <f>IF(F40&gt;60000,"Expensive",IF(F40&gt;30000,"Moderate","Affordable"))</f>
        <v>Affordable</v>
      </c>
      <c r="AG40" t="str">
        <f>IF(J40&gt;=4.5,"Excellent",IF(J40&gt;=3.5,"Good",IF(J40&gt;=2.5,"Average","Poor")))</f>
        <v>Poor</v>
      </c>
      <c r="AH40" t="str">
        <f>IF(OR(TEXT(N40,"dddd")="Saturday",TEXT(N40,"dddd")="Sunday"),"Weekend","Weekday")</f>
        <v>Weekend</v>
      </c>
    </row>
    <row r="41" spans="1:34" x14ac:dyDescent="0.3">
      <c r="A41">
        <v>40</v>
      </c>
      <c r="B41">
        <v>25</v>
      </c>
      <c r="C41" t="s">
        <v>35</v>
      </c>
      <c r="D41" t="s">
        <v>89</v>
      </c>
      <c r="E41" t="s">
        <v>90</v>
      </c>
      <c r="F41">
        <v>100</v>
      </c>
      <c r="G41">
        <v>3</v>
      </c>
      <c r="H41" t="s">
        <v>24</v>
      </c>
      <c r="I41" t="s">
        <v>25</v>
      </c>
      <c r="J41">
        <v>5</v>
      </c>
      <c r="K41" t="s">
        <v>169</v>
      </c>
      <c r="L41" t="s">
        <v>183</v>
      </c>
      <c r="M41" t="s">
        <v>184</v>
      </c>
      <c r="N41" s="2">
        <v>45697</v>
      </c>
      <c r="O41" s="2">
        <v>45700</v>
      </c>
      <c r="P41" t="s">
        <v>43</v>
      </c>
      <c r="Q41" t="s">
        <v>44</v>
      </c>
      <c r="R41" t="s">
        <v>45</v>
      </c>
      <c r="S41" t="s">
        <v>53</v>
      </c>
      <c r="T41" t="s">
        <v>33</v>
      </c>
      <c r="U41" t="s">
        <v>34</v>
      </c>
      <c r="V41" t="str">
        <f>IF(B41&lt;=18,"Children",IF(B41&lt;=35,"Young adult",IF(B41&lt;=60,"Adult", "Senior Citizen")))</f>
        <v>Young adult</v>
      </c>
      <c r="W41" t="str">
        <f t="shared" si="0"/>
        <v>Feb</v>
      </c>
      <c r="X41">
        <f t="shared" si="1"/>
        <v>2</v>
      </c>
      <c r="Y41" t="str">
        <f t="shared" si="2"/>
        <v>Q1</v>
      </c>
      <c r="Z41">
        <f t="shared" si="3"/>
        <v>2025</v>
      </c>
      <c r="AA41" t="str">
        <f t="shared" si="4"/>
        <v>Sunday</v>
      </c>
      <c r="AB41">
        <f t="shared" si="5"/>
        <v>-3</v>
      </c>
      <c r="AC41" t="str">
        <f>IF(OR(D41="Heart Disease",D41="Cancer",D41="Stroke"),"High",IF(OR(D41="Diabetes",D41="Asthma"),"Medium","Low"))</f>
        <v>Low</v>
      </c>
      <c r="AD41" t="str">
        <f t="shared" si="6"/>
        <v>No</v>
      </c>
      <c r="AE41" t="str">
        <f>IF(G41&lt;=2,"Short Stay", IF(G41&lt;=7,"Normal Stay", "Long Stay"))</f>
        <v>Normal Stay</v>
      </c>
      <c r="AF41" t="str">
        <f>IF(F41&gt;60000,"Expensive",IF(F41&gt;30000,"Moderate","Affordable"))</f>
        <v>Affordable</v>
      </c>
      <c r="AG41" t="str">
        <f>IF(J41&gt;=4.5,"Excellent",IF(J41&gt;=3.5,"Good",IF(J41&gt;=2.5,"Average","Poor")))</f>
        <v>Excellent</v>
      </c>
      <c r="AH41" t="str">
        <f>IF(OR(TEXT(N41,"dddd")="Saturday",TEXT(N41,"dddd")="Sunday"),"Weekend","Weekday")</f>
        <v>Weekend</v>
      </c>
    </row>
    <row r="42" spans="1:34" x14ac:dyDescent="0.3">
      <c r="A42">
        <v>41</v>
      </c>
      <c r="B42">
        <v>52</v>
      </c>
      <c r="C42" t="s">
        <v>21</v>
      </c>
      <c r="D42" t="s">
        <v>94</v>
      </c>
      <c r="E42" t="s">
        <v>95</v>
      </c>
      <c r="F42">
        <v>800</v>
      </c>
      <c r="G42">
        <v>4</v>
      </c>
      <c r="H42" t="s">
        <v>24</v>
      </c>
      <c r="I42" t="s">
        <v>39</v>
      </c>
      <c r="J42">
        <v>4</v>
      </c>
      <c r="K42" t="s">
        <v>160</v>
      </c>
      <c r="L42" t="s">
        <v>185</v>
      </c>
      <c r="M42" t="s">
        <v>186</v>
      </c>
      <c r="N42" s="2">
        <v>45698</v>
      </c>
      <c r="O42" s="2">
        <v>45702</v>
      </c>
      <c r="P42" t="s">
        <v>29</v>
      </c>
      <c r="Q42" t="s">
        <v>139</v>
      </c>
      <c r="R42" t="s">
        <v>45</v>
      </c>
      <c r="S42" t="s">
        <v>53</v>
      </c>
      <c r="T42" t="s">
        <v>33</v>
      </c>
      <c r="U42" t="s">
        <v>34</v>
      </c>
      <c r="V42" t="str">
        <f>IF(B42&lt;=18,"Children",IF(B42&lt;=35,"Young adult",IF(B42&lt;=60,"Adult", "Senior Citizen")))</f>
        <v>Adult</v>
      </c>
      <c r="W42" t="str">
        <f t="shared" si="0"/>
        <v>Feb</v>
      </c>
      <c r="X42">
        <f t="shared" si="1"/>
        <v>2</v>
      </c>
      <c r="Y42" t="str">
        <f t="shared" si="2"/>
        <v>Q1</v>
      </c>
      <c r="Z42">
        <f t="shared" si="3"/>
        <v>2025</v>
      </c>
      <c r="AA42" t="str">
        <f t="shared" si="4"/>
        <v>Monday</v>
      </c>
      <c r="AB42">
        <f t="shared" si="5"/>
        <v>-4</v>
      </c>
      <c r="AC42" t="str">
        <f>IF(OR(D42="Heart Disease",D42="Cancer",D42="Stroke"),"High",IF(OR(D42="Diabetes",D42="Asthma"),"Medium","Low"))</f>
        <v>Low</v>
      </c>
      <c r="AD42" t="str">
        <f t="shared" si="6"/>
        <v>No</v>
      </c>
      <c r="AE42" t="str">
        <f>IF(G42&lt;=2,"Short Stay", IF(G42&lt;=7,"Normal Stay", "Long Stay"))</f>
        <v>Normal Stay</v>
      </c>
      <c r="AF42" t="str">
        <f>IF(F42&gt;60000,"Expensive",IF(F42&gt;30000,"Moderate","Affordable"))</f>
        <v>Affordable</v>
      </c>
      <c r="AG42" t="str">
        <f>IF(J42&gt;=4.5,"Excellent",IF(J42&gt;=3.5,"Good",IF(J42&gt;=2.5,"Average","Poor")))</f>
        <v>Good</v>
      </c>
      <c r="AH42" t="str">
        <f>IF(OR(TEXT(N42,"dddd")="Saturday",TEXT(N42,"dddd")="Sunday"),"Weekend","Weekday")</f>
        <v>Weekday</v>
      </c>
    </row>
    <row r="43" spans="1:34" x14ac:dyDescent="0.3">
      <c r="A43">
        <v>42</v>
      </c>
      <c r="B43">
        <v>58</v>
      </c>
      <c r="C43" t="s">
        <v>35</v>
      </c>
      <c r="D43" t="s">
        <v>99</v>
      </c>
      <c r="E43" t="s">
        <v>100</v>
      </c>
      <c r="F43">
        <v>20000</v>
      </c>
      <c r="G43">
        <v>11</v>
      </c>
      <c r="H43" t="s">
        <v>24</v>
      </c>
      <c r="I43" t="s">
        <v>25</v>
      </c>
      <c r="J43">
        <v>3</v>
      </c>
      <c r="K43" t="s">
        <v>187</v>
      </c>
      <c r="L43" t="s">
        <v>188</v>
      </c>
      <c r="M43" t="s">
        <v>189</v>
      </c>
      <c r="N43" s="2">
        <v>45699</v>
      </c>
      <c r="O43" s="2">
        <v>45710</v>
      </c>
      <c r="P43" t="s">
        <v>43</v>
      </c>
      <c r="Q43" t="s">
        <v>30</v>
      </c>
      <c r="R43" t="s">
        <v>45</v>
      </c>
      <c r="S43" t="s">
        <v>110</v>
      </c>
      <c r="T43" t="s">
        <v>33</v>
      </c>
      <c r="U43" t="s">
        <v>78</v>
      </c>
      <c r="V43" t="str">
        <f>IF(B43&lt;=18,"Children",IF(B43&lt;=35,"Young adult",IF(B43&lt;=60,"Adult", "Senior Citizen")))</f>
        <v>Adult</v>
      </c>
      <c r="W43" t="str">
        <f t="shared" si="0"/>
        <v>Feb</v>
      </c>
      <c r="X43">
        <f t="shared" si="1"/>
        <v>2</v>
      </c>
      <c r="Y43" t="str">
        <f t="shared" si="2"/>
        <v>Q1</v>
      </c>
      <c r="Z43">
        <f t="shared" si="3"/>
        <v>2025</v>
      </c>
      <c r="AA43" t="str">
        <f t="shared" si="4"/>
        <v>Tuesday</v>
      </c>
      <c r="AB43">
        <f t="shared" si="5"/>
        <v>-11</v>
      </c>
      <c r="AC43" t="str">
        <f>IF(OR(D43="Heart Disease",D43="Cancer",D43="Stroke"),"High",IF(OR(D43="Diabetes",D43="Asthma"),"Medium","Low"))</f>
        <v>Low</v>
      </c>
      <c r="AD43" t="str">
        <f t="shared" si="6"/>
        <v>No</v>
      </c>
      <c r="AE43" t="str">
        <f>IF(G43&lt;=2,"Short Stay", IF(G43&lt;=7,"Normal Stay", "Long Stay"))</f>
        <v>Long Stay</v>
      </c>
      <c r="AF43" t="str">
        <f>IF(F43&gt;60000,"Expensive",IF(F43&gt;30000,"Moderate","Affordable"))</f>
        <v>Affordable</v>
      </c>
      <c r="AG43" t="str">
        <f>IF(J43&gt;=4.5,"Excellent",IF(J43&gt;=3.5,"Good",IF(J43&gt;=2.5,"Average","Poor")))</f>
        <v>Average</v>
      </c>
      <c r="AH43" t="str">
        <f>IF(OR(TEXT(N43,"dddd")="Saturday",TEXT(N43,"dddd")="Sunday"),"Weekend","Weekday")</f>
        <v>Weekday</v>
      </c>
    </row>
    <row r="44" spans="1:34" x14ac:dyDescent="0.3">
      <c r="A44">
        <v>43</v>
      </c>
      <c r="B44">
        <v>32</v>
      </c>
      <c r="C44" t="s">
        <v>21</v>
      </c>
      <c r="D44" t="s">
        <v>105</v>
      </c>
      <c r="E44" t="s">
        <v>106</v>
      </c>
      <c r="F44">
        <v>12000</v>
      </c>
      <c r="G44">
        <v>5</v>
      </c>
      <c r="H44" t="s">
        <v>24</v>
      </c>
      <c r="I44" t="s">
        <v>25</v>
      </c>
      <c r="J44">
        <v>4</v>
      </c>
      <c r="K44" t="s">
        <v>81</v>
      </c>
      <c r="L44" t="s">
        <v>190</v>
      </c>
      <c r="M44" t="s">
        <v>191</v>
      </c>
      <c r="N44" s="2">
        <v>45700</v>
      </c>
      <c r="O44" s="2">
        <v>45705</v>
      </c>
      <c r="P44" t="s">
        <v>29</v>
      </c>
      <c r="Q44" t="s">
        <v>44</v>
      </c>
      <c r="R44" t="s">
        <v>45</v>
      </c>
      <c r="S44" t="s">
        <v>77</v>
      </c>
      <c r="T44" t="s">
        <v>33</v>
      </c>
      <c r="U44" t="s">
        <v>104</v>
      </c>
      <c r="V44" t="str">
        <f>IF(B44&lt;=18,"Children",IF(B44&lt;=35,"Young adult",IF(B44&lt;=60,"Adult", "Senior Citizen")))</f>
        <v>Young adult</v>
      </c>
      <c r="W44" t="str">
        <f t="shared" si="0"/>
        <v>Feb</v>
      </c>
      <c r="X44">
        <f t="shared" si="1"/>
        <v>2</v>
      </c>
      <c r="Y44" t="str">
        <f t="shared" si="2"/>
        <v>Q1</v>
      </c>
      <c r="Z44">
        <f t="shared" si="3"/>
        <v>2025</v>
      </c>
      <c r="AA44" t="str">
        <f t="shared" si="4"/>
        <v>Wednesday</v>
      </c>
      <c r="AB44">
        <f t="shared" si="5"/>
        <v>-5</v>
      </c>
      <c r="AC44" t="str">
        <f>IF(OR(D44="Heart Disease",D44="Cancer",D44="Stroke"),"High",IF(OR(D44="Diabetes",D44="Asthma"),"Medium","Low"))</f>
        <v>Low</v>
      </c>
      <c r="AD44" t="str">
        <f t="shared" si="6"/>
        <v>No</v>
      </c>
      <c r="AE44" t="str">
        <f>IF(G44&lt;=2,"Short Stay", IF(G44&lt;=7,"Normal Stay", "Long Stay"))</f>
        <v>Normal Stay</v>
      </c>
      <c r="AF44" t="str">
        <f>IF(F44&gt;60000,"Expensive",IF(F44&gt;30000,"Moderate","Affordable"))</f>
        <v>Affordable</v>
      </c>
      <c r="AG44" t="str">
        <f>IF(J44&gt;=4.5,"Excellent",IF(J44&gt;=3.5,"Good",IF(J44&gt;=2.5,"Average","Poor")))</f>
        <v>Good</v>
      </c>
      <c r="AH44" t="str">
        <f>IF(OR(TEXT(N44,"dddd")="Saturday",TEXT(N44,"dddd")="Sunday"),"Weekend","Weekday")</f>
        <v>Weekday</v>
      </c>
    </row>
    <row r="45" spans="1:34" x14ac:dyDescent="0.3">
      <c r="A45">
        <v>44</v>
      </c>
      <c r="B45">
        <v>55</v>
      </c>
      <c r="C45" t="s">
        <v>35</v>
      </c>
      <c r="D45" t="s">
        <v>111</v>
      </c>
      <c r="E45" t="s">
        <v>112</v>
      </c>
      <c r="F45">
        <v>6000</v>
      </c>
      <c r="G45">
        <v>6</v>
      </c>
      <c r="H45" t="s">
        <v>24</v>
      </c>
      <c r="I45" t="s">
        <v>25</v>
      </c>
      <c r="J45">
        <v>3</v>
      </c>
      <c r="K45" t="s">
        <v>91</v>
      </c>
      <c r="L45" t="s">
        <v>192</v>
      </c>
      <c r="M45" t="s">
        <v>193</v>
      </c>
      <c r="N45" s="2">
        <v>45701</v>
      </c>
      <c r="O45" s="2">
        <v>45707</v>
      </c>
      <c r="P45" t="s">
        <v>43</v>
      </c>
      <c r="Q45" t="s">
        <v>71</v>
      </c>
      <c r="R45" t="s">
        <v>45</v>
      </c>
      <c r="S45" t="s">
        <v>84</v>
      </c>
      <c r="T45" t="s">
        <v>33</v>
      </c>
      <c r="U45" t="s">
        <v>78</v>
      </c>
      <c r="V45" t="str">
        <f>IF(B45&lt;=18,"Children",IF(B45&lt;=35,"Young adult",IF(B45&lt;=60,"Adult", "Senior Citizen")))</f>
        <v>Adult</v>
      </c>
      <c r="W45" t="str">
        <f t="shared" si="0"/>
        <v>Feb</v>
      </c>
      <c r="X45">
        <f t="shared" si="1"/>
        <v>2</v>
      </c>
      <c r="Y45" t="str">
        <f t="shared" si="2"/>
        <v>Q1</v>
      </c>
      <c r="Z45">
        <f t="shared" si="3"/>
        <v>2025</v>
      </c>
      <c r="AA45" t="str">
        <f t="shared" si="4"/>
        <v>Thursday</v>
      </c>
      <c r="AB45">
        <f t="shared" si="5"/>
        <v>-6</v>
      </c>
      <c r="AC45" t="str">
        <f>IF(OR(D45="Heart Disease",D45="Cancer",D45="Stroke"),"High",IF(OR(D45="Diabetes",D45="Asthma"),"Medium","Low"))</f>
        <v>Low</v>
      </c>
      <c r="AD45" t="str">
        <f t="shared" si="6"/>
        <v>No</v>
      </c>
      <c r="AE45" t="str">
        <f>IF(G45&lt;=2,"Short Stay", IF(G45&lt;=7,"Normal Stay", "Long Stay"))</f>
        <v>Normal Stay</v>
      </c>
      <c r="AF45" t="str">
        <f>IF(F45&gt;60000,"Expensive",IF(F45&gt;30000,"Moderate","Affordable"))</f>
        <v>Affordable</v>
      </c>
      <c r="AG45" t="str">
        <f>IF(J45&gt;=4.5,"Excellent",IF(J45&gt;=3.5,"Good",IF(J45&gt;=2.5,"Average","Poor")))</f>
        <v>Average</v>
      </c>
      <c r="AH45" t="str">
        <f>IF(OR(TEXT(N45,"dddd")="Saturday",TEXT(N45,"dddd")="Sunday"),"Weekend","Weekday")</f>
        <v>Weekday</v>
      </c>
    </row>
    <row r="46" spans="1:34" x14ac:dyDescent="0.3">
      <c r="A46">
        <v>45</v>
      </c>
      <c r="B46">
        <v>65</v>
      </c>
      <c r="C46" t="s">
        <v>21</v>
      </c>
      <c r="D46" t="s">
        <v>116</v>
      </c>
      <c r="E46" t="s">
        <v>117</v>
      </c>
      <c r="F46">
        <v>4000</v>
      </c>
      <c r="G46">
        <v>7</v>
      </c>
      <c r="H46" t="s">
        <v>24</v>
      </c>
      <c r="I46" t="s">
        <v>39</v>
      </c>
      <c r="J46">
        <v>4</v>
      </c>
      <c r="K46" t="s">
        <v>194</v>
      </c>
      <c r="L46" t="s">
        <v>195</v>
      </c>
      <c r="M46" t="s">
        <v>196</v>
      </c>
      <c r="N46" s="2">
        <v>45702</v>
      </c>
      <c r="O46" s="2">
        <v>45709</v>
      </c>
      <c r="P46" t="s">
        <v>29</v>
      </c>
      <c r="Q46" t="s">
        <v>30</v>
      </c>
      <c r="R46" t="s">
        <v>45</v>
      </c>
      <c r="S46" t="s">
        <v>84</v>
      </c>
      <c r="T46" t="s">
        <v>33</v>
      </c>
      <c r="U46" t="s">
        <v>34</v>
      </c>
      <c r="V46" t="str">
        <f>IF(B46&lt;=18,"Children",IF(B46&lt;=35,"Young adult",IF(B46&lt;=60,"Adult", "Senior Citizen")))</f>
        <v>Senior Citizen</v>
      </c>
      <c r="W46" t="str">
        <f t="shared" si="0"/>
        <v>Feb</v>
      </c>
      <c r="X46">
        <f t="shared" si="1"/>
        <v>2</v>
      </c>
      <c r="Y46" t="str">
        <f t="shared" si="2"/>
        <v>Q1</v>
      </c>
      <c r="Z46">
        <f t="shared" si="3"/>
        <v>2025</v>
      </c>
      <c r="AA46" t="str">
        <f t="shared" si="4"/>
        <v>Friday</v>
      </c>
      <c r="AB46">
        <f t="shared" si="5"/>
        <v>-7</v>
      </c>
      <c r="AC46" t="str">
        <f>IF(OR(D46="Heart Disease",D46="Cancer",D46="Stroke"),"High",IF(OR(D46="Diabetes",D46="Asthma"),"Medium","Low"))</f>
        <v>Low</v>
      </c>
      <c r="AD46" t="str">
        <f t="shared" si="6"/>
        <v>No</v>
      </c>
      <c r="AE46" t="str">
        <f>IF(G46&lt;=2,"Short Stay", IF(G46&lt;=7,"Normal Stay", "Long Stay"))</f>
        <v>Normal Stay</v>
      </c>
      <c r="AF46" t="str">
        <f>IF(F46&gt;60000,"Expensive",IF(F46&gt;30000,"Moderate","Affordable"))</f>
        <v>Affordable</v>
      </c>
      <c r="AG46" t="str">
        <f>IF(J46&gt;=4.5,"Excellent",IF(J46&gt;=3.5,"Good",IF(J46&gt;=2.5,"Average","Poor")))</f>
        <v>Good</v>
      </c>
      <c r="AH46" t="str">
        <f>IF(OR(TEXT(N46,"dddd")="Saturday",TEXT(N46,"dddd")="Sunday"),"Weekend","Weekday")</f>
        <v>Weekday</v>
      </c>
    </row>
    <row r="47" spans="1:34" x14ac:dyDescent="0.3">
      <c r="A47">
        <v>46</v>
      </c>
      <c r="B47">
        <v>55</v>
      </c>
      <c r="C47" t="s">
        <v>21</v>
      </c>
      <c r="D47" t="s">
        <v>22</v>
      </c>
      <c r="E47" t="s">
        <v>23</v>
      </c>
      <c r="F47">
        <v>15000</v>
      </c>
      <c r="G47">
        <v>8</v>
      </c>
      <c r="H47" t="s">
        <v>38</v>
      </c>
      <c r="I47" t="s">
        <v>25</v>
      </c>
      <c r="J47">
        <v>3</v>
      </c>
      <c r="K47" t="s">
        <v>197</v>
      </c>
      <c r="L47" t="s">
        <v>198</v>
      </c>
      <c r="M47" t="s">
        <v>199</v>
      </c>
      <c r="N47" s="2">
        <v>45703</v>
      </c>
      <c r="O47" s="2">
        <v>45711</v>
      </c>
      <c r="P47" t="s">
        <v>43</v>
      </c>
      <c r="Q47" t="s">
        <v>71</v>
      </c>
      <c r="R47" t="s">
        <v>31</v>
      </c>
      <c r="S47" t="s">
        <v>110</v>
      </c>
      <c r="T47" t="s">
        <v>33</v>
      </c>
      <c r="U47" t="s">
        <v>104</v>
      </c>
      <c r="V47" t="str">
        <f>IF(B47&lt;=18,"Children",IF(B47&lt;=35,"Young adult",IF(B47&lt;=60,"Adult", "Senior Citizen")))</f>
        <v>Adult</v>
      </c>
      <c r="W47" t="str">
        <f t="shared" si="0"/>
        <v>Feb</v>
      </c>
      <c r="X47">
        <f t="shared" si="1"/>
        <v>2</v>
      </c>
      <c r="Y47" t="str">
        <f t="shared" si="2"/>
        <v>Q1</v>
      </c>
      <c r="Z47">
        <f t="shared" si="3"/>
        <v>2025</v>
      </c>
      <c r="AA47" t="str">
        <f t="shared" si="4"/>
        <v>Saturday</v>
      </c>
      <c r="AB47">
        <f t="shared" si="5"/>
        <v>-8</v>
      </c>
      <c r="AC47" t="str">
        <f>IF(OR(D47="Heart Disease",D47="Cancer",D47="Stroke"),"High",IF(OR(D47="Diabetes",D47="Asthma"),"Medium","Low"))</f>
        <v>High</v>
      </c>
      <c r="AD47" t="str">
        <f t="shared" si="6"/>
        <v>Yes</v>
      </c>
      <c r="AE47" t="str">
        <f>IF(G47&lt;=2,"Short Stay", IF(G47&lt;=7,"Normal Stay", "Long Stay"))</f>
        <v>Long Stay</v>
      </c>
      <c r="AF47" t="str">
        <f>IF(F47&gt;60000,"Expensive",IF(F47&gt;30000,"Moderate","Affordable"))</f>
        <v>Affordable</v>
      </c>
      <c r="AG47" t="str">
        <f>IF(J47&gt;=4.5,"Excellent",IF(J47&gt;=3.5,"Good",IF(J47&gt;=2.5,"Average","Poor")))</f>
        <v>Average</v>
      </c>
      <c r="AH47" t="str">
        <f>IF(OR(TEXT(N47,"dddd")="Saturday",TEXT(N47,"dddd")="Sunday"),"Weekend","Weekday")</f>
        <v>Weekend</v>
      </c>
    </row>
    <row r="48" spans="1:34" x14ac:dyDescent="0.3">
      <c r="A48">
        <v>47</v>
      </c>
      <c r="B48">
        <v>62</v>
      </c>
      <c r="C48" t="s">
        <v>35</v>
      </c>
      <c r="D48" t="s">
        <v>36</v>
      </c>
      <c r="E48" t="s">
        <v>37</v>
      </c>
      <c r="F48">
        <v>2000</v>
      </c>
      <c r="G48">
        <v>6</v>
      </c>
      <c r="H48" t="s">
        <v>24</v>
      </c>
      <c r="I48" t="s">
        <v>39</v>
      </c>
      <c r="J48">
        <v>4</v>
      </c>
      <c r="K48" t="s">
        <v>200</v>
      </c>
      <c r="L48" t="s">
        <v>201</v>
      </c>
      <c r="M48" t="s">
        <v>202</v>
      </c>
      <c r="N48" s="2">
        <v>45704</v>
      </c>
      <c r="O48" s="2">
        <v>45710</v>
      </c>
      <c r="P48" t="s">
        <v>43</v>
      </c>
      <c r="Q48" t="s">
        <v>44</v>
      </c>
      <c r="R48" t="s">
        <v>45</v>
      </c>
      <c r="S48" t="s">
        <v>110</v>
      </c>
      <c r="T48" t="s">
        <v>33</v>
      </c>
      <c r="U48" t="s">
        <v>78</v>
      </c>
      <c r="V48" t="str">
        <f>IF(B48&lt;=18,"Children",IF(B48&lt;=35,"Young adult",IF(B48&lt;=60,"Adult", "Senior Citizen")))</f>
        <v>Senior Citizen</v>
      </c>
      <c r="W48" t="str">
        <f t="shared" si="0"/>
        <v>Feb</v>
      </c>
      <c r="X48">
        <f t="shared" si="1"/>
        <v>2</v>
      </c>
      <c r="Y48" t="str">
        <f t="shared" si="2"/>
        <v>Q1</v>
      </c>
      <c r="Z48">
        <f t="shared" si="3"/>
        <v>2025</v>
      </c>
      <c r="AA48" t="str">
        <f t="shared" si="4"/>
        <v>Sunday</v>
      </c>
      <c r="AB48">
        <f t="shared" si="5"/>
        <v>-6</v>
      </c>
      <c r="AC48" t="str">
        <f>IF(OR(D48="Heart Disease",D48="Cancer",D48="Stroke"),"High",IF(OR(D48="Diabetes",D48="Asthma"),"Medium","Low"))</f>
        <v>Medium</v>
      </c>
      <c r="AD48" t="str">
        <f t="shared" si="6"/>
        <v>No</v>
      </c>
      <c r="AE48" t="str">
        <f>IF(G48&lt;=2,"Short Stay", IF(G48&lt;=7,"Normal Stay", "Long Stay"))</f>
        <v>Normal Stay</v>
      </c>
      <c r="AF48" t="str">
        <f>IF(F48&gt;60000,"Expensive",IF(F48&gt;30000,"Moderate","Affordable"))</f>
        <v>Affordable</v>
      </c>
      <c r="AG48" t="str">
        <f>IF(J48&gt;=4.5,"Excellent",IF(J48&gt;=3.5,"Good",IF(J48&gt;=2.5,"Average","Poor")))</f>
        <v>Good</v>
      </c>
      <c r="AH48" t="str">
        <f>IF(OR(TEXT(N48,"dddd")="Saturday",TEXT(N48,"dddd")="Sunday"),"Weekend","Weekday")</f>
        <v>Weekend</v>
      </c>
    </row>
    <row r="49" spans="1:34" x14ac:dyDescent="0.3">
      <c r="A49">
        <v>48</v>
      </c>
      <c r="B49">
        <v>35</v>
      </c>
      <c r="C49" t="s">
        <v>21</v>
      </c>
      <c r="D49" t="s">
        <v>47</v>
      </c>
      <c r="E49" t="s">
        <v>48</v>
      </c>
      <c r="F49">
        <v>500</v>
      </c>
      <c r="G49">
        <v>4</v>
      </c>
      <c r="H49" t="s">
        <v>38</v>
      </c>
      <c r="I49" t="s">
        <v>25</v>
      </c>
      <c r="J49">
        <v>5</v>
      </c>
      <c r="K49" t="s">
        <v>203</v>
      </c>
      <c r="L49" t="s">
        <v>204</v>
      </c>
      <c r="M49" t="s">
        <v>205</v>
      </c>
      <c r="N49" s="2">
        <v>45705</v>
      </c>
      <c r="O49" s="2">
        <v>45709</v>
      </c>
      <c r="P49" t="s">
        <v>29</v>
      </c>
      <c r="Q49" t="s">
        <v>30</v>
      </c>
      <c r="R49" t="s">
        <v>45</v>
      </c>
      <c r="S49" t="s">
        <v>110</v>
      </c>
      <c r="T49" t="s">
        <v>33</v>
      </c>
      <c r="U49" t="s">
        <v>46</v>
      </c>
      <c r="V49" t="str">
        <f>IF(B49&lt;=18,"Children",IF(B49&lt;=35,"Young adult",IF(B49&lt;=60,"Adult", "Senior Citizen")))</f>
        <v>Young adult</v>
      </c>
      <c r="W49" t="str">
        <f t="shared" si="0"/>
        <v>Feb</v>
      </c>
      <c r="X49">
        <f t="shared" si="1"/>
        <v>2</v>
      </c>
      <c r="Y49" t="str">
        <f t="shared" si="2"/>
        <v>Q1</v>
      </c>
      <c r="Z49">
        <f t="shared" si="3"/>
        <v>2025</v>
      </c>
      <c r="AA49" t="str">
        <f t="shared" si="4"/>
        <v>Monday</v>
      </c>
      <c r="AB49">
        <f t="shared" si="5"/>
        <v>-4</v>
      </c>
      <c r="AC49" t="str">
        <f>IF(OR(D49="Heart Disease",D49="Cancer",D49="Stroke"),"High",IF(OR(D49="Diabetes",D49="Asthma"),"Medium","Low"))</f>
        <v>Low</v>
      </c>
      <c r="AD49" t="str">
        <f t="shared" si="6"/>
        <v>No</v>
      </c>
      <c r="AE49" t="str">
        <f>IF(G49&lt;=2,"Short Stay", IF(G49&lt;=7,"Normal Stay", "Long Stay"))</f>
        <v>Normal Stay</v>
      </c>
      <c r="AF49" t="str">
        <f>IF(F49&gt;60000,"Expensive",IF(F49&gt;30000,"Moderate","Affordable"))</f>
        <v>Affordable</v>
      </c>
      <c r="AG49" t="str">
        <f>IF(J49&gt;=4.5,"Excellent",IF(J49&gt;=3.5,"Good",IF(J49&gt;=2.5,"Average","Poor")))</f>
        <v>Excellent</v>
      </c>
      <c r="AH49" t="str">
        <f>IF(OR(TEXT(N49,"dddd")="Saturday",TEXT(N49,"dddd")="Sunday"),"Weekend","Weekday")</f>
        <v>Weekday</v>
      </c>
    </row>
    <row r="50" spans="1:34" x14ac:dyDescent="0.3">
      <c r="A50">
        <v>49</v>
      </c>
      <c r="B50">
        <v>78</v>
      </c>
      <c r="C50" t="s">
        <v>35</v>
      </c>
      <c r="D50" t="s">
        <v>54</v>
      </c>
      <c r="E50" t="s">
        <v>55</v>
      </c>
      <c r="F50">
        <v>10000</v>
      </c>
      <c r="G50">
        <v>10</v>
      </c>
      <c r="H50" t="s">
        <v>24</v>
      </c>
      <c r="I50" t="s">
        <v>39</v>
      </c>
      <c r="J50">
        <v>2</v>
      </c>
      <c r="K50" t="s">
        <v>26</v>
      </c>
      <c r="L50" t="s">
        <v>206</v>
      </c>
      <c r="M50" t="s">
        <v>207</v>
      </c>
      <c r="N50" s="2">
        <v>45706</v>
      </c>
      <c r="O50" s="2">
        <v>45716</v>
      </c>
      <c r="P50" t="s">
        <v>43</v>
      </c>
      <c r="Q50" t="s">
        <v>71</v>
      </c>
      <c r="R50" t="s">
        <v>59</v>
      </c>
      <c r="S50" t="s">
        <v>72</v>
      </c>
      <c r="T50" t="s">
        <v>33</v>
      </c>
      <c r="U50" t="s">
        <v>46</v>
      </c>
      <c r="V50" t="str">
        <f>IF(B50&lt;=18,"Children",IF(B50&lt;=35,"Young adult",IF(B50&lt;=60,"Adult", "Senior Citizen")))</f>
        <v>Senior Citizen</v>
      </c>
      <c r="W50" t="str">
        <f t="shared" si="0"/>
        <v>Feb</v>
      </c>
      <c r="X50">
        <f t="shared" si="1"/>
        <v>2</v>
      </c>
      <c r="Y50" t="str">
        <f t="shared" si="2"/>
        <v>Q1</v>
      </c>
      <c r="Z50">
        <f t="shared" si="3"/>
        <v>2025</v>
      </c>
      <c r="AA50" t="str">
        <f t="shared" si="4"/>
        <v>Tuesday</v>
      </c>
      <c r="AB50">
        <f t="shared" si="5"/>
        <v>-10</v>
      </c>
      <c r="AC50" t="str">
        <f>IF(OR(D50="Heart Disease",D50="Cancer",D50="Stroke"),"High",IF(OR(D50="Diabetes",D50="Asthma"),"Medium","Low"))</f>
        <v>High</v>
      </c>
      <c r="AD50" t="str">
        <f t="shared" si="6"/>
        <v>Yes</v>
      </c>
      <c r="AE50" t="str">
        <f>IF(G50&lt;=2,"Short Stay", IF(G50&lt;=7,"Normal Stay", "Long Stay"))</f>
        <v>Long Stay</v>
      </c>
      <c r="AF50" t="str">
        <f>IF(F50&gt;60000,"Expensive",IF(F50&gt;30000,"Moderate","Affordable"))</f>
        <v>Affordable</v>
      </c>
      <c r="AG50" t="str">
        <f>IF(J50&gt;=4.5,"Excellent",IF(J50&gt;=3.5,"Good",IF(J50&gt;=2.5,"Average","Poor")))</f>
        <v>Poor</v>
      </c>
      <c r="AH50" t="str">
        <f>IF(OR(TEXT(N50,"dddd")="Saturday",TEXT(N50,"dddd")="Sunday"),"Weekend","Weekday")</f>
        <v>Weekday</v>
      </c>
    </row>
    <row r="51" spans="1:34" x14ac:dyDescent="0.3">
      <c r="A51">
        <v>50</v>
      </c>
      <c r="B51">
        <v>53</v>
      </c>
      <c r="C51" t="s">
        <v>21</v>
      </c>
      <c r="D51" t="s">
        <v>60</v>
      </c>
      <c r="E51" t="s">
        <v>61</v>
      </c>
      <c r="F51">
        <v>25000</v>
      </c>
      <c r="G51">
        <v>13</v>
      </c>
      <c r="H51" t="s">
        <v>38</v>
      </c>
      <c r="I51" t="s">
        <v>25</v>
      </c>
      <c r="J51">
        <v>4</v>
      </c>
      <c r="K51" t="s">
        <v>26</v>
      </c>
      <c r="L51" t="s">
        <v>208</v>
      </c>
      <c r="M51" t="s">
        <v>209</v>
      </c>
      <c r="N51" s="2">
        <v>45707</v>
      </c>
      <c r="O51" s="2">
        <v>45720</v>
      </c>
      <c r="P51" t="s">
        <v>29</v>
      </c>
      <c r="Q51" t="s">
        <v>44</v>
      </c>
      <c r="R51" t="s">
        <v>65</v>
      </c>
      <c r="S51" t="s">
        <v>77</v>
      </c>
      <c r="T51" t="s">
        <v>33</v>
      </c>
      <c r="U51" t="s">
        <v>34</v>
      </c>
      <c r="V51" t="str">
        <f>IF(B51&lt;=18,"Children",IF(B51&lt;=35,"Young adult",IF(B51&lt;=60,"Adult", "Senior Citizen")))</f>
        <v>Adult</v>
      </c>
      <c r="W51" t="str">
        <f t="shared" si="0"/>
        <v>Feb</v>
      </c>
      <c r="X51">
        <f t="shared" si="1"/>
        <v>2</v>
      </c>
      <c r="Y51" t="str">
        <f t="shared" si="2"/>
        <v>Q1</v>
      </c>
      <c r="Z51">
        <f t="shared" si="3"/>
        <v>2025</v>
      </c>
      <c r="AA51" t="str">
        <f t="shared" si="4"/>
        <v>Wednesday</v>
      </c>
      <c r="AB51">
        <f t="shared" si="5"/>
        <v>-13</v>
      </c>
      <c r="AC51" t="str">
        <f>IF(OR(D51="Heart Disease",D51="Cancer",D51="Stroke"),"High",IF(OR(D51="Diabetes",D51="Asthma"),"Medium","Low"))</f>
        <v>High</v>
      </c>
      <c r="AD51" t="str">
        <f t="shared" si="6"/>
        <v>Yes</v>
      </c>
      <c r="AE51" t="str">
        <f>IF(G51&lt;=2,"Short Stay", IF(G51&lt;=7,"Normal Stay", "Long Stay"))</f>
        <v>Long Stay</v>
      </c>
      <c r="AF51" t="str">
        <f>IF(F51&gt;60000,"Expensive",IF(F51&gt;30000,"Moderate","Affordable"))</f>
        <v>Affordable</v>
      </c>
      <c r="AG51" t="str">
        <f>IF(J51&gt;=4.5,"Excellent",IF(J51&gt;=3.5,"Good",IF(J51&gt;=2.5,"Average","Poor")))</f>
        <v>Good</v>
      </c>
      <c r="AH51" t="str">
        <f>IF(OR(TEXT(N51,"dddd")="Saturday",TEXT(N51,"dddd")="Sunday"),"Weekend","Weekday")</f>
        <v>Weekday</v>
      </c>
    </row>
    <row r="52" spans="1:34" x14ac:dyDescent="0.3">
      <c r="A52">
        <v>51</v>
      </c>
      <c r="B52">
        <v>72</v>
      </c>
      <c r="C52" t="s">
        <v>35</v>
      </c>
      <c r="D52" t="s">
        <v>66</v>
      </c>
      <c r="E52" t="s">
        <v>67</v>
      </c>
      <c r="F52">
        <v>1000</v>
      </c>
      <c r="G52">
        <v>5</v>
      </c>
      <c r="H52" t="s">
        <v>24</v>
      </c>
      <c r="I52" t="s">
        <v>39</v>
      </c>
      <c r="J52">
        <v>4</v>
      </c>
      <c r="K52" t="s">
        <v>210</v>
      </c>
      <c r="L52" t="s">
        <v>211</v>
      </c>
      <c r="M52" t="s">
        <v>212</v>
      </c>
      <c r="N52" s="2">
        <v>45708</v>
      </c>
      <c r="O52" s="2">
        <v>45713</v>
      </c>
      <c r="P52" t="s">
        <v>29</v>
      </c>
      <c r="Q52" t="s">
        <v>139</v>
      </c>
      <c r="R52" t="s">
        <v>45</v>
      </c>
      <c r="S52" t="s">
        <v>84</v>
      </c>
      <c r="T52" t="s">
        <v>33</v>
      </c>
      <c r="U52" t="s">
        <v>104</v>
      </c>
      <c r="V52" t="str">
        <f>IF(B52&lt;=18,"Children",IF(B52&lt;=35,"Young adult",IF(B52&lt;=60,"Adult", "Senior Citizen")))</f>
        <v>Senior Citizen</v>
      </c>
      <c r="W52" t="str">
        <f t="shared" si="0"/>
        <v>Feb</v>
      </c>
      <c r="X52">
        <f t="shared" si="1"/>
        <v>2</v>
      </c>
      <c r="Y52" t="str">
        <f t="shared" si="2"/>
        <v>Q1</v>
      </c>
      <c r="Z52">
        <f t="shared" si="3"/>
        <v>2025</v>
      </c>
      <c r="AA52" t="str">
        <f t="shared" si="4"/>
        <v>Thursday</v>
      </c>
      <c r="AB52">
        <f t="shared" si="5"/>
        <v>-5</v>
      </c>
      <c r="AC52" t="str">
        <f>IF(OR(D52="Heart Disease",D52="Cancer",D52="Stroke"),"High",IF(OR(D52="Diabetes",D52="Asthma"),"Medium","Low"))</f>
        <v>Low</v>
      </c>
      <c r="AD52" t="str">
        <f t="shared" si="6"/>
        <v>No</v>
      </c>
      <c r="AE52" t="str">
        <f>IF(G52&lt;=2,"Short Stay", IF(G52&lt;=7,"Normal Stay", "Long Stay"))</f>
        <v>Normal Stay</v>
      </c>
      <c r="AF52" t="str">
        <f>IF(F52&gt;60000,"Expensive",IF(F52&gt;30000,"Moderate","Affordable"))</f>
        <v>Affordable</v>
      </c>
      <c r="AG52" t="str">
        <f>IF(J52&gt;=4.5,"Excellent",IF(J52&gt;=3.5,"Good",IF(J52&gt;=2.5,"Average","Poor")))</f>
        <v>Good</v>
      </c>
      <c r="AH52" t="str">
        <f>IF(OR(TEXT(N52,"dddd")="Saturday",TEXT(N52,"dddd")="Sunday"),"Weekend","Weekday")</f>
        <v>Weekday</v>
      </c>
    </row>
    <row r="53" spans="1:34" x14ac:dyDescent="0.3">
      <c r="A53">
        <v>52</v>
      </c>
      <c r="B53">
        <v>60</v>
      </c>
      <c r="C53" t="s">
        <v>21</v>
      </c>
      <c r="D53" t="s">
        <v>73</v>
      </c>
      <c r="E53" t="s">
        <v>74</v>
      </c>
      <c r="F53">
        <v>8000</v>
      </c>
      <c r="G53">
        <v>7</v>
      </c>
      <c r="H53" t="s">
        <v>38</v>
      </c>
      <c r="I53" t="s">
        <v>25</v>
      </c>
      <c r="J53">
        <v>3</v>
      </c>
      <c r="K53" t="s">
        <v>128</v>
      </c>
      <c r="L53" t="s">
        <v>213</v>
      </c>
      <c r="M53" t="s">
        <v>214</v>
      </c>
      <c r="N53" s="2">
        <v>45709</v>
      </c>
      <c r="O53" s="2">
        <v>45716</v>
      </c>
      <c r="P53" t="s">
        <v>29</v>
      </c>
      <c r="Q53" t="s">
        <v>71</v>
      </c>
      <c r="R53" t="s">
        <v>45</v>
      </c>
      <c r="S53" t="s">
        <v>72</v>
      </c>
      <c r="T53" t="s">
        <v>33</v>
      </c>
      <c r="U53" t="s">
        <v>104</v>
      </c>
      <c r="V53" t="str">
        <f>IF(B53&lt;=18,"Children",IF(B53&lt;=35,"Young adult",IF(B53&lt;=60,"Adult", "Senior Citizen")))</f>
        <v>Adult</v>
      </c>
      <c r="W53" t="str">
        <f t="shared" si="0"/>
        <v>Feb</v>
      </c>
      <c r="X53">
        <f t="shared" si="1"/>
        <v>2</v>
      </c>
      <c r="Y53" t="str">
        <f t="shared" si="2"/>
        <v>Q1</v>
      </c>
      <c r="Z53">
        <f t="shared" si="3"/>
        <v>2025</v>
      </c>
      <c r="AA53" t="str">
        <f t="shared" si="4"/>
        <v>Friday</v>
      </c>
      <c r="AB53">
        <f t="shared" si="5"/>
        <v>-7</v>
      </c>
      <c r="AC53" t="str">
        <f>IF(OR(D53="Heart Disease",D53="Cancer",D53="Stroke"),"High",IF(OR(D53="Diabetes",D53="Asthma"),"Medium","Low"))</f>
        <v>Low</v>
      </c>
      <c r="AD53" t="str">
        <f t="shared" si="6"/>
        <v>No</v>
      </c>
      <c r="AE53" t="str">
        <f>IF(G53&lt;=2,"Short Stay", IF(G53&lt;=7,"Normal Stay", "Long Stay"))</f>
        <v>Normal Stay</v>
      </c>
      <c r="AF53" t="str">
        <f>IF(F53&gt;60000,"Expensive",IF(F53&gt;30000,"Moderate","Affordable"))</f>
        <v>Affordable</v>
      </c>
      <c r="AG53" t="str">
        <f>IF(J53&gt;=4.5,"Excellent",IF(J53&gt;=3.5,"Good",IF(J53&gt;=2.5,"Average","Poor")))</f>
        <v>Average</v>
      </c>
      <c r="AH53" t="str">
        <f>IF(OR(TEXT(N53,"dddd")="Saturday",TEXT(N53,"dddd")="Sunday"),"Weekend","Weekday")</f>
        <v>Weekday</v>
      </c>
    </row>
    <row r="54" spans="1:34" x14ac:dyDescent="0.3">
      <c r="A54">
        <v>53</v>
      </c>
      <c r="B54">
        <v>45</v>
      </c>
      <c r="C54" t="s">
        <v>35</v>
      </c>
      <c r="D54" t="s">
        <v>79</v>
      </c>
      <c r="E54" t="s">
        <v>80</v>
      </c>
      <c r="F54">
        <v>3000</v>
      </c>
      <c r="G54">
        <v>9</v>
      </c>
      <c r="H54" t="s">
        <v>24</v>
      </c>
      <c r="I54" t="s">
        <v>25</v>
      </c>
      <c r="J54">
        <v>4</v>
      </c>
      <c r="K54" t="s">
        <v>215</v>
      </c>
      <c r="L54" t="s">
        <v>216</v>
      </c>
      <c r="M54" t="s">
        <v>217</v>
      </c>
      <c r="N54" s="2">
        <v>45710</v>
      </c>
      <c r="O54" s="2">
        <v>45719</v>
      </c>
      <c r="P54" t="s">
        <v>29</v>
      </c>
      <c r="Q54" t="s">
        <v>44</v>
      </c>
      <c r="R54" t="s">
        <v>45</v>
      </c>
      <c r="S54" t="s">
        <v>53</v>
      </c>
      <c r="T54" t="s">
        <v>33</v>
      </c>
      <c r="U54" t="s">
        <v>46</v>
      </c>
      <c r="V54" t="str">
        <f>IF(B54&lt;=18,"Children",IF(B54&lt;=35,"Young adult",IF(B54&lt;=60,"Adult", "Senior Citizen")))</f>
        <v>Adult</v>
      </c>
      <c r="W54" t="str">
        <f t="shared" si="0"/>
        <v>Feb</v>
      </c>
      <c r="X54">
        <f t="shared" si="1"/>
        <v>2</v>
      </c>
      <c r="Y54" t="str">
        <f t="shared" si="2"/>
        <v>Q1</v>
      </c>
      <c r="Z54">
        <f t="shared" si="3"/>
        <v>2025</v>
      </c>
      <c r="AA54" t="str">
        <f t="shared" si="4"/>
        <v>Saturday</v>
      </c>
      <c r="AB54">
        <f t="shared" si="5"/>
        <v>-9</v>
      </c>
      <c r="AC54" t="str">
        <f>IF(OR(D54="Heart Disease",D54="Cancer",D54="Stroke"),"High",IF(OR(D54="Diabetes",D54="Asthma"),"Medium","Low"))</f>
        <v>Low</v>
      </c>
      <c r="AD54" t="str">
        <f t="shared" si="6"/>
        <v>No</v>
      </c>
      <c r="AE54" t="str">
        <f>IF(G54&lt;=2,"Short Stay", IF(G54&lt;=7,"Normal Stay", "Long Stay"))</f>
        <v>Long Stay</v>
      </c>
      <c r="AF54" t="str">
        <f>IF(F54&gt;60000,"Expensive",IF(F54&gt;30000,"Moderate","Affordable"))</f>
        <v>Affordable</v>
      </c>
      <c r="AG54" t="str">
        <f>IF(J54&gt;=4.5,"Excellent",IF(J54&gt;=3.5,"Good",IF(J54&gt;=2.5,"Average","Poor")))</f>
        <v>Good</v>
      </c>
      <c r="AH54" t="str">
        <f>IF(OR(TEXT(N54,"dddd")="Saturday",TEXT(N54,"dddd")="Sunday"),"Weekend","Weekday")</f>
        <v>Weekend</v>
      </c>
    </row>
    <row r="55" spans="1:34" x14ac:dyDescent="0.3">
      <c r="A55">
        <v>54</v>
      </c>
      <c r="B55">
        <v>75</v>
      </c>
      <c r="C55" t="s">
        <v>21</v>
      </c>
      <c r="D55" t="s">
        <v>85</v>
      </c>
      <c r="E55" t="s">
        <v>86</v>
      </c>
      <c r="F55">
        <v>18000</v>
      </c>
      <c r="G55">
        <v>11</v>
      </c>
      <c r="H55" t="s">
        <v>38</v>
      </c>
      <c r="I55" t="s">
        <v>39</v>
      </c>
      <c r="J55">
        <v>2</v>
      </c>
      <c r="K55" t="s">
        <v>218</v>
      </c>
      <c r="L55" t="s">
        <v>219</v>
      </c>
      <c r="M55" t="s">
        <v>220</v>
      </c>
      <c r="N55" s="2">
        <v>45711</v>
      </c>
      <c r="O55" s="2">
        <v>45722</v>
      </c>
      <c r="P55" t="s">
        <v>29</v>
      </c>
      <c r="Q55" t="s">
        <v>30</v>
      </c>
      <c r="R55" t="s">
        <v>45</v>
      </c>
      <c r="S55" t="s">
        <v>32</v>
      </c>
      <c r="T55" t="s">
        <v>33</v>
      </c>
      <c r="U55" t="s">
        <v>78</v>
      </c>
      <c r="V55" t="str">
        <f>IF(B55&lt;=18,"Children",IF(B55&lt;=35,"Young adult",IF(B55&lt;=60,"Adult", "Senior Citizen")))</f>
        <v>Senior Citizen</v>
      </c>
      <c r="W55" t="str">
        <f t="shared" si="0"/>
        <v>Feb</v>
      </c>
      <c r="X55">
        <f t="shared" si="1"/>
        <v>2</v>
      </c>
      <c r="Y55" t="str">
        <f t="shared" si="2"/>
        <v>Q1</v>
      </c>
      <c r="Z55">
        <f t="shared" si="3"/>
        <v>2025</v>
      </c>
      <c r="AA55" t="str">
        <f t="shared" si="4"/>
        <v>Sunday</v>
      </c>
      <c r="AB55">
        <f t="shared" si="5"/>
        <v>-11</v>
      </c>
      <c r="AC55" t="str">
        <f>IF(OR(D55="Heart Disease",D55="Cancer",D55="Stroke"),"High",IF(OR(D55="Diabetes",D55="Asthma"),"Medium","Low"))</f>
        <v>Low</v>
      </c>
      <c r="AD55" t="str">
        <f t="shared" si="6"/>
        <v>No</v>
      </c>
      <c r="AE55" t="str">
        <f>IF(G55&lt;=2,"Short Stay", IF(G55&lt;=7,"Normal Stay", "Long Stay"))</f>
        <v>Long Stay</v>
      </c>
      <c r="AF55" t="str">
        <f>IF(F55&gt;60000,"Expensive",IF(F55&gt;30000,"Moderate","Affordable"))</f>
        <v>Affordable</v>
      </c>
      <c r="AG55" t="str">
        <f>IF(J55&gt;=4.5,"Excellent",IF(J55&gt;=3.5,"Good",IF(J55&gt;=2.5,"Average","Poor")))</f>
        <v>Poor</v>
      </c>
      <c r="AH55" t="str">
        <f>IF(OR(TEXT(N55,"dddd")="Saturday",TEXT(N55,"dddd")="Sunday"),"Weekend","Weekday")</f>
        <v>Weekend</v>
      </c>
    </row>
    <row r="56" spans="1:34" x14ac:dyDescent="0.3">
      <c r="A56">
        <v>55</v>
      </c>
      <c r="B56">
        <v>28</v>
      </c>
      <c r="C56" t="s">
        <v>35</v>
      </c>
      <c r="D56" t="s">
        <v>89</v>
      </c>
      <c r="E56" t="s">
        <v>90</v>
      </c>
      <c r="F56">
        <v>100</v>
      </c>
      <c r="G56">
        <v>4</v>
      </c>
      <c r="H56" t="s">
        <v>24</v>
      </c>
      <c r="I56" t="s">
        <v>25</v>
      </c>
      <c r="J56">
        <v>5</v>
      </c>
      <c r="K56" t="s">
        <v>125</v>
      </c>
      <c r="L56" t="s">
        <v>221</v>
      </c>
      <c r="M56" t="s">
        <v>222</v>
      </c>
      <c r="N56" s="2">
        <v>45712</v>
      </c>
      <c r="O56" s="2">
        <v>45716</v>
      </c>
      <c r="P56" t="s">
        <v>43</v>
      </c>
      <c r="Q56" t="s">
        <v>71</v>
      </c>
      <c r="R56" t="s">
        <v>45</v>
      </c>
      <c r="S56" t="s">
        <v>84</v>
      </c>
      <c r="T56" t="s">
        <v>33</v>
      </c>
      <c r="U56" t="s">
        <v>46</v>
      </c>
      <c r="V56" t="str">
        <f>IF(B56&lt;=18,"Children",IF(B56&lt;=35,"Young adult",IF(B56&lt;=60,"Adult", "Senior Citizen")))</f>
        <v>Young adult</v>
      </c>
      <c r="W56" t="str">
        <f t="shared" si="0"/>
        <v>Feb</v>
      </c>
      <c r="X56">
        <f t="shared" si="1"/>
        <v>2</v>
      </c>
      <c r="Y56" t="str">
        <f t="shared" si="2"/>
        <v>Q1</v>
      </c>
      <c r="Z56">
        <f t="shared" si="3"/>
        <v>2025</v>
      </c>
      <c r="AA56" t="str">
        <f t="shared" si="4"/>
        <v>Monday</v>
      </c>
      <c r="AB56">
        <f t="shared" si="5"/>
        <v>-4</v>
      </c>
      <c r="AC56" t="str">
        <f>IF(OR(D56="Heart Disease",D56="Cancer",D56="Stroke"),"High",IF(OR(D56="Diabetes",D56="Asthma"),"Medium","Low"))</f>
        <v>Low</v>
      </c>
      <c r="AD56" t="str">
        <f t="shared" si="6"/>
        <v>No</v>
      </c>
      <c r="AE56" t="str">
        <f>IF(G56&lt;=2,"Short Stay", IF(G56&lt;=7,"Normal Stay", "Long Stay"))</f>
        <v>Normal Stay</v>
      </c>
      <c r="AF56" t="str">
        <f>IF(F56&gt;60000,"Expensive",IF(F56&gt;30000,"Moderate","Affordable"))</f>
        <v>Affordable</v>
      </c>
      <c r="AG56" t="str">
        <f>IF(J56&gt;=4.5,"Excellent",IF(J56&gt;=3.5,"Good",IF(J56&gt;=2.5,"Average","Poor")))</f>
        <v>Excellent</v>
      </c>
      <c r="AH56" t="str">
        <f>IF(OR(TEXT(N56,"dddd")="Saturday",TEXT(N56,"dddd")="Sunday"),"Weekend","Weekday")</f>
        <v>Weekday</v>
      </c>
    </row>
    <row r="57" spans="1:34" x14ac:dyDescent="0.3">
      <c r="A57">
        <v>56</v>
      </c>
      <c r="B57">
        <v>52</v>
      </c>
      <c r="C57" t="s">
        <v>21</v>
      </c>
      <c r="D57" t="s">
        <v>94</v>
      </c>
      <c r="E57" t="s">
        <v>95</v>
      </c>
      <c r="F57">
        <v>800</v>
      </c>
      <c r="G57">
        <v>5</v>
      </c>
      <c r="H57" t="s">
        <v>24</v>
      </c>
      <c r="I57" t="s">
        <v>39</v>
      </c>
      <c r="J57">
        <v>4</v>
      </c>
      <c r="K57" t="s">
        <v>223</v>
      </c>
      <c r="L57" t="s">
        <v>224</v>
      </c>
      <c r="M57" t="s">
        <v>225</v>
      </c>
      <c r="N57" s="2">
        <v>45713</v>
      </c>
      <c r="O57" s="2">
        <v>45718</v>
      </c>
      <c r="P57" t="s">
        <v>43</v>
      </c>
      <c r="Q57" t="s">
        <v>71</v>
      </c>
      <c r="R57" t="s">
        <v>45</v>
      </c>
      <c r="S57" t="s">
        <v>53</v>
      </c>
      <c r="T57" t="s">
        <v>33</v>
      </c>
      <c r="U57" t="s">
        <v>78</v>
      </c>
      <c r="V57" t="str">
        <f>IF(B57&lt;=18,"Children",IF(B57&lt;=35,"Young adult",IF(B57&lt;=60,"Adult", "Senior Citizen")))</f>
        <v>Adult</v>
      </c>
      <c r="W57" t="str">
        <f t="shared" si="0"/>
        <v>Feb</v>
      </c>
      <c r="X57">
        <f t="shared" si="1"/>
        <v>2</v>
      </c>
      <c r="Y57" t="str">
        <f t="shared" si="2"/>
        <v>Q1</v>
      </c>
      <c r="Z57">
        <f t="shared" si="3"/>
        <v>2025</v>
      </c>
      <c r="AA57" t="str">
        <f t="shared" si="4"/>
        <v>Tuesday</v>
      </c>
      <c r="AB57">
        <f t="shared" si="5"/>
        <v>-5</v>
      </c>
      <c r="AC57" t="str">
        <f>IF(OR(D57="Heart Disease",D57="Cancer",D57="Stroke"),"High",IF(OR(D57="Diabetes",D57="Asthma"),"Medium","Low"))</f>
        <v>Low</v>
      </c>
      <c r="AD57" t="str">
        <f t="shared" si="6"/>
        <v>No</v>
      </c>
      <c r="AE57" t="str">
        <f>IF(G57&lt;=2,"Short Stay", IF(G57&lt;=7,"Normal Stay", "Long Stay"))</f>
        <v>Normal Stay</v>
      </c>
      <c r="AF57" t="str">
        <f>IF(F57&gt;60000,"Expensive",IF(F57&gt;30000,"Moderate","Affordable"))</f>
        <v>Affordable</v>
      </c>
      <c r="AG57" t="str">
        <f>IF(J57&gt;=4.5,"Excellent",IF(J57&gt;=3.5,"Good",IF(J57&gt;=2.5,"Average","Poor")))</f>
        <v>Good</v>
      </c>
      <c r="AH57" t="str">
        <f>IF(OR(TEXT(N57,"dddd")="Saturday",TEXT(N57,"dddd")="Sunday"),"Weekend","Weekday")</f>
        <v>Weekday</v>
      </c>
    </row>
    <row r="58" spans="1:34" x14ac:dyDescent="0.3">
      <c r="A58">
        <v>57</v>
      </c>
      <c r="B58">
        <v>67</v>
      </c>
      <c r="C58" t="s">
        <v>35</v>
      </c>
      <c r="D58" t="s">
        <v>99</v>
      </c>
      <c r="E58" t="s">
        <v>100</v>
      </c>
      <c r="F58">
        <v>20000</v>
      </c>
      <c r="G58">
        <v>12</v>
      </c>
      <c r="H58" t="s">
        <v>24</v>
      </c>
      <c r="I58" t="s">
        <v>25</v>
      </c>
      <c r="J58">
        <v>3</v>
      </c>
      <c r="K58" t="s">
        <v>120</v>
      </c>
      <c r="L58" t="s">
        <v>226</v>
      </c>
      <c r="M58" t="s">
        <v>227</v>
      </c>
      <c r="N58" s="2">
        <v>45714</v>
      </c>
      <c r="O58" s="2">
        <v>45726</v>
      </c>
      <c r="P58" t="s">
        <v>29</v>
      </c>
      <c r="Q58" t="s">
        <v>44</v>
      </c>
      <c r="R58" t="s">
        <v>45</v>
      </c>
      <c r="S58" t="s">
        <v>32</v>
      </c>
      <c r="T58" t="s">
        <v>33</v>
      </c>
      <c r="U58" t="s">
        <v>78</v>
      </c>
      <c r="V58" t="str">
        <f>IF(B58&lt;=18,"Children",IF(B58&lt;=35,"Young adult",IF(B58&lt;=60,"Adult", "Senior Citizen")))</f>
        <v>Senior Citizen</v>
      </c>
      <c r="W58" t="str">
        <f t="shared" si="0"/>
        <v>Feb</v>
      </c>
      <c r="X58">
        <f t="shared" si="1"/>
        <v>2</v>
      </c>
      <c r="Y58" t="str">
        <f t="shared" si="2"/>
        <v>Q1</v>
      </c>
      <c r="Z58">
        <f t="shared" si="3"/>
        <v>2025</v>
      </c>
      <c r="AA58" t="str">
        <f t="shared" si="4"/>
        <v>Wednesday</v>
      </c>
      <c r="AB58">
        <f t="shared" si="5"/>
        <v>-12</v>
      </c>
      <c r="AC58" t="str">
        <f>IF(OR(D58="Heart Disease",D58="Cancer",D58="Stroke"),"High",IF(OR(D58="Diabetes",D58="Asthma"),"Medium","Low"))</f>
        <v>Low</v>
      </c>
      <c r="AD58" t="str">
        <f t="shared" si="6"/>
        <v>No</v>
      </c>
      <c r="AE58" t="str">
        <f>IF(G58&lt;=2,"Short Stay", IF(G58&lt;=7,"Normal Stay", "Long Stay"))</f>
        <v>Long Stay</v>
      </c>
      <c r="AF58" t="str">
        <f>IF(F58&gt;60000,"Expensive",IF(F58&gt;30000,"Moderate","Affordable"))</f>
        <v>Affordable</v>
      </c>
      <c r="AG58" t="str">
        <f>IF(J58&gt;=4.5,"Excellent",IF(J58&gt;=3.5,"Good",IF(J58&gt;=2.5,"Average","Poor")))</f>
        <v>Average</v>
      </c>
      <c r="AH58" t="str">
        <f>IF(OR(TEXT(N58,"dddd")="Saturday",TEXT(N58,"dddd")="Sunday"),"Weekend","Weekday")</f>
        <v>Weekday</v>
      </c>
    </row>
    <row r="59" spans="1:34" x14ac:dyDescent="0.3">
      <c r="A59">
        <v>58</v>
      </c>
      <c r="B59">
        <v>35</v>
      </c>
      <c r="C59" t="s">
        <v>21</v>
      </c>
      <c r="D59" t="s">
        <v>105</v>
      </c>
      <c r="E59" t="s">
        <v>106</v>
      </c>
      <c r="F59">
        <v>12000</v>
      </c>
      <c r="G59">
        <v>6</v>
      </c>
      <c r="H59" t="s">
        <v>24</v>
      </c>
      <c r="I59" t="s">
        <v>25</v>
      </c>
      <c r="J59">
        <v>4</v>
      </c>
      <c r="K59" t="s">
        <v>144</v>
      </c>
      <c r="L59" t="s">
        <v>228</v>
      </c>
      <c r="M59" t="s">
        <v>229</v>
      </c>
      <c r="N59" s="2">
        <v>45715</v>
      </c>
      <c r="O59" s="2">
        <v>45721</v>
      </c>
      <c r="P59" t="s">
        <v>43</v>
      </c>
      <c r="Q59" t="s">
        <v>30</v>
      </c>
      <c r="R59" t="s">
        <v>45</v>
      </c>
      <c r="S59" t="s">
        <v>32</v>
      </c>
      <c r="T59" t="s">
        <v>33</v>
      </c>
      <c r="U59" t="s">
        <v>78</v>
      </c>
      <c r="V59" t="str">
        <f>IF(B59&lt;=18,"Children",IF(B59&lt;=35,"Young adult",IF(B59&lt;=60,"Adult", "Senior Citizen")))</f>
        <v>Young adult</v>
      </c>
      <c r="W59" t="str">
        <f t="shared" si="0"/>
        <v>Feb</v>
      </c>
      <c r="X59">
        <f t="shared" si="1"/>
        <v>2</v>
      </c>
      <c r="Y59" t="str">
        <f t="shared" si="2"/>
        <v>Q1</v>
      </c>
      <c r="Z59">
        <f t="shared" si="3"/>
        <v>2025</v>
      </c>
      <c r="AA59" t="str">
        <f t="shared" si="4"/>
        <v>Thursday</v>
      </c>
      <c r="AB59">
        <f t="shared" si="5"/>
        <v>-6</v>
      </c>
      <c r="AC59" t="str">
        <f>IF(OR(D59="Heart Disease",D59="Cancer",D59="Stroke"),"High",IF(OR(D59="Diabetes",D59="Asthma"),"Medium","Low"))</f>
        <v>Low</v>
      </c>
      <c r="AD59" t="str">
        <f t="shared" si="6"/>
        <v>No</v>
      </c>
      <c r="AE59" t="str">
        <f>IF(G59&lt;=2,"Short Stay", IF(G59&lt;=7,"Normal Stay", "Long Stay"))</f>
        <v>Normal Stay</v>
      </c>
      <c r="AF59" t="str">
        <f>IF(F59&gt;60000,"Expensive",IF(F59&gt;30000,"Moderate","Affordable"))</f>
        <v>Affordable</v>
      </c>
      <c r="AG59" t="str">
        <f>IF(J59&gt;=4.5,"Excellent",IF(J59&gt;=3.5,"Good",IF(J59&gt;=2.5,"Average","Poor")))</f>
        <v>Good</v>
      </c>
      <c r="AH59" t="str">
        <f>IF(OR(TEXT(N59,"dddd")="Saturday",TEXT(N59,"dddd")="Sunday"),"Weekend","Weekday")</f>
        <v>Weekday</v>
      </c>
    </row>
    <row r="60" spans="1:34" x14ac:dyDescent="0.3">
      <c r="A60">
        <v>59</v>
      </c>
      <c r="B60">
        <v>50</v>
      </c>
      <c r="C60" t="s">
        <v>35</v>
      </c>
      <c r="D60" t="s">
        <v>111</v>
      </c>
      <c r="E60" t="s">
        <v>112</v>
      </c>
      <c r="F60">
        <v>6000</v>
      </c>
      <c r="G60">
        <v>7</v>
      </c>
      <c r="H60" t="s">
        <v>24</v>
      </c>
      <c r="I60" t="s">
        <v>25</v>
      </c>
      <c r="J60">
        <v>3</v>
      </c>
      <c r="K60" t="s">
        <v>125</v>
      </c>
      <c r="L60" t="s">
        <v>230</v>
      </c>
      <c r="M60" t="s">
        <v>231</v>
      </c>
      <c r="N60" s="2">
        <v>45716</v>
      </c>
      <c r="O60" s="2">
        <v>45723</v>
      </c>
      <c r="P60" t="s">
        <v>29</v>
      </c>
      <c r="Q60" t="s">
        <v>44</v>
      </c>
      <c r="R60" t="s">
        <v>45</v>
      </c>
      <c r="S60" t="s">
        <v>53</v>
      </c>
      <c r="T60" t="s">
        <v>33</v>
      </c>
      <c r="U60" t="s">
        <v>78</v>
      </c>
      <c r="V60" t="str">
        <f>IF(B60&lt;=18,"Children",IF(B60&lt;=35,"Young adult",IF(B60&lt;=60,"Adult", "Senior Citizen")))</f>
        <v>Adult</v>
      </c>
      <c r="W60" t="str">
        <f t="shared" si="0"/>
        <v>Feb</v>
      </c>
      <c r="X60">
        <f t="shared" si="1"/>
        <v>2</v>
      </c>
      <c r="Y60" t="str">
        <f t="shared" si="2"/>
        <v>Q1</v>
      </c>
      <c r="Z60">
        <f t="shared" si="3"/>
        <v>2025</v>
      </c>
      <c r="AA60" t="str">
        <f t="shared" si="4"/>
        <v>Friday</v>
      </c>
      <c r="AB60">
        <f t="shared" si="5"/>
        <v>-7</v>
      </c>
      <c r="AC60" t="str">
        <f>IF(OR(D60="Heart Disease",D60="Cancer",D60="Stroke"),"High",IF(OR(D60="Diabetes",D60="Asthma"),"Medium","Low"))</f>
        <v>Low</v>
      </c>
      <c r="AD60" t="str">
        <f t="shared" si="6"/>
        <v>No</v>
      </c>
      <c r="AE60" t="str">
        <f>IF(G60&lt;=2,"Short Stay", IF(G60&lt;=7,"Normal Stay", "Long Stay"))</f>
        <v>Normal Stay</v>
      </c>
      <c r="AF60" t="str">
        <f>IF(F60&gt;60000,"Expensive",IF(F60&gt;30000,"Moderate","Affordable"))</f>
        <v>Affordable</v>
      </c>
      <c r="AG60" t="str">
        <f>IF(J60&gt;=4.5,"Excellent",IF(J60&gt;=3.5,"Good",IF(J60&gt;=2.5,"Average","Poor")))</f>
        <v>Average</v>
      </c>
      <c r="AH60" t="str">
        <f>IF(OR(TEXT(N60,"dddd")="Saturday",TEXT(N60,"dddd")="Sunday"),"Weekend","Weekday")</f>
        <v>Weekday</v>
      </c>
    </row>
    <row r="61" spans="1:34" x14ac:dyDescent="0.3">
      <c r="A61">
        <v>61</v>
      </c>
      <c r="B61">
        <v>48</v>
      </c>
      <c r="C61" t="s">
        <v>21</v>
      </c>
      <c r="D61" t="s">
        <v>22</v>
      </c>
      <c r="E61" t="s">
        <v>23</v>
      </c>
      <c r="F61">
        <v>15000</v>
      </c>
      <c r="G61">
        <v>9</v>
      </c>
      <c r="H61" t="s">
        <v>38</v>
      </c>
      <c r="I61" t="s">
        <v>25</v>
      </c>
      <c r="J61">
        <v>4</v>
      </c>
      <c r="K61" t="s">
        <v>113</v>
      </c>
      <c r="L61" t="s">
        <v>232</v>
      </c>
      <c r="M61" t="s">
        <v>233</v>
      </c>
      <c r="N61" s="2">
        <v>45717</v>
      </c>
      <c r="O61" s="2">
        <v>45726</v>
      </c>
      <c r="P61" t="s">
        <v>43</v>
      </c>
      <c r="Q61" t="s">
        <v>52</v>
      </c>
      <c r="R61" t="s">
        <v>31</v>
      </c>
      <c r="S61" t="s">
        <v>53</v>
      </c>
      <c r="T61" t="s">
        <v>33</v>
      </c>
      <c r="U61" t="s">
        <v>104</v>
      </c>
      <c r="V61" t="str">
        <f>IF(B61&lt;=18,"Children",IF(B61&lt;=35,"Young adult",IF(B61&lt;=60,"Adult", "Senior Citizen")))</f>
        <v>Adult</v>
      </c>
      <c r="W61" t="str">
        <f t="shared" si="0"/>
        <v>Mar</v>
      </c>
      <c r="X61">
        <f t="shared" si="1"/>
        <v>3</v>
      </c>
      <c r="Y61" t="str">
        <f t="shared" si="2"/>
        <v>Q1</v>
      </c>
      <c r="Z61">
        <f t="shared" si="3"/>
        <v>2025</v>
      </c>
      <c r="AA61" t="str">
        <f t="shared" si="4"/>
        <v>Saturday</v>
      </c>
      <c r="AB61">
        <f t="shared" si="5"/>
        <v>-9</v>
      </c>
      <c r="AC61" t="str">
        <f>IF(OR(D61="Heart Disease",D61="Cancer",D61="Stroke"),"High",IF(OR(D61="Diabetes",D61="Asthma"),"Medium","Low"))</f>
        <v>High</v>
      </c>
      <c r="AD61" t="str">
        <f t="shared" si="6"/>
        <v>Yes</v>
      </c>
      <c r="AE61" t="str">
        <f>IF(G61&lt;=2,"Short Stay", IF(G61&lt;=7,"Normal Stay", "Long Stay"))</f>
        <v>Long Stay</v>
      </c>
      <c r="AF61" t="str">
        <f>IF(F61&gt;60000,"Expensive",IF(F61&gt;30000,"Moderate","Affordable"))</f>
        <v>Affordable</v>
      </c>
      <c r="AG61" t="str">
        <f>IF(J61&gt;=4.5,"Excellent",IF(J61&gt;=3.5,"Good",IF(J61&gt;=2.5,"Average","Poor")))</f>
        <v>Good</v>
      </c>
      <c r="AH61" t="str">
        <f>IF(OR(TEXT(N61,"dddd")="Saturday",TEXT(N61,"dddd")="Sunday"),"Weekend","Weekday")</f>
        <v>Weekend</v>
      </c>
    </row>
    <row r="62" spans="1:34" x14ac:dyDescent="0.3">
      <c r="A62">
        <v>62</v>
      </c>
      <c r="B62">
        <v>65</v>
      </c>
      <c r="C62" t="s">
        <v>35</v>
      </c>
      <c r="D62" t="s">
        <v>36</v>
      </c>
      <c r="E62" t="s">
        <v>37</v>
      </c>
      <c r="F62">
        <v>2000</v>
      </c>
      <c r="G62">
        <v>7</v>
      </c>
      <c r="H62" t="s">
        <v>24</v>
      </c>
      <c r="I62" t="s">
        <v>39</v>
      </c>
      <c r="J62">
        <v>3</v>
      </c>
      <c r="K62" t="s">
        <v>215</v>
      </c>
      <c r="L62" t="s">
        <v>234</v>
      </c>
      <c r="M62" t="s">
        <v>235</v>
      </c>
      <c r="N62" s="2">
        <v>45718</v>
      </c>
      <c r="O62" s="2">
        <v>45725</v>
      </c>
      <c r="P62" t="s">
        <v>29</v>
      </c>
      <c r="Q62" t="s">
        <v>71</v>
      </c>
      <c r="R62" t="s">
        <v>45</v>
      </c>
      <c r="S62" t="s">
        <v>77</v>
      </c>
      <c r="T62" t="s">
        <v>33</v>
      </c>
      <c r="U62" t="s">
        <v>78</v>
      </c>
      <c r="V62" t="str">
        <f>IF(B62&lt;=18,"Children",IF(B62&lt;=35,"Young adult",IF(B62&lt;=60,"Adult", "Senior Citizen")))</f>
        <v>Senior Citizen</v>
      </c>
      <c r="W62" t="str">
        <f t="shared" si="0"/>
        <v>Mar</v>
      </c>
      <c r="X62">
        <f t="shared" si="1"/>
        <v>3</v>
      </c>
      <c r="Y62" t="str">
        <f t="shared" si="2"/>
        <v>Q1</v>
      </c>
      <c r="Z62">
        <f t="shared" si="3"/>
        <v>2025</v>
      </c>
      <c r="AA62" t="str">
        <f t="shared" si="4"/>
        <v>Sunday</v>
      </c>
      <c r="AB62">
        <f t="shared" si="5"/>
        <v>-7</v>
      </c>
      <c r="AC62" t="str">
        <f>IF(OR(D62="Heart Disease",D62="Cancer",D62="Stroke"),"High",IF(OR(D62="Diabetes",D62="Asthma"),"Medium","Low"))</f>
        <v>Medium</v>
      </c>
      <c r="AD62" t="str">
        <f t="shared" si="6"/>
        <v>No</v>
      </c>
      <c r="AE62" t="str">
        <f>IF(G62&lt;=2,"Short Stay", IF(G62&lt;=7,"Normal Stay", "Long Stay"))</f>
        <v>Normal Stay</v>
      </c>
      <c r="AF62" t="str">
        <f>IF(F62&gt;60000,"Expensive",IF(F62&gt;30000,"Moderate","Affordable"))</f>
        <v>Affordable</v>
      </c>
      <c r="AG62" t="str">
        <f>IF(J62&gt;=4.5,"Excellent",IF(J62&gt;=3.5,"Good",IF(J62&gt;=2.5,"Average","Poor")))</f>
        <v>Average</v>
      </c>
      <c r="AH62" t="str">
        <f>IF(OR(TEXT(N62,"dddd")="Saturday",TEXT(N62,"dddd")="Sunday"),"Weekend","Weekday")</f>
        <v>Weekend</v>
      </c>
    </row>
    <row r="63" spans="1:34" x14ac:dyDescent="0.3">
      <c r="A63">
        <v>63</v>
      </c>
      <c r="B63">
        <v>30</v>
      </c>
      <c r="C63" t="s">
        <v>21</v>
      </c>
      <c r="D63" t="s">
        <v>47</v>
      </c>
      <c r="E63" t="s">
        <v>48</v>
      </c>
      <c r="F63">
        <v>500</v>
      </c>
      <c r="G63">
        <v>5</v>
      </c>
      <c r="H63" t="s">
        <v>24</v>
      </c>
      <c r="I63" t="s">
        <v>25</v>
      </c>
      <c r="J63">
        <v>5</v>
      </c>
      <c r="K63" t="s">
        <v>160</v>
      </c>
      <c r="L63" t="s">
        <v>236</v>
      </c>
      <c r="M63" t="s">
        <v>237</v>
      </c>
      <c r="N63" s="2">
        <v>45719</v>
      </c>
      <c r="O63" s="2">
        <v>45724</v>
      </c>
      <c r="P63" t="s">
        <v>43</v>
      </c>
      <c r="Q63" t="s">
        <v>71</v>
      </c>
      <c r="R63" t="s">
        <v>45</v>
      </c>
      <c r="S63" t="s">
        <v>110</v>
      </c>
      <c r="T63" t="s">
        <v>33</v>
      </c>
      <c r="U63" t="s">
        <v>46</v>
      </c>
      <c r="V63" t="str">
        <f>IF(B63&lt;=18,"Children",IF(B63&lt;=35,"Young adult",IF(B63&lt;=60,"Adult", "Senior Citizen")))</f>
        <v>Young adult</v>
      </c>
      <c r="W63" t="str">
        <f t="shared" si="0"/>
        <v>Mar</v>
      </c>
      <c r="X63">
        <f t="shared" si="1"/>
        <v>3</v>
      </c>
      <c r="Y63" t="str">
        <f t="shared" si="2"/>
        <v>Q1</v>
      </c>
      <c r="Z63">
        <f t="shared" si="3"/>
        <v>2025</v>
      </c>
      <c r="AA63" t="str">
        <f t="shared" si="4"/>
        <v>Monday</v>
      </c>
      <c r="AB63">
        <f t="shared" si="5"/>
        <v>-5</v>
      </c>
      <c r="AC63" t="str">
        <f>IF(OR(D63="Heart Disease",D63="Cancer",D63="Stroke"),"High",IF(OR(D63="Diabetes",D63="Asthma"),"Medium","Low"))</f>
        <v>Low</v>
      </c>
      <c r="AD63" t="str">
        <f t="shared" si="6"/>
        <v>No</v>
      </c>
      <c r="AE63" t="str">
        <f>IF(G63&lt;=2,"Short Stay", IF(G63&lt;=7,"Normal Stay", "Long Stay"))</f>
        <v>Normal Stay</v>
      </c>
      <c r="AF63" t="str">
        <f>IF(F63&gt;60000,"Expensive",IF(F63&gt;30000,"Moderate","Affordable"))</f>
        <v>Affordable</v>
      </c>
      <c r="AG63" t="str">
        <f>IF(J63&gt;=4.5,"Excellent",IF(J63&gt;=3.5,"Good",IF(J63&gt;=2.5,"Average","Poor")))</f>
        <v>Excellent</v>
      </c>
      <c r="AH63" t="str">
        <f>IF(OR(TEXT(N63,"dddd")="Saturday",TEXT(N63,"dddd")="Sunday"),"Weekend","Weekday")</f>
        <v>Weekday</v>
      </c>
    </row>
    <row r="64" spans="1:34" x14ac:dyDescent="0.3">
      <c r="A64">
        <v>64</v>
      </c>
      <c r="B64">
        <v>70</v>
      </c>
      <c r="C64" t="s">
        <v>35</v>
      </c>
      <c r="D64" t="s">
        <v>54</v>
      </c>
      <c r="E64" t="s">
        <v>55</v>
      </c>
      <c r="F64">
        <v>10000</v>
      </c>
      <c r="G64">
        <v>11</v>
      </c>
      <c r="H64" t="s">
        <v>38</v>
      </c>
      <c r="I64" t="s">
        <v>39</v>
      </c>
      <c r="J64">
        <v>2</v>
      </c>
      <c r="K64" t="s">
        <v>68</v>
      </c>
      <c r="L64" t="s">
        <v>238</v>
      </c>
      <c r="M64" t="s">
        <v>239</v>
      </c>
      <c r="N64" s="2">
        <v>45720</v>
      </c>
      <c r="O64" s="2">
        <v>45731</v>
      </c>
      <c r="P64" t="s">
        <v>43</v>
      </c>
      <c r="Q64" t="s">
        <v>71</v>
      </c>
      <c r="R64" t="s">
        <v>59</v>
      </c>
      <c r="S64" t="s">
        <v>110</v>
      </c>
      <c r="T64" t="s">
        <v>33</v>
      </c>
      <c r="U64" t="s">
        <v>104</v>
      </c>
      <c r="V64" t="str">
        <f>IF(B64&lt;=18,"Children",IF(B64&lt;=35,"Young adult",IF(B64&lt;=60,"Adult", "Senior Citizen")))</f>
        <v>Senior Citizen</v>
      </c>
      <c r="W64" t="str">
        <f t="shared" si="0"/>
        <v>Mar</v>
      </c>
      <c r="X64">
        <f t="shared" si="1"/>
        <v>3</v>
      </c>
      <c r="Y64" t="str">
        <f t="shared" si="2"/>
        <v>Q1</v>
      </c>
      <c r="Z64">
        <f t="shared" si="3"/>
        <v>2025</v>
      </c>
      <c r="AA64" t="str">
        <f t="shared" si="4"/>
        <v>Tuesday</v>
      </c>
      <c r="AB64">
        <f t="shared" si="5"/>
        <v>-11</v>
      </c>
      <c r="AC64" t="str">
        <f>IF(OR(D64="Heart Disease",D64="Cancer",D64="Stroke"),"High",IF(OR(D64="Diabetes",D64="Asthma"),"Medium","Low"))</f>
        <v>High</v>
      </c>
      <c r="AD64" t="str">
        <f t="shared" si="6"/>
        <v>Yes</v>
      </c>
      <c r="AE64" t="str">
        <f>IF(G64&lt;=2,"Short Stay", IF(G64&lt;=7,"Normal Stay", "Long Stay"))</f>
        <v>Long Stay</v>
      </c>
      <c r="AF64" t="str">
        <f>IF(F64&gt;60000,"Expensive",IF(F64&gt;30000,"Moderate","Affordable"))</f>
        <v>Affordable</v>
      </c>
      <c r="AG64" t="str">
        <f>IF(J64&gt;=4.5,"Excellent",IF(J64&gt;=3.5,"Good",IF(J64&gt;=2.5,"Average","Poor")))</f>
        <v>Poor</v>
      </c>
      <c r="AH64" t="str">
        <f>IF(OR(TEXT(N64,"dddd")="Saturday",TEXT(N64,"dddd")="Sunday"),"Weekend","Weekday")</f>
        <v>Weekday</v>
      </c>
    </row>
    <row r="65" spans="1:34" x14ac:dyDescent="0.3">
      <c r="A65">
        <v>65</v>
      </c>
      <c r="B65">
        <v>55</v>
      </c>
      <c r="C65" t="s">
        <v>21</v>
      </c>
      <c r="D65" t="s">
        <v>60</v>
      </c>
      <c r="E65" t="s">
        <v>61</v>
      </c>
      <c r="F65">
        <v>25000</v>
      </c>
      <c r="G65">
        <v>14</v>
      </c>
      <c r="H65" t="s">
        <v>24</v>
      </c>
      <c r="I65" t="s">
        <v>25</v>
      </c>
      <c r="J65">
        <v>4</v>
      </c>
      <c r="K65" t="s">
        <v>62</v>
      </c>
      <c r="L65" t="s">
        <v>240</v>
      </c>
      <c r="M65" t="s">
        <v>241</v>
      </c>
      <c r="N65" s="2">
        <v>45721</v>
      </c>
      <c r="O65" s="2">
        <v>45735</v>
      </c>
      <c r="P65" t="s">
        <v>29</v>
      </c>
      <c r="Q65" t="s">
        <v>30</v>
      </c>
      <c r="R65" t="s">
        <v>65</v>
      </c>
      <c r="S65" t="s">
        <v>53</v>
      </c>
      <c r="T65" t="s">
        <v>33</v>
      </c>
      <c r="U65" t="s">
        <v>104</v>
      </c>
      <c r="V65" t="str">
        <f>IF(B65&lt;=18,"Children",IF(B65&lt;=35,"Young adult",IF(B65&lt;=60,"Adult", "Senior Citizen")))</f>
        <v>Adult</v>
      </c>
      <c r="W65" t="str">
        <f t="shared" si="0"/>
        <v>Mar</v>
      </c>
      <c r="X65">
        <f t="shared" si="1"/>
        <v>3</v>
      </c>
      <c r="Y65" t="str">
        <f t="shared" si="2"/>
        <v>Q1</v>
      </c>
      <c r="Z65">
        <f t="shared" si="3"/>
        <v>2025</v>
      </c>
      <c r="AA65" t="str">
        <f t="shared" si="4"/>
        <v>Wednesday</v>
      </c>
      <c r="AB65">
        <f t="shared" si="5"/>
        <v>-14</v>
      </c>
      <c r="AC65" t="str">
        <f>IF(OR(D65="Heart Disease",D65="Cancer",D65="Stroke"),"High",IF(OR(D65="Diabetes",D65="Asthma"),"Medium","Low"))</f>
        <v>High</v>
      </c>
      <c r="AD65" t="str">
        <f t="shared" si="6"/>
        <v>Yes</v>
      </c>
      <c r="AE65" t="str">
        <f>IF(G65&lt;=2,"Short Stay", IF(G65&lt;=7,"Normal Stay", "Long Stay"))</f>
        <v>Long Stay</v>
      </c>
      <c r="AF65" t="str">
        <f>IF(F65&gt;60000,"Expensive",IF(F65&gt;30000,"Moderate","Affordable"))</f>
        <v>Affordable</v>
      </c>
      <c r="AG65" t="str">
        <f>IF(J65&gt;=4.5,"Excellent",IF(J65&gt;=3.5,"Good",IF(J65&gt;=2.5,"Average","Poor")))</f>
        <v>Good</v>
      </c>
      <c r="AH65" t="str">
        <f>IF(OR(TEXT(N65,"dddd")="Saturday",TEXT(N65,"dddd")="Sunday"),"Weekend","Weekday")</f>
        <v>Weekday</v>
      </c>
    </row>
    <row r="66" spans="1:34" x14ac:dyDescent="0.3">
      <c r="A66">
        <v>66</v>
      </c>
      <c r="B66">
        <v>68</v>
      </c>
      <c r="C66" t="s">
        <v>35</v>
      </c>
      <c r="D66" t="s">
        <v>66</v>
      </c>
      <c r="E66" t="s">
        <v>67</v>
      </c>
      <c r="F66">
        <v>1000</v>
      </c>
      <c r="G66">
        <v>6</v>
      </c>
      <c r="H66" t="s">
        <v>24</v>
      </c>
      <c r="I66" t="s">
        <v>39</v>
      </c>
      <c r="J66">
        <v>4</v>
      </c>
      <c r="K66" t="s">
        <v>242</v>
      </c>
      <c r="L66" t="s">
        <v>243</v>
      </c>
      <c r="M66" t="s">
        <v>244</v>
      </c>
      <c r="N66" s="2">
        <v>45722</v>
      </c>
      <c r="O66" s="2">
        <v>45728</v>
      </c>
      <c r="P66" t="s">
        <v>29</v>
      </c>
      <c r="Q66" t="s">
        <v>44</v>
      </c>
      <c r="R66" t="s">
        <v>45</v>
      </c>
      <c r="S66" t="s">
        <v>72</v>
      </c>
      <c r="T66" t="s">
        <v>33</v>
      </c>
      <c r="U66" t="s">
        <v>78</v>
      </c>
      <c r="V66" t="str">
        <f>IF(B66&lt;=18,"Children",IF(B66&lt;=35,"Young adult",IF(B66&lt;=60,"Adult", "Senior Citizen")))</f>
        <v>Senior Citizen</v>
      </c>
      <c r="W66" t="str">
        <f t="shared" si="0"/>
        <v>Mar</v>
      </c>
      <c r="X66">
        <f t="shared" si="1"/>
        <v>3</v>
      </c>
      <c r="Y66" t="str">
        <f t="shared" si="2"/>
        <v>Q1</v>
      </c>
      <c r="Z66">
        <f t="shared" si="3"/>
        <v>2025</v>
      </c>
      <c r="AA66" t="str">
        <f t="shared" si="4"/>
        <v>Thursday</v>
      </c>
      <c r="AB66">
        <f t="shared" si="5"/>
        <v>-6</v>
      </c>
      <c r="AC66" t="str">
        <f>IF(OR(D66="Heart Disease",D66="Cancer",D66="Stroke"),"High",IF(OR(D66="Diabetes",D66="Asthma"),"Medium","Low"))</f>
        <v>Low</v>
      </c>
      <c r="AD66" t="str">
        <f t="shared" si="6"/>
        <v>No</v>
      </c>
      <c r="AE66" t="str">
        <f>IF(G66&lt;=2,"Short Stay", IF(G66&lt;=7,"Normal Stay", "Long Stay"))</f>
        <v>Normal Stay</v>
      </c>
      <c r="AF66" t="str">
        <f>IF(F66&gt;60000,"Expensive",IF(F66&gt;30000,"Moderate","Affordable"))</f>
        <v>Affordable</v>
      </c>
      <c r="AG66" t="str">
        <f>IF(J66&gt;=4.5,"Excellent",IF(J66&gt;=3.5,"Good",IF(J66&gt;=2.5,"Average","Poor")))</f>
        <v>Good</v>
      </c>
      <c r="AH66" t="str">
        <f>IF(OR(TEXT(N66,"dddd")="Saturday",TEXT(N66,"dddd")="Sunday"),"Weekend","Weekday")</f>
        <v>Weekday</v>
      </c>
    </row>
    <row r="67" spans="1:34" x14ac:dyDescent="0.3">
      <c r="A67">
        <v>67</v>
      </c>
      <c r="B67">
        <v>45</v>
      </c>
      <c r="C67" t="s">
        <v>21</v>
      </c>
      <c r="D67" t="s">
        <v>73</v>
      </c>
      <c r="E67" t="s">
        <v>74</v>
      </c>
      <c r="F67">
        <v>8000</v>
      </c>
      <c r="G67">
        <v>8</v>
      </c>
      <c r="H67" t="s">
        <v>24</v>
      </c>
      <c r="I67" t="s">
        <v>25</v>
      </c>
      <c r="J67">
        <v>3</v>
      </c>
      <c r="K67" t="s">
        <v>245</v>
      </c>
      <c r="L67" t="s">
        <v>246</v>
      </c>
      <c r="M67" t="s">
        <v>247</v>
      </c>
      <c r="N67" s="2">
        <v>45723</v>
      </c>
      <c r="O67" s="2">
        <v>45731</v>
      </c>
      <c r="P67" t="s">
        <v>29</v>
      </c>
      <c r="Q67" t="s">
        <v>30</v>
      </c>
      <c r="R67" t="s">
        <v>45</v>
      </c>
      <c r="S67" t="s">
        <v>72</v>
      </c>
      <c r="T67" t="s">
        <v>33</v>
      </c>
      <c r="U67" t="s">
        <v>46</v>
      </c>
      <c r="V67" t="str">
        <f>IF(B67&lt;=18,"Children",IF(B67&lt;=35,"Young adult",IF(B67&lt;=60,"Adult", "Senior Citizen")))</f>
        <v>Adult</v>
      </c>
      <c r="W67" t="str">
        <f t="shared" ref="W67:W130" si="7">TEXT(N67,"MMM")</f>
        <v>Mar</v>
      </c>
      <c r="X67">
        <f t="shared" ref="X67:X130" si="8">MONTH(N67)</f>
        <v>3</v>
      </c>
      <c r="Y67" t="str">
        <f t="shared" ref="Y67:Y130" si="9">"Q"&amp;ROUNDUP(MONTH(N67)/3,0)</f>
        <v>Q1</v>
      </c>
      <c r="Z67">
        <f t="shared" ref="Z67:Z130" si="10">YEAR(N67)</f>
        <v>2025</v>
      </c>
      <c r="AA67" t="str">
        <f t="shared" ref="AA67:AA130" si="11">TEXT(N67, "dddd")</f>
        <v>Friday</v>
      </c>
      <c r="AB67">
        <f t="shared" ref="AB67:AB130" si="12">N67-O67</f>
        <v>-8</v>
      </c>
      <c r="AC67" t="str">
        <f>IF(OR(D67="Heart Disease",D67="Cancer",D67="Stroke"),"High",IF(OR(D67="Diabetes",D67="Asthma"),"Medium","Low"))</f>
        <v>Low</v>
      </c>
      <c r="AD67" t="str">
        <f t="shared" ref="AD67:AD130" si="13">IF(AC67="High","Yes","No")</f>
        <v>No</v>
      </c>
      <c r="AE67" t="str">
        <f>IF(G67&lt;=2,"Short Stay", IF(G67&lt;=7,"Normal Stay", "Long Stay"))</f>
        <v>Long Stay</v>
      </c>
      <c r="AF67" t="str">
        <f>IF(F67&gt;60000,"Expensive",IF(F67&gt;30000,"Moderate","Affordable"))</f>
        <v>Affordable</v>
      </c>
      <c r="AG67" t="str">
        <f>IF(J67&gt;=4.5,"Excellent",IF(J67&gt;=3.5,"Good",IF(J67&gt;=2.5,"Average","Poor")))</f>
        <v>Average</v>
      </c>
      <c r="AH67" t="str">
        <f>IF(OR(TEXT(N67,"dddd")="Saturday",TEXT(N67,"dddd")="Sunday"),"Weekend","Weekday")</f>
        <v>Weekday</v>
      </c>
    </row>
    <row r="68" spans="1:34" x14ac:dyDescent="0.3">
      <c r="A68">
        <v>68</v>
      </c>
      <c r="B68">
        <v>40</v>
      </c>
      <c r="C68" t="s">
        <v>35</v>
      </c>
      <c r="D68" t="s">
        <v>79</v>
      </c>
      <c r="E68" t="s">
        <v>80</v>
      </c>
      <c r="F68">
        <v>3000</v>
      </c>
      <c r="G68">
        <v>10</v>
      </c>
      <c r="H68" t="s">
        <v>24</v>
      </c>
      <c r="I68" t="s">
        <v>25</v>
      </c>
      <c r="J68">
        <v>4</v>
      </c>
      <c r="K68" t="s">
        <v>157</v>
      </c>
      <c r="L68" t="s">
        <v>248</v>
      </c>
      <c r="M68" t="s">
        <v>249</v>
      </c>
      <c r="N68" s="2">
        <v>45724</v>
      </c>
      <c r="O68" s="2">
        <v>45734</v>
      </c>
      <c r="P68" t="s">
        <v>29</v>
      </c>
      <c r="Q68" t="s">
        <v>44</v>
      </c>
      <c r="R68" t="s">
        <v>45</v>
      </c>
      <c r="S68" t="s">
        <v>32</v>
      </c>
      <c r="T68" t="s">
        <v>33</v>
      </c>
      <c r="U68" t="s">
        <v>104</v>
      </c>
      <c r="V68" t="str">
        <f>IF(B68&lt;=18,"Children",IF(B68&lt;=35,"Young adult",IF(B68&lt;=60,"Adult", "Senior Citizen")))</f>
        <v>Adult</v>
      </c>
      <c r="W68" t="str">
        <f t="shared" si="7"/>
        <v>Mar</v>
      </c>
      <c r="X68">
        <f t="shared" si="8"/>
        <v>3</v>
      </c>
      <c r="Y68" t="str">
        <f t="shared" si="9"/>
        <v>Q1</v>
      </c>
      <c r="Z68">
        <f t="shared" si="10"/>
        <v>2025</v>
      </c>
      <c r="AA68" t="str">
        <f t="shared" si="11"/>
        <v>Saturday</v>
      </c>
      <c r="AB68">
        <f t="shared" si="12"/>
        <v>-10</v>
      </c>
      <c r="AC68" t="str">
        <f>IF(OR(D68="Heart Disease",D68="Cancer",D68="Stroke"),"High",IF(OR(D68="Diabetes",D68="Asthma"),"Medium","Low"))</f>
        <v>Low</v>
      </c>
      <c r="AD68" t="str">
        <f t="shared" si="13"/>
        <v>No</v>
      </c>
      <c r="AE68" t="str">
        <f>IF(G68&lt;=2,"Short Stay", IF(G68&lt;=7,"Normal Stay", "Long Stay"))</f>
        <v>Long Stay</v>
      </c>
      <c r="AF68" t="str">
        <f>IF(F68&gt;60000,"Expensive",IF(F68&gt;30000,"Moderate","Affordable"))</f>
        <v>Affordable</v>
      </c>
      <c r="AG68" t="str">
        <f>IF(J68&gt;=4.5,"Excellent",IF(J68&gt;=3.5,"Good",IF(J68&gt;=2.5,"Average","Poor")))</f>
        <v>Good</v>
      </c>
      <c r="AH68" t="str">
        <f>IF(OR(TEXT(N68,"dddd")="Saturday",TEXT(N68,"dddd")="Sunday"),"Weekend","Weekday")</f>
        <v>Weekend</v>
      </c>
    </row>
    <row r="69" spans="1:34" x14ac:dyDescent="0.3">
      <c r="A69">
        <v>69</v>
      </c>
      <c r="B69">
        <v>78</v>
      </c>
      <c r="C69" t="s">
        <v>21</v>
      </c>
      <c r="D69" t="s">
        <v>85</v>
      </c>
      <c r="E69" t="s">
        <v>86</v>
      </c>
      <c r="F69">
        <v>18000</v>
      </c>
      <c r="G69">
        <v>12</v>
      </c>
      <c r="H69" t="s">
        <v>38</v>
      </c>
      <c r="I69" t="s">
        <v>39</v>
      </c>
      <c r="J69">
        <v>2</v>
      </c>
      <c r="K69" t="s">
        <v>250</v>
      </c>
      <c r="L69" t="s">
        <v>251</v>
      </c>
      <c r="M69" t="s">
        <v>252</v>
      </c>
      <c r="N69" s="2">
        <v>45725</v>
      </c>
      <c r="O69" s="2">
        <v>45737</v>
      </c>
      <c r="P69" t="s">
        <v>29</v>
      </c>
      <c r="Q69" t="s">
        <v>139</v>
      </c>
      <c r="R69" t="s">
        <v>45</v>
      </c>
      <c r="S69" t="s">
        <v>32</v>
      </c>
      <c r="T69" t="s">
        <v>33</v>
      </c>
      <c r="U69" t="s">
        <v>34</v>
      </c>
      <c r="V69" t="str">
        <f>IF(B69&lt;=18,"Children",IF(B69&lt;=35,"Young adult",IF(B69&lt;=60,"Adult", "Senior Citizen")))</f>
        <v>Senior Citizen</v>
      </c>
      <c r="W69" t="str">
        <f t="shared" si="7"/>
        <v>Mar</v>
      </c>
      <c r="X69">
        <f t="shared" si="8"/>
        <v>3</v>
      </c>
      <c r="Y69" t="str">
        <f t="shared" si="9"/>
        <v>Q1</v>
      </c>
      <c r="Z69">
        <f t="shared" si="10"/>
        <v>2025</v>
      </c>
      <c r="AA69" t="str">
        <f t="shared" si="11"/>
        <v>Sunday</v>
      </c>
      <c r="AB69">
        <f t="shared" si="12"/>
        <v>-12</v>
      </c>
      <c r="AC69" t="str">
        <f>IF(OR(D69="Heart Disease",D69="Cancer",D69="Stroke"),"High",IF(OR(D69="Diabetes",D69="Asthma"),"Medium","Low"))</f>
        <v>Low</v>
      </c>
      <c r="AD69" t="str">
        <f t="shared" si="13"/>
        <v>No</v>
      </c>
      <c r="AE69" t="str">
        <f>IF(G69&lt;=2,"Short Stay", IF(G69&lt;=7,"Normal Stay", "Long Stay"))</f>
        <v>Long Stay</v>
      </c>
      <c r="AF69" t="str">
        <f>IF(F69&gt;60000,"Expensive",IF(F69&gt;30000,"Moderate","Affordable"))</f>
        <v>Affordable</v>
      </c>
      <c r="AG69" t="str">
        <f>IF(J69&gt;=4.5,"Excellent",IF(J69&gt;=3.5,"Good",IF(J69&gt;=2.5,"Average","Poor")))</f>
        <v>Poor</v>
      </c>
      <c r="AH69" t="str">
        <f>IF(OR(TEXT(N69,"dddd")="Saturday",TEXT(N69,"dddd")="Sunday"),"Weekend","Weekday")</f>
        <v>Weekend</v>
      </c>
    </row>
    <row r="70" spans="1:34" x14ac:dyDescent="0.3">
      <c r="A70">
        <v>70</v>
      </c>
      <c r="B70">
        <v>25</v>
      </c>
      <c r="C70" t="s">
        <v>35</v>
      </c>
      <c r="D70" t="s">
        <v>89</v>
      </c>
      <c r="E70" t="s">
        <v>90</v>
      </c>
      <c r="F70">
        <v>100</v>
      </c>
      <c r="G70">
        <v>5</v>
      </c>
      <c r="H70" t="s">
        <v>24</v>
      </c>
      <c r="I70" t="s">
        <v>25</v>
      </c>
      <c r="J70">
        <v>5</v>
      </c>
      <c r="K70" t="s">
        <v>169</v>
      </c>
      <c r="L70" t="s">
        <v>253</v>
      </c>
      <c r="M70" t="s">
        <v>254</v>
      </c>
      <c r="N70" s="2">
        <v>45726</v>
      </c>
      <c r="O70" s="2">
        <v>45731</v>
      </c>
      <c r="P70" t="s">
        <v>43</v>
      </c>
      <c r="Q70" t="s">
        <v>71</v>
      </c>
      <c r="R70" t="s">
        <v>45</v>
      </c>
      <c r="S70" t="s">
        <v>77</v>
      </c>
      <c r="T70" t="s">
        <v>33</v>
      </c>
      <c r="U70" t="s">
        <v>104</v>
      </c>
      <c r="V70" t="str">
        <f>IF(B70&lt;=18,"Children",IF(B70&lt;=35,"Young adult",IF(B70&lt;=60,"Adult", "Senior Citizen")))</f>
        <v>Young adult</v>
      </c>
      <c r="W70" t="str">
        <f t="shared" si="7"/>
        <v>Mar</v>
      </c>
      <c r="X70">
        <f t="shared" si="8"/>
        <v>3</v>
      </c>
      <c r="Y70" t="str">
        <f t="shared" si="9"/>
        <v>Q1</v>
      </c>
      <c r="Z70">
        <f t="shared" si="10"/>
        <v>2025</v>
      </c>
      <c r="AA70" t="str">
        <f t="shared" si="11"/>
        <v>Monday</v>
      </c>
      <c r="AB70">
        <f t="shared" si="12"/>
        <v>-5</v>
      </c>
      <c r="AC70" t="str">
        <f>IF(OR(D70="Heart Disease",D70="Cancer",D70="Stroke"),"High",IF(OR(D70="Diabetes",D70="Asthma"),"Medium","Low"))</f>
        <v>Low</v>
      </c>
      <c r="AD70" t="str">
        <f t="shared" si="13"/>
        <v>No</v>
      </c>
      <c r="AE70" t="str">
        <f>IF(G70&lt;=2,"Short Stay", IF(G70&lt;=7,"Normal Stay", "Long Stay"))</f>
        <v>Normal Stay</v>
      </c>
      <c r="AF70" t="str">
        <f>IF(F70&gt;60000,"Expensive",IF(F70&gt;30000,"Moderate","Affordable"))</f>
        <v>Affordable</v>
      </c>
      <c r="AG70" t="str">
        <f>IF(J70&gt;=4.5,"Excellent",IF(J70&gt;=3.5,"Good",IF(J70&gt;=2.5,"Average","Poor")))</f>
        <v>Excellent</v>
      </c>
      <c r="AH70" t="str">
        <f>IF(OR(TEXT(N70,"dddd")="Saturday",TEXT(N70,"dddd")="Sunday"),"Weekend","Weekday")</f>
        <v>Weekday</v>
      </c>
    </row>
    <row r="71" spans="1:34" x14ac:dyDescent="0.3">
      <c r="A71">
        <v>71</v>
      </c>
      <c r="B71">
        <v>52</v>
      </c>
      <c r="C71" t="s">
        <v>21</v>
      </c>
      <c r="D71" t="s">
        <v>94</v>
      </c>
      <c r="E71" t="s">
        <v>95</v>
      </c>
      <c r="F71">
        <v>800</v>
      </c>
      <c r="G71">
        <v>6</v>
      </c>
      <c r="H71" t="s">
        <v>24</v>
      </c>
      <c r="I71" t="s">
        <v>39</v>
      </c>
      <c r="J71">
        <v>4</v>
      </c>
      <c r="K71" t="s">
        <v>133</v>
      </c>
      <c r="L71" t="s">
        <v>255</v>
      </c>
      <c r="M71" t="s">
        <v>256</v>
      </c>
      <c r="N71" s="2">
        <v>45727</v>
      </c>
      <c r="O71" s="2">
        <v>45733</v>
      </c>
      <c r="P71" t="s">
        <v>43</v>
      </c>
      <c r="Q71" t="s">
        <v>30</v>
      </c>
      <c r="R71" t="s">
        <v>45</v>
      </c>
      <c r="S71" t="s">
        <v>53</v>
      </c>
      <c r="T71" t="s">
        <v>33</v>
      </c>
      <c r="U71" t="s">
        <v>78</v>
      </c>
      <c r="V71" t="str">
        <f>IF(B71&lt;=18,"Children",IF(B71&lt;=35,"Young adult",IF(B71&lt;=60,"Adult", "Senior Citizen")))</f>
        <v>Adult</v>
      </c>
      <c r="W71" t="str">
        <f t="shared" si="7"/>
        <v>Mar</v>
      </c>
      <c r="X71">
        <f t="shared" si="8"/>
        <v>3</v>
      </c>
      <c r="Y71" t="str">
        <f t="shared" si="9"/>
        <v>Q1</v>
      </c>
      <c r="Z71">
        <f t="shared" si="10"/>
        <v>2025</v>
      </c>
      <c r="AA71" t="str">
        <f t="shared" si="11"/>
        <v>Tuesday</v>
      </c>
      <c r="AB71">
        <f t="shared" si="12"/>
        <v>-6</v>
      </c>
      <c r="AC71" t="str">
        <f>IF(OR(D71="Heart Disease",D71="Cancer",D71="Stroke"),"High",IF(OR(D71="Diabetes",D71="Asthma"),"Medium","Low"))</f>
        <v>Low</v>
      </c>
      <c r="AD71" t="str">
        <f t="shared" si="13"/>
        <v>No</v>
      </c>
      <c r="AE71" t="str">
        <f>IF(G71&lt;=2,"Short Stay", IF(G71&lt;=7,"Normal Stay", "Long Stay"))</f>
        <v>Normal Stay</v>
      </c>
      <c r="AF71" t="str">
        <f>IF(F71&gt;60000,"Expensive",IF(F71&gt;30000,"Moderate","Affordable"))</f>
        <v>Affordable</v>
      </c>
      <c r="AG71" t="str">
        <f>IF(J71&gt;=4.5,"Excellent",IF(J71&gt;=3.5,"Good",IF(J71&gt;=2.5,"Average","Poor")))</f>
        <v>Good</v>
      </c>
      <c r="AH71" t="str">
        <f>IF(OR(TEXT(N71,"dddd")="Saturday",TEXT(N71,"dddd")="Sunday"),"Weekend","Weekday")</f>
        <v>Weekday</v>
      </c>
    </row>
    <row r="72" spans="1:34" x14ac:dyDescent="0.3">
      <c r="A72">
        <v>72</v>
      </c>
      <c r="B72">
        <v>58</v>
      </c>
      <c r="C72" t="s">
        <v>35</v>
      </c>
      <c r="D72" t="s">
        <v>99</v>
      </c>
      <c r="E72" t="s">
        <v>100</v>
      </c>
      <c r="F72">
        <v>20000</v>
      </c>
      <c r="G72">
        <v>13</v>
      </c>
      <c r="H72" t="s">
        <v>24</v>
      </c>
      <c r="I72" t="s">
        <v>25</v>
      </c>
      <c r="J72">
        <v>3</v>
      </c>
      <c r="K72" t="s">
        <v>154</v>
      </c>
      <c r="L72" t="s">
        <v>257</v>
      </c>
      <c r="M72" t="s">
        <v>258</v>
      </c>
      <c r="N72" s="2">
        <v>45728</v>
      </c>
      <c r="O72" s="2">
        <v>45741</v>
      </c>
      <c r="P72" t="s">
        <v>29</v>
      </c>
      <c r="Q72" t="s">
        <v>44</v>
      </c>
      <c r="R72" t="s">
        <v>45</v>
      </c>
      <c r="S72" t="s">
        <v>72</v>
      </c>
      <c r="T72" t="s">
        <v>33</v>
      </c>
      <c r="U72" t="s">
        <v>104</v>
      </c>
      <c r="V72" t="str">
        <f>IF(B72&lt;=18,"Children",IF(B72&lt;=35,"Young adult",IF(B72&lt;=60,"Adult", "Senior Citizen")))</f>
        <v>Adult</v>
      </c>
      <c r="W72" t="str">
        <f t="shared" si="7"/>
        <v>Mar</v>
      </c>
      <c r="X72">
        <f t="shared" si="8"/>
        <v>3</v>
      </c>
      <c r="Y72" t="str">
        <f t="shared" si="9"/>
        <v>Q1</v>
      </c>
      <c r="Z72">
        <f t="shared" si="10"/>
        <v>2025</v>
      </c>
      <c r="AA72" t="str">
        <f t="shared" si="11"/>
        <v>Wednesday</v>
      </c>
      <c r="AB72">
        <f t="shared" si="12"/>
        <v>-13</v>
      </c>
      <c r="AC72" t="str">
        <f>IF(OR(D72="Heart Disease",D72="Cancer",D72="Stroke"),"High",IF(OR(D72="Diabetes",D72="Asthma"),"Medium","Low"))</f>
        <v>Low</v>
      </c>
      <c r="AD72" t="str">
        <f t="shared" si="13"/>
        <v>No</v>
      </c>
      <c r="AE72" t="str">
        <f>IF(G72&lt;=2,"Short Stay", IF(G72&lt;=7,"Normal Stay", "Long Stay"))</f>
        <v>Long Stay</v>
      </c>
      <c r="AF72" t="str">
        <f>IF(F72&gt;60000,"Expensive",IF(F72&gt;30000,"Moderate","Affordable"))</f>
        <v>Affordable</v>
      </c>
      <c r="AG72" t="str">
        <f>IF(J72&gt;=4.5,"Excellent",IF(J72&gt;=3.5,"Good",IF(J72&gt;=2.5,"Average","Poor")))</f>
        <v>Average</v>
      </c>
      <c r="AH72" t="str">
        <f>IF(OR(TEXT(N72,"dddd")="Saturday",TEXT(N72,"dddd")="Sunday"),"Weekend","Weekday")</f>
        <v>Weekday</v>
      </c>
    </row>
    <row r="73" spans="1:34" x14ac:dyDescent="0.3">
      <c r="A73">
        <v>73</v>
      </c>
      <c r="B73">
        <v>32</v>
      </c>
      <c r="C73" t="s">
        <v>21</v>
      </c>
      <c r="D73" t="s">
        <v>105</v>
      </c>
      <c r="E73" t="s">
        <v>106</v>
      </c>
      <c r="F73">
        <v>12000</v>
      </c>
      <c r="G73">
        <v>7</v>
      </c>
      <c r="H73" t="s">
        <v>24</v>
      </c>
      <c r="I73" t="s">
        <v>25</v>
      </c>
      <c r="J73">
        <v>4</v>
      </c>
      <c r="K73" t="s">
        <v>101</v>
      </c>
      <c r="L73" t="s">
        <v>259</v>
      </c>
      <c r="M73" t="s">
        <v>260</v>
      </c>
      <c r="N73" s="2">
        <v>45729</v>
      </c>
      <c r="O73" s="2">
        <v>45736</v>
      </c>
      <c r="P73" t="s">
        <v>43</v>
      </c>
      <c r="Q73" t="s">
        <v>30</v>
      </c>
      <c r="R73" t="s">
        <v>45</v>
      </c>
      <c r="S73" t="s">
        <v>53</v>
      </c>
      <c r="T73" t="s">
        <v>33</v>
      </c>
      <c r="U73" t="s">
        <v>46</v>
      </c>
      <c r="V73" t="str">
        <f>IF(B73&lt;=18,"Children",IF(B73&lt;=35,"Young adult",IF(B73&lt;=60,"Adult", "Senior Citizen")))</f>
        <v>Young adult</v>
      </c>
      <c r="W73" t="str">
        <f t="shared" si="7"/>
        <v>Mar</v>
      </c>
      <c r="X73">
        <f t="shared" si="8"/>
        <v>3</v>
      </c>
      <c r="Y73" t="str">
        <f t="shared" si="9"/>
        <v>Q1</v>
      </c>
      <c r="Z73">
        <f t="shared" si="10"/>
        <v>2025</v>
      </c>
      <c r="AA73" t="str">
        <f t="shared" si="11"/>
        <v>Thursday</v>
      </c>
      <c r="AB73">
        <f t="shared" si="12"/>
        <v>-7</v>
      </c>
      <c r="AC73" t="str">
        <f>IF(OR(D73="Heart Disease",D73="Cancer",D73="Stroke"),"High",IF(OR(D73="Diabetes",D73="Asthma"),"Medium","Low"))</f>
        <v>Low</v>
      </c>
      <c r="AD73" t="str">
        <f t="shared" si="13"/>
        <v>No</v>
      </c>
      <c r="AE73" t="str">
        <f>IF(G73&lt;=2,"Short Stay", IF(G73&lt;=7,"Normal Stay", "Long Stay"))</f>
        <v>Normal Stay</v>
      </c>
      <c r="AF73" t="str">
        <f>IF(F73&gt;60000,"Expensive",IF(F73&gt;30000,"Moderate","Affordable"))</f>
        <v>Affordable</v>
      </c>
      <c r="AG73" t="str">
        <f>IF(J73&gt;=4.5,"Excellent",IF(J73&gt;=3.5,"Good",IF(J73&gt;=2.5,"Average","Poor")))</f>
        <v>Good</v>
      </c>
      <c r="AH73" t="str">
        <f>IF(OR(TEXT(N73,"dddd")="Saturday",TEXT(N73,"dddd")="Sunday"),"Weekend","Weekday")</f>
        <v>Weekday</v>
      </c>
    </row>
    <row r="74" spans="1:34" x14ac:dyDescent="0.3">
      <c r="A74">
        <v>74</v>
      </c>
      <c r="B74">
        <v>55</v>
      </c>
      <c r="C74" t="s">
        <v>35</v>
      </c>
      <c r="D74" t="s">
        <v>111</v>
      </c>
      <c r="E74" t="s">
        <v>112</v>
      </c>
      <c r="F74">
        <v>6000</v>
      </c>
      <c r="G74">
        <v>8</v>
      </c>
      <c r="H74" t="s">
        <v>24</v>
      </c>
      <c r="I74" t="s">
        <v>25</v>
      </c>
      <c r="J74">
        <v>3</v>
      </c>
      <c r="K74" t="s">
        <v>200</v>
      </c>
      <c r="L74" t="s">
        <v>261</v>
      </c>
      <c r="M74" t="s">
        <v>262</v>
      </c>
      <c r="N74" s="2">
        <v>45730</v>
      </c>
      <c r="O74" s="2">
        <v>45738</v>
      </c>
      <c r="P74" t="s">
        <v>29</v>
      </c>
      <c r="Q74" t="s">
        <v>139</v>
      </c>
      <c r="R74" t="s">
        <v>45</v>
      </c>
      <c r="S74" t="s">
        <v>77</v>
      </c>
      <c r="T74" t="s">
        <v>33</v>
      </c>
      <c r="U74" t="s">
        <v>46</v>
      </c>
      <c r="V74" t="str">
        <f>IF(B74&lt;=18,"Children",IF(B74&lt;=35,"Young adult",IF(B74&lt;=60,"Adult", "Senior Citizen")))</f>
        <v>Adult</v>
      </c>
      <c r="W74" t="str">
        <f t="shared" si="7"/>
        <v>Mar</v>
      </c>
      <c r="X74">
        <f t="shared" si="8"/>
        <v>3</v>
      </c>
      <c r="Y74" t="str">
        <f t="shared" si="9"/>
        <v>Q1</v>
      </c>
      <c r="Z74">
        <f t="shared" si="10"/>
        <v>2025</v>
      </c>
      <c r="AA74" t="str">
        <f t="shared" si="11"/>
        <v>Friday</v>
      </c>
      <c r="AB74">
        <f t="shared" si="12"/>
        <v>-8</v>
      </c>
      <c r="AC74" t="str">
        <f>IF(OR(D74="Heart Disease",D74="Cancer",D74="Stroke"),"High",IF(OR(D74="Diabetes",D74="Asthma"),"Medium","Low"))</f>
        <v>Low</v>
      </c>
      <c r="AD74" t="str">
        <f t="shared" si="13"/>
        <v>No</v>
      </c>
      <c r="AE74" t="str">
        <f>IF(G74&lt;=2,"Short Stay", IF(G74&lt;=7,"Normal Stay", "Long Stay"))</f>
        <v>Long Stay</v>
      </c>
      <c r="AF74" t="str">
        <f>IF(F74&gt;60000,"Expensive",IF(F74&gt;30000,"Moderate","Affordable"))</f>
        <v>Affordable</v>
      </c>
      <c r="AG74" t="str">
        <f>IF(J74&gt;=4.5,"Excellent",IF(J74&gt;=3.5,"Good",IF(J74&gt;=2.5,"Average","Poor")))</f>
        <v>Average</v>
      </c>
      <c r="AH74" t="str">
        <f>IF(OR(TEXT(N74,"dddd")="Saturday",TEXT(N74,"dddd")="Sunday"),"Weekend","Weekday")</f>
        <v>Weekday</v>
      </c>
    </row>
    <row r="75" spans="1:34" x14ac:dyDescent="0.3">
      <c r="A75">
        <v>75</v>
      </c>
      <c r="B75">
        <v>65</v>
      </c>
      <c r="C75" t="s">
        <v>21</v>
      </c>
      <c r="D75" t="s">
        <v>116</v>
      </c>
      <c r="E75" t="s">
        <v>117</v>
      </c>
      <c r="F75">
        <v>4000</v>
      </c>
      <c r="G75">
        <v>9</v>
      </c>
      <c r="H75" t="s">
        <v>24</v>
      </c>
      <c r="I75" t="s">
        <v>39</v>
      </c>
      <c r="J75">
        <v>4</v>
      </c>
      <c r="K75" t="s">
        <v>68</v>
      </c>
      <c r="L75" t="s">
        <v>263</v>
      </c>
      <c r="M75" t="s">
        <v>264</v>
      </c>
      <c r="N75" s="2">
        <v>45731</v>
      </c>
      <c r="O75" s="2">
        <v>45740</v>
      </c>
      <c r="P75" t="s">
        <v>43</v>
      </c>
      <c r="Q75" t="s">
        <v>44</v>
      </c>
      <c r="R75" t="s">
        <v>45</v>
      </c>
      <c r="S75" t="s">
        <v>110</v>
      </c>
      <c r="T75" t="s">
        <v>33</v>
      </c>
      <c r="U75" t="s">
        <v>104</v>
      </c>
      <c r="V75" t="str">
        <f>IF(B75&lt;=18,"Children",IF(B75&lt;=35,"Young adult",IF(B75&lt;=60,"Adult", "Senior Citizen")))</f>
        <v>Senior Citizen</v>
      </c>
      <c r="W75" t="str">
        <f t="shared" si="7"/>
        <v>Mar</v>
      </c>
      <c r="X75">
        <f t="shared" si="8"/>
        <v>3</v>
      </c>
      <c r="Y75" t="str">
        <f t="shared" si="9"/>
        <v>Q1</v>
      </c>
      <c r="Z75">
        <f t="shared" si="10"/>
        <v>2025</v>
      </c>
      <c r="AA75" t="str">
        <f t="shared" si="11"/>
        <v>Saturday</v>
      </c>
      <c r="AB75">
        <f t="shared" si="12"/>
        <v>-9</v>
      </c>
      <c r="AC75" t="str">
        <f>IF(OR(D75="Heart Disease",D75="Cancer",D75="Stroke"),"High",IF(OR(D75="Diabetes",D75="Asthma"),"Medium","Low"))</f>
        <v>Low</v>
      </c>
      <c r="AD75" t="str">
        <f t="shared" si="13"/>
        <v>No</v>
      </c>
      <c r="AE75" t="str">
        <f>IF(G75&lt;=2,"Short Stay", IF(G75&lt;=7,"Normal Stay", "Long Stay"))</f>
        <v>Long Stay</v>
      </c>
      <c r="AF75" t="str">
        <f>IF(F75&gt;60000,"Expensive",IF(F75&gt;30000,"Moderate","Affordable"))</f>
        <v>Affordable</v>
      </c>
      <c r="AG75" t="str">
        <f>IF(J75&gt;=4.5,"Excellent",IF(J75&gt;=3.5,"Good",IF(J75&gt;=2.5,"Average","Poor")))</f>
        <v>Good</v>
      </c>
      <c r="AH75" t="str">
        <f>IF(OR(TEXT(N75,"dddd")="Saturday",TEXT(N75,"dddd")="Sunday"),"Weekend","Weekday")</f>
        <v>Weekend</v>
      </c>
    </row>
    <row r="76" spans="1:34" x14ac:dyDescent="0.3">
      <c r="A76">
        <v>76</v>
      </c>
      <c r="B76">
        <v>55</v>
      </c>
      <c r="C76" t="s">
        <v>21</v>
      </c>
      <c r="D76" t="s">
        <v>22</v>
      </c>
      <c r="E76" t="s">
        <v>23</v>
      </c>
      <c r="F76">
        <v>15000</v>
      </c>
      <c r="G76">
        <v>10</v>
      </c>
      <c r="H76" t="s">
        <v>38</v>
      </c>
      <c r="I76" t="s">
        <v>25</v>
      </c>
      <c r="J76">
        <v>3</v>
      </c>
      <c r="K76" t="s">
        <v>245</v>
      </c>
      <c r="L76" t="s">
        <v>265</v>
      </c>
      <c r="M76" t="s">
        <v>266</v>
      </c>
      <c r="N76" s="2">
        <v>45732</v>
      </c>
      <c r="O76" s="2">
        <v>45742</v>
      </c>
      <c r="P76" t="s">
        <v>43</v>
      </c>
      <c r="Q76" t="s">
        <v>52</v>
      </c>
      <c r="R76" t="s">
        <v>31</v>
      </c>
      <c r="S76" t="s">
        <v>77</v>
      </c>
      <c r="T76" t="s">
        <v>33</v>
      </c>
      <c r="U76" t="s">
        <v>104</v>
      </c>
      <c r="V76" t="str">
        <f>IF(B76&lt;=18,"Children",IF(B76&lt;=35,"Young adult",IF(B76&lt;=60,"Adult", "Senior Citizen")))</f>
        <v>Adult</v>
      </c>
      <c r="W76" t="str">
        <f t="shared" si="7"/>
        <v>Mar</v>
      </c>
      <c r="X76">
        <f t="shared" si="8"/>
        <v>3</v>
      </c>
      <c r="Y76" t="str">
        <f t="shared" si="9"/>
        <v>Q1</v>
      </c>
      <c r="Z76">
        <f t="shared" si="10"/>
        <v>2025</v>
      </c>
      <c r="AA76" t="str">
        <f t="shared" si="11"/>
        <v>Sunday</v>
      </c>
      <c r="AB76">
        <f t="shared" si="12"/>
        <v>-10</v>
      </c>
      <c r="AC76" t="str">
        <f>IF(OR(D76="Heart Disease",D76="Cancer",D76="Stroke"),"High",IF(OR(D76="Diabetes",D76="Asthma"),"Medium","Low"))</f>
        <v>High</v>
      </c>
      <c r="AD76" t="str">
        <f t="shared" si="13"/>
        <v>Yes</v>
      </c>
      <c r="AE76" t="str">
        <f>IF(G76&lt;=2,"Short Stay", IF(G76&lt;=7,"Normal Stay", "Long Stay"))</f>
        <v>Long Stay</v>
      </c>
      <c r="AF76" t="str">
        <f>IF(F76&gt;60000,"Expensive",IF(F76&gt;30000,"Moderate","Affordable"))</f>
        <v>Affordable</v>
      </c>
      <c r="AG76" t="str">
        <f>IF(J76&gt;=4.5,"Excellent",IF(J76&gt;=3.5,"Good",IF(J76&gt;=2.5,"Average","Poor")))</f>
        <v>Average</v>
      </c>
      <c r="AH76" t="str">
        <f>IF(OR(TEXT(N76,"dddd")="Saturday",TEXT(N76,"dddd")="Sunday"),"Weekend","Weekday")</f>
        <v>Weekend</v>
      </c>
    </row>
    <row r="77" spans="1:34" x14ac:dyDescent="0.3">
      <c r="A77">
        <v>77</v>
      </c>
      <c r="B77">
        <v>62</v>
      </c>
      <c r="C77" t="s">
        <v>35</v>
      </c>
      <c r="D77" t="s">
        <v>36</v>
      </c>
      <c r="E77" t="s">
        <v>37</v>
      </c>
      <c r="F77">
        <v>2000</v>
      </c>
      <c r="G77">
        <v>8</v>
      </c>
      <c r="H77" t="s">
        <v>24</v>
      </c>
      <c r="I77" t="s">
        <v>39</v>
      </c>
      <c r="J77">
        <v>4</v>
      </c>
      <c r="K77" t="s">
        <v>26</v>
      </c>
      <c r="L77" t="s">
        <v>267</v>
      </c>
      <c r="M77" t="s">
        <v>268</v>
      </c>
      <c r="N77" s="2">
        <v>45733</v>
      </c>
      <c r="O77" s="2">
        <v>45741</v>
      </c>
      <c r="P77" t="s">
        <v>43</v>
      </c>
      <c r="Q77" t="s">
        <v>52</v>
      </c>
      <c r="R77" t="s">
        <v>45</v>
      </c>
      <c r="S77" t="s">
        <v>84</v>
      </c>
      <c r="T77" t="s">
        <v>33</v>
      </c>
      <c r="U77" t="s">
        <v>46</v>
      </c>
      <c r="V77" t="str">
        <f>IF(B77&lt;=18,"Children",IF(B77&lt;=35,"Young adult",IF(B77&lt;=60,"Adult", "Senior Citizen")))</f>
        <v>Senior Citizen</v>
      </c>
      <c r="W77" t="str">
        <f t="shared" si="7"/>
        <v>Mar</v>
      </c>
      <c r="X77">
        <f t="shared" si="8"/>
        <v>3</v>
      </c>
      <c r="Y77" t="str">
        <f t="shared" si="9"/>
        <v>Q1</v>
      </c>
      <c r="Z77">
        <f t="shared" si="10"/>
        <v>2025</v>
      </c>
      <c r="AA77" t="str">
        <f t="shared" si="11"/>
        <v>Monday</v>
      </c>
      <c r="AB77">
        <f t="shared" si="12"/>
        <v>-8</v>
      </c>
      <c r="AC77" t="str">
        <f>IF(OR(D77="Heart Disease",D77="Cancer",D77="Stroke"),"High",IF(OR(D77="Diabetes",D77="Asthma"),"Medium","Low"))</f>
        <v>Medium</v>
      </c>
      <c r="AD77" t="str">
        <f t="shared" si="13"/>
        <v>No</v>
      </c>
      <c r="AE77" t="str">
        <f>IF(G77&lt;=2,"Short Stay", IF(G77&lt;=7,"Normal Stay", "Long Stay"))</f>
        <v>Long Stay</v>
      </c>
      <c r="AF77" t="str">
        <f>IF(F77&gt;60000,"Expensive",IF(F77&gt;30000,"Moderate","Affordable"))</f>
        <v>Affordable</v>
      </c>
      <c r="AG77" t="str">
        <f>IF(J77&gt;=4.5,"Excellent",IF(J77&gt;=3.5,"Good",IF(J77&gt;=2.5,"Average","Poor")))</f>
        <v>Good</v>
      </c>
      <c r="AH77" t="str">
        <f>IF(OR(TEXT(N77,"dddd")="Saturday",TEXT(N77,"dddd")="Sunday"),"Weekend","Weekday")</f>
        <v>Weekday</v>
      </c>
    </row>
    <row r="78" spans="1:34" x14ac:dyDescent="0.3">
      <c r="A78">
        <v>78</v>
      </c>
      <c r="B78">
        <v>35</v>
      </c>
      <c r="C78" t="s">
        <v>21</v>
      </c>
      <c r="D78" t="s">
        <v>47</v>
      </c>
      <c r="E78" t="s">
        <v>48</v>
      </c>
      <c r="F78">
        <v>500</v>
      </c>
      <c r="G78">
        <v>6</v>
      </c>
      <c r="H78" t="s">
        <v>38</v>
      </c>
      <c r="I78" t="s">
        <v>25</v>
      </c>
      <c r="J78">
        <v>5</v>
      </c>
      <c r="K78" t="s">
        <v>128</v>
      </c>
      <c r="L78" t="s">
        <v>269</v>
      </c>
      <c r="M78" t="s">
        <v>270</v>
      </c>
      <c r="N78" s="2">
        <v>45734</v>
      </c>
      <c r="O78" s="2">
        <v>45740</v>
      </c>
      <c r="P78" t="s">
        <v>29</v>
      </c>
      <c r="Q78" t="s">
        <v>139</v>
      </c>
      <c r="R78" t="s">
        <v>45</v>
      </c>
      <c r="S78" t="s">
        <v>53</v>
      </c>
      <c r="T78" t="s">
        <v>33</v>
      </c>
      <c r="U78" t="s">
        <v>78</v>
      </c>
      <c r="V78" t="str">
        <f>IF(B78&lt;=18,"Children",IF(B78&lt;=35,"Young adult",IF(B78&lt;=60,"Adult", "Senior Citizen")))</f>
        <v>Young adult</v>
      </c>
      <c r="W78" t="str">
        <f t="shared" si="7"/>
        <v>Mar</v>
      </c>
      <c r="X78">
        <f t="shared" si="8"/>
        <v>3</v>
      </c>
      <c r="Y78" t="str">
        <f t="shared" si="9"/>
        <v>Q1</v>
      </c>
      <c r="Z78">
        <f t="shared" si="10"/>
        <v>2025</v>
      </c>
      <c r="AA78" t="str">
        <f t="shared" si="11"/>
        <v>Tuesday</v>
      </c>
      <c r="AB78">
        <f t="shared" si="12"/>
        <v>-6</v>
      </c>
      <c r="AC78" t="str">
        <f>IF(OR(D78="Heart Disease",D78="Cancer",D78="Stroke"),"High",IF(OR(D78="Diabetes",D78="Asthma"),"Medium","Low"))</f>
        <v>Low</v>
      </c>
      <c r="AD78" t="str">
        <f t="shared" si="13"/>
        <v>No</v>
      </c>
      <c r="AE78" t="str">
        <f>IF(G78&lt;=2,"Short Stay", IF(G78&lt;=7,"Normal Stay", "Long Stay"))</f>
        <v>Normal Stay</v>
      </c>
      <c r="AF78" t="str">
        <f>IF(F78&gt;60000,"Expensive",IF(F78&gt;30000,"Moderate","Affordable"))</f>
        <v>Affordable</v>
      </c>
      <c r="AG78" t="str">
        <f>IF(J78&gt;=4.5,"Excellent",IF(J78&gt;=3.5,"Good",IF(J78&gt;=2.5,"Average","Poor")))</f>
        <v>Excellent</v>
      </c>
      <c r="AH78" t="str">
        <f>IF(OR(TEXT(N78,"dddd")="Saturday",TEXT(N78,"dddd")="Sunday"),"Weekend","Weekday")</f>
        <v>Weekday</v>
      </c>
    </row>
    <row r="79" spans="1:34" x14ac:dyDescent="0.3">
      <c r="A79">
        <v>79</v>
      </c>
      <c r="B79">
        <v>78</v>
      </c>
      <c r="C79" t="s">
        <v>35</v>
      </c>
      <c r="D79" t="s">
        <v>54</v>
      </c>
      <c r="E79" t="s">
        <v>55</v>
      </c>
      <c r="F79">
        <v>10000</v>
      </c>
      <c r="G79">
        <v>12</v>
      </c>
      <c r="H79" t="s">
        <v>24</v>
      </c>
      <c r="I79" t="s">
        <v>39</v>
      </c>
      <c r="J79">
        <v>2</v>
      </c>
      <c r="K79" t="s">
        <v>197</v>
      </c>
      <c r="L79" t="s">
        <v>271</v>
      </c>
      <c r="M79" t="s">
        <v>272</v>
      </c>
      <c r="N79" s="2">
        <v>45735</v>
      </c>
      <c r="O79" s="2">
        <v>45747</v>
      </c>
      <c r="P79" t="s">
        <v>43</v>
      </c>
      <c r="Q79" t="s">
        <v>44</v>
      </c>
      <c r="R79" t="s">
        <v>59</v>
      </c>
      <c r="S79" t="s">
        <v>84</v>
      </c>
      <c r="T79" t="s">
        <v>33</v>
      </c>
      <c r="U79" t="s">
        <v>78</v>
      </c>
      <c r="V79" t="str">
        <f>IF(B79&lt;=18,"Children",IF(B79&lt;=35,"Young adult",IF(B79&lt;=60,"Adult", "Senior Citizen")))</f>
        <v>Senior Citizen</v>
      </c>
      <c r="W79" t="str">
        <f t="shared" si="7"/>
        <v>Mar</v>
      </c>
      <c r="X79">
        <f t="shared" si="8"/>
        <v>3</v>
      </c>
      <c r="Y79" t="str">
        <f t="shared" si="9"/>
        <v>Q1</v>
      </c>
      <c r="Z79">
        <f t="shared" si="10"/>
        <v>2025</v>
      </c>
      <c r="AA79" t="str">
        <f t="shared" si="11"/>
        <v>Wednesday</v>
      </c>
      <c r="AB79">
        <f t="shared" si="12"/>
        <v>-12</v>
      </c>
      <c r="AC79" t="str">
        <f>IF(OR(D79="Heart Disease",D79="Cancer",D79="Stroke"),"High",IF(OR(D79="Diabetes",D79="Asthma"),"Medium","Low"))</f>
        <v>High</v>
      </c>
      <c r="AD79" t="str">
        <f t="shared" si="13"/>
        <v>Yes</v>
      </c>
      <c r="AE79" t="str">
        <f>IF(G79&lt;=2,"Short Stay", IF(G79&lt;=7,"Normal Stay", "Long Stay"))</f>
        <v>Long Stay</v>
      </c>
      <c r="AF79" t="str">
        <f>IF(F79&gt;60000,"Expensive",IF(F79&gt;30000,"Moderate","Affordable"))</f>
        <v>Affordable</v>
      </c>
      <c r="AG79" t="str">
        <f>IF(J79&gt;=4.5,"Excellent",IF(J79&gt;=3.5,"Good",IF(J79&gt;=2.5,"Average","Poor")))</f>
        <v>Poor</v>
      </c>
      <c r="AH79" t="str">
        <f>IF(OR(TEXT(N79,"dddd")="Saturday",TEXT(N79,"dddd")="Sunday"),"Weekend","Weekday")</f>
        <v>Weekday</v>
      </c>
    </row>
    <row r="80" spans="1:34" x14ac:dyDescent="0.3">
      <c r="A80">
        <v>80</v>
      </c>
      <c r="B80">
        <v>53</v>
      </c>
      <c r="C80" t="s">
        <v>21</v>
      </c>
      <c r="D80" t="s">
        <v>60</v>
      </c>
      <c r="E80" t="s">
        <v>61</v>
      </c>
      <c r="F80">
        <v>25000</v>
      </c>
      <c r="G80">
        <v>15</v>
      </c>
      <c r="H80" t="s">
        <v>38</v>
      </c>
      <c r="I80" t="s">
        <v>25</v>
      </c>
      <c r="J80">
        <v>4</v>
      </c>
      <c r="K80" t="s">
        <v>160</v>
      </c>
      <c r="L80" t="s">
        <v>273</v>
      </c>
      <c r="M80" t="s">
        <v>274</v>
      </c>
      <c r="N80" s="2">
        <v>45736</v>
      </c>
      <c r="O80" s="2">
        <v>45751</v>
      </c>
      <c r="P80" t="s">
        <v>29</v>
      </c>
      <c r="Q80" t="s">
        <v>52</v>
      </c>
      <c r="R80" t="s">
        <v>65</v>
      </c>
      <c r="S80" t="s">
        <v>84</v>
      </c>
      <c r="T80" t="s">
        <v>33</v>
      </c>
      <c r="U80" t="s">
        <v>34</v>
      </c>
      <c r="V80" t="str">
        <f>IF(B80&lt;=18,"Children",IF(B80&lt;=35,"Young adult",IF(B80&lt;=60,"Adult", "Senior Citizen")))</f>
        <v>Adult</v>
      </c>
      <c r="W80" t="str">
        <f t="shared" si="7"/>
        <v>Mar</v>
      </c>
      <c r="X80">
        <f t="shared" si="8"/>
        <v>3</v>
      </c>
      <c r="Y80" t="str">
        <f t="shared" si="9"/>
        <v>Q1</v>
      </c>
      <c r="Z80">
        <f t="shared" si="10"/>
        <v>2025</v>
      </c>
      <c r="AA80" t="str">
        <f t="shared" si="11"/>
        <v>Thursday</v>
      </c>
      <c r="AB80">
        <f t="shared" si="12"/>
        <v>-15</v>
      </c>
      <c r="AC80" t="str">
        <f>IF(OR(D80="Heart Disease",D80="Cancer",D80="Stroke"),"High",IF(OR(D80="Diabetes",D80="Asthma"),"Medium","Low"))</f>
        <v>High</v>
      </c>
      <c r="AD80" t="str">
        <f t="shared" si="13"/>
        <v>Yes</v>
      </c>
      <c r="AE80" t="str">
        <f>IF(G80&lt;=2,"Short Stay", IF(G80&lt;=7,"Normal Stay", "Long Stay"))</f>
        <v>Long Stay</v>
      </c>
      <c r="AF80" t="str">
        <f>IF(F80&gt;60000,"Expensive",IF(F80&gt;30000,"Moderate","Affordable"))</f>
        <v>Affordable</v>
      </c>
      <c r="AG80" t="str">
        <f>IF(J80&gt;=4.5,"Excellent",IF(J80&gt;=3.5,"Good",IF(J80&gt;=2.5,"Average","Poor")))</f>
        <v>Good</v>
      </c>
      <c r="AH80" t="str">
        <f>IF(OR(TEXT(N80,"dddd")="Saturday",TEXT(N80,"dddd")="Sunday"),"Weekend","Weekday")</f>
        <v>Weekday</v>
      </c>
    </row>
    <row r="81" spans="1:34" x14ac:dyDescent="0.3">
      <c r="A81">
        <v>81</v>
      </c>
      <c r="B81">
        <v>72</v>
      </c>
      <c r="C81" t="s">
        <v>35</v>
      </c>
      <c r="D81" t="s">
        <v>66</v>
      </c>
      <c r="E81" t="s">
        <v>67</v>
      </c>
      <c r="F81">
        <v>1000</v>
      </c>
      <c r="G81">
        <v>7</v>
      </c>
      <c r="H81" t="s">
        <v>24</v>
      </c>
      <c r="I81" t="s">
        <v>39</v>
      </c>
      <c r="J81">
        <v>4</v>
      </c>
      <c r="K81" t="s">
        <v>149</v>
      </c>
      <c r="L81" t="s">
        <v>275</v>
      </c>
      <c r="M81" t="s">
        <v>276</v>
      </c>
      <c r="N81" s="2">
        <v>45737</v>
      </c>
      <c r="O81" s="2">
        <v>45744</v>
      </c>
      <c r="P81" t="s">
        <v>29</v>
      </c>
      <c r="Q81" t="s">
        <v>71</v>
      </c>
      <c r="R81" t="s">
        <v>45</v>
      </c>
      <c r="S81" t="s">
        <v>72</v>
      </c>
      <c r="T81" t="s">
        <v>33</v>
      </c>
      <c r="U81" t="s">
        <v>34</v>
      </c>
      <c r="V81" t="str">
        <f>IF(B81&lt;=18,"Children",IF(B81&lt;=35,"Young adult",IF(B81&lt;=60,"Adult", "Senior Citizen")))</f>
        <v>Senior Citizen</v>
      </c>
      <c r="W81" t="str">
        <f t="shared" si="7"/>
        <v>Mar</v>
      </c>
      <c r="X81">
        <f t="shared" si="8"/>
        <v>3</v>
      </c>
      <c r="Y81" t="str">
        <f t="shared" si="9"/>
        <v>Q1</v>
      </c>
      <c r="Z81">
        <f t="shared" si="10"/>
        <v>2025</v>
      </c>
      <c r="AA81" t="str">
        <f t="shared" si="11"/>
        <v>Friday</v>
      </c>
      <c r="AB81">
        <f t="shared" si="12"/>
        <v>-7</v>
      </c>
      <c r="AC81" t="str">
        <f>IF(OR(D81="Heart Disease",D81="Cancer",D81="Stroke"),"High",IF(OR(D81="Diabetes",D81="Asthma"),"Medium","Low"))</f>
        <v>Low</v>
      </c>
      <c r="AD81" t="str">
        <f t="shared" si="13"/>
        <v>No</v>
      </c>
      <c r="AE81" t="str">
        <f>IF(G81&lt;=2,"Short Stay", IF(G81&lt;=7,"Normal Stay", "Long Stay"))</f>
        <v>Normal Stay</v>
      </c>
      <c r="AF81" t="str">
        <f>IF(F81&gt;60000,"Expensive",IF(F81&gt;30000,"Moderate","Affordable"))</f>
        <v>Affordable</v>
      </c>
      <c r="AG81" t="str">
        <f>IF(J81&gt;=4.5,"Excellent",IF(J81&gt;=3.5,"Good",IF(J81&gt;=2.5,"Average","Poor")))</f>
        <v>Good</v>
      </c>
      <c r="AH81" t="str">
        <f>IF(OR(TEXT(N81,"dddd")="Saturday",TEXT(N81,"dddd")="Sunday"),"Weekend","Weekday")</f>
        <v>Weekday</v>
      </c>
    </row>
    <row r="82" spans="1:34" x14ac:dyDescent="0.3">
      <c r="A82">
        <v>82</v>
      </c>
      <c r="B82">
        <v>60</v>
      </c>
      <c r="C82" t="s">
        <v>21</v>
      </c>
      <c r="D82" t="s">
        <v>73</v>
      </c>
      <c r="E82" t="s">
        <v>74</v>
      </c>
      <c r="F82">
        <v>8000</v>
      </c>
      <c r="G82">
        <v>9</v>
      </c>
      <c r="H82" t="s">
        <v>38</v>
      </c>
      <c r="I82" t="s">
        <v>25</v>
      </c>
      <c r="J82">
        <v>3</v>
      </c>
      <c r="K82" t="s">
        <v>40</v>
      </c>
      <c r="L82" t="s">
        <v>277</v>
      </c>
      <c r="M82" t="s">
        <v>278</v>
      </c>
      <c r="N82" s="2">
        <v>45738</v>
      </c>
      <c r="O82" s="2">
        <v>45747</v>
      </c>
      <c r="P82" t="s">
        <v>29</v>
      </c>
      <c r="Q82" t="s">
        <v>30</v>
      </c>
      <c r="R82" t="s">
        <v>45</v>
      </c>
      <c r="S82" t="s">
        <v>110</v>
      </c>
      <c r="T82" t="s">
        <v>33</v>
      </c>
      <c r="U82" t="s">
        <v>78</v>
      </c>
      <c r="V82" t="str">
        <f>IF(B82&lt;=18,"Children",IF(B82&lt;=35,"Young adult",IF(B82&lt;=60,"Adult", "Senior Citizen")))</f>
        <v>Adult</v>
      </c>
      <c r="W82" t="str">
        <f t="shared" si="7"/>
        <v>Mar</v>
      </c>
      <c r="X82">
        <f t="shared" si="8"/>
        <v>3</v>
      </c>
      <c r="Y82" t="str">
        <f t="shared" si="9"/>
        <v>Q1</v>
      </c>
      <c r="Z82">
        <f t="shared" si="10"/>
        <v>2025</v>
      </c>
      <c r="AA82" t="str">
        <f t="shared" si="11"/>
        <v>Saturday</v>
      </c>
      <c r="AB82">
        <f t="shared" si="12"/>
        <v>-9</v>
      </c>
      <c r="AC82" t="str">
        <f>IF(OR(D82="Heart Disease",D82="Cancer",D82="Stroke"),"High",IF(OR(D82="Diabetes",D82="Asthma"),"Medium","Low"))</f>
        <v>Low</v>
      </c>
      <c r="AD82" t="str">
        <f t="shared" si="13"/>
        <v>No</v>
      </c>
      <c r="AE82" t="str">
        <f>IF(G82&lt;=2,"Short Stay", IF(G82&lt;=7,"Normal Stay", "Long Stay"))</f>
        <v>Long Stay</v>
      </c>
      <c r="AF82" t="str">
        <f>IF(F82&gt;60000,"Expensive",IF(F82&gt;30000,"Moderate","Affordable"))</f>
        <v>Affordable</v>
      </c>
      <c r="AG82" t="str">
        <f>IF(J82&gt;=4.5,"Excellent",IF(J82&gt;=3.5,"Good",IF(J82&gt;=2.5,"Average","Poor")))</f>
        <v>Average</v>
      </c>
      <c r="AH82" t="str">
        <f>IF(OR(TEXT(N82,"dddd")="Saturday",TEXT(N82,"dddd")="Sunday"),"Weekend","Weekday")</f>
        <v>Weekend</v>
      </c>
    </row>
    <row r="83" spans="1:34" x14ac:dyDescent="0.3">
      <c r="A83">
        <v>83</v>
      </c>
      <c r="B83">
        <v>45</v>
      </c>
      <c r="C83" t="s">
        <v>35</v>
      </c>
      <c r="D83" t="s">
        <v>79</v>
      </c>
      <c r="E83" t="s">
        <v>80</v>
      </c>
      <c r="F83">
        <v>3000</v>
      </c>
      <c r="G83">
        <v>11</v>
      </c>
      <c r="H83" t="s">
        <v>24</v>
      </c>
      <c r="I83" t="s">
        <v>25</v>
      </c>
      <c r="J83">
        <v>4</v>
      </c>
      <c r="K83" t="s">
        <v>160</v>
      </c>
      <c r="L83" t="s">
        <v>279</v>
      </c>
      <c r="M83" t="s">
        <v>280</v>
      </c>
      <c r="N83" s="2">
        <v>45739</v>
      </c>
      <c r="O83" s="2">
        <v>45750</v>
      </c>
      <c r="P83" t="s">
        <v>43</v>
      </c>
      <c r="Q83" t="s">
        <v>52</v>
      </c>
      <c r="R83" t="s">
        <v>45</v>
      </c>
      <c r="S83" t="s">
        <v>32</v>
      </c>
      <c r="T83" t="s">
        <v>33</v>
      </c>
      <c r="U83" t="s">
        <v>46</v>
      </c>
      <c r="V83" t="str">
        <f>IF(B83&lt;=18,"Children",IF(B83&lt;=35,"Young adult",IF(B83&lt;=60,"Adult", "Senior Citizen")))</f>
        <v>Adult</v>
      </c>
      <c r="W83" t="str">
        <f t="shared" si="7"/>
        <v>Mar</v>
      </c>
      <c r="X83">
        <f t="shared" si="8"/>
        <v>3</v>
      </c>
      <c r="Y83" t="str">
        <f t="shared" si="9"/>
        <v>Q1</v>
      </c>
      <c r="Z83">
        <f t="shared" si="10"/>
        <v>2025</v>
      </c>
      <c r="AA83" t="str">
        <f t="shared" si="11"/>
        <v>Sunday</v>
      </c>
      <c r="AB83">
        <f t="shared" si="12"/>
        <v>-11</v>
      </c>
      <c r="AC83" t="str">
        <f>IF(OR(D83="Heart Disease",D83="Cancer",D83="Stroke"),"High",IF(OR(D83="Diabetes",D83="Asthma"),"Medium","Low"))</f>
        <v>Low</v>
      </c>
      <c r="AD83" t="str">
        <f t="shared" si="13"/>
        <v>No</v>
      </c>
      <c r="AE83" t="str">
        <f>IF(G83&lt;=2,"Short Stay", IF(G83&lt;=7,"Normal Stay", "Long Stay"))</f>
        <v>Long Stay</v>
      </c>
      <c r="AF83" t="str">
        <f>IF(F83&gt;60000,"Expensive",IF(F83&gt;30000,"Moderate","Affordable"))</f>
        <v>Affordable</v>
      </c>
      <c r="AG83" t="str">
        <f>IF(J83&gt;=4.5,"Excellent",IF(J83&gt;=3.5,"Good",IF(J83&gt;=2.5,"Average","Poor")))</f>
        <v>Good</v>
      </c>
      <c r="AH83" t="str">
        <f>IF(OR(TEXT(N83,"dddd")="Saturday",TEXT(N83,"dddd")="Sunday"),"Weekend","Weekday")</f>
        <v>Weekend</v>
      </c>
    </row>
    <row r="84" spans="1:34" x14ac:dyDescent="0.3">
      <c r="A84">
        <v>84</v>
      </c>
      <c r="B84">
        <v>75</v>
      </c>
      <c r="C84" t="s">
        <v>21</v>
      </c>
      <c r="D84" t="s">
        <v>85</v>
      </c>
      <c r="E84" t="s">
        <v>86</v>
      </c>
      <c r="F84">
        <v>18000</v>
      </c>
      <c r="G84">
        <v>13</v>
      </c>
      <c r="H84" t="s">
        <v>38</v>
      </c>
      <c r="I84" t="s">
        <v>39</v>
      </c>
      <c r="J84">
        <v>2</v>
      </c>
      <c r="K84" t="s">
        <v>281</v>
      </c>
      <c r="L84" t="s">
        <v>282</v>
      </c>
      <c r="M84" t="s">
        <v>283</v>
      </c>
      <c r="N84" s="2">
        <v>45740</v>
      </c>
      <c r="O84" s="2">
        <v>45753</v>
      </c>
      <c r="P84" t="s">
        <v>29</v>
      </c>
      <c r="Q84" t="s">
        <v>52</v>
      </c>
      <c r="R84" t="s">
        <v>45</v>
      </c>
      <c r="S84" t="s">
        <v>84</v>
      </c>
      <c r="T84" t="s">
        <v>33</v>
      </c>
      <c r="U84" t="s">
        <v>34</v>
      </c>
      <c r="V84" t="str">
        <f>IF(B84&lt;=18,"Children",IF(B84&lt;=35,"Young adult",IF(B84&lt;=60,"Adult", "Senior Citizen")))</f>
        <v>Senior Citizen</v>
      </c>
      <c r="W84" t="str">
        <f t="shared" si="7"/>
        <v>Mar</v>
      </c>
      <c r="X84">
        <f t="shared" si="8"/>
        <v>3</v>
      </c>
      <c r="Y84" t="str">
        <f t="shared" si="9"/>
        <v>Q1</v>
      </c>
      <c r="Z84">
        <f t="shared" si="10"/>
        <v>2025</v>
      </c>
      <c r="AA84" t="str">
        <f t="shared" si="11"/>
        <v>Monday</v>
      </c>
      <c r="AB84">
        <f t="shared" si="12"/>
        <v>-13</v>
      </c>
      <c r="AC84" t="str">
        <f>IF(OR(D84="Heart Disease",D84="Cancer",D84="Stroke"),"High",IF(OR(D84="Diabetes",D84="Asthma"),"Medium","Low"))</f>
        <v>Low</v>
      </c>
      <c r="AD84" t="str">
        <f t="shared" si="13"/>
        <v>No</v>
      </c>
      <c r="AE84" t="str">
        <f>IF(G84&lt;=2,"Short Stay", IF(G84&lt;=7,"Normal Stay", "Long Stay"))</f>
        <v>Long Stay</v>
      </c>
      <c r="AF84" t="str">
        <f>IF(F84&gt;60000,"Expensive",IF(F84&gt;30000,"Moderate","Affordable"))</f>
        <v>Affordable</v>
      </c>
      <c r="AG84" t="str">
        <f>IF(J84&gt;=4.5,"Excellent",IF(J84&gt;=3.5,"Good",IF(J84&gt;=2.5,"Average","Poor")))</f>
        <v>Poor</v>
      </c>
      <c r="AH84" t="str">
        <f>IF(OR(TEXT(N84,"dddd")="Saturday",TEXT(N84,"dddd")="Sunday"),"Weekend","Weekday")</f>
        <v>Weekday</v>
      </c>
    </row>
    <row r="85" spans="1:34" x14ac:dyDescent="0.3">
      <c r="A85">
        <v>85</v>
      </c>
      <c r="B85">
        <v>28</v>
      </c>
      <c r="C85" t="s">
        <v>35</v>
      </c>
      <c r="D85" t="s">
        <v>89</v>
      </c>
      <c r="E85" t="s">
        <v>90</v>
      </c>
      <c r="F85">
        <v>100</v>
      </c>
      <c r="G85">
        <v>6</v>
      </c>
      <c r="H85" t="s">
        <v>24</v>
      </c>
      <c r="I85" t="s">
        <v>25</v>
      </c>
      <c r="J85">
        <v>5</v>
      </c>
      <c r="K85" t="s">
        <v>133</v>
      </c>
      <c r="L85" t="s">
        <v>284</v>
      </c>
      <c r="M85" t="s">
        <v>285</v>
      </c>
      <c r="N85" s="2">
        <v>45741</v>
      </c>
      <c r="O85" s="2">
        <v>45747</v>
      </c>
      <c r="P85" t="s">
        <v>43</v>
      </c>
      <c r="Q85" t="s">
        <v>44</v>
      </c>
      <c r="R85" t="s">
        <v>45</v>
      </c>
      <c r="S85" t="s">
        <v>84</v>
      </c>
      <c r="T85" t="s">
        <v>33</v>
      </c>
      <c r="U85" t="s">
        <v>78</v>
      </c>
      <c r="V85" t="str">
        <f>IF(B85&lt;=18,"Children",IF(B85&lt;=35,"Young adult",IF(B85&lt;=60,"Adult", "Senior Citizen")))</f>
        <v>Young adult</v>
      </c>
      <c r="W85" t="str">
        <f t="shared" si="7"/>
        <v>Mar</v>
      </c>
      <c r="X85">
        <f t="shared" si="8"/>
        <v>3</v>
      </c>
      <c r="Y85" t="str">
        <f t="shared" si="9"/>
        <v>Q1</v>
      </c>
      <c r="Z85">
        <f t="shared" si="10"/>
        <v>2025</v>
      </c>
      <c r="AA85" t="str">
        <f t="shared" si="11"/>
        <v>Tuesday</v>
      </c>
      <c r="AB85">
        <f t="shared" si="12"/>
        <v>-6</v>
      </c>
      <c r="AC85" t="str">
        <f>IF(OR(D85="Heart Disease",D85="Cancer",D85="Stroke"),"High",IF(OR(D85="Diabetes",D85="Asthma"),"Medium","Low"))</f>
        <v>Low</v>
      </c>
      <c r="AD85" t="str">
        <f t="shared" si="13"/>
        <v>No</v>
      </c>
      <c r="AE85" t="str">
        <f>IF(G85&lt;=2,"Short Stay", IF(G85&lt;=7,"Normal Stay", "Long Stay"))</f>
        <v>Normal Stay</v>
      </c>
      <c r="AF85" t="str">
        <f>IF(F85&gt;60000,"Expensive",IF(F85&gt;30000,"Moderate","Affordable"))</f>
        <v>Affordable</v>
      </c>
      <c r="AG85" t="str">
        <f>IF(J85&gt;=4.5,"Excellent",IF(J85&gt;=3.5,"Good",IF(J85&gt;=2.5,"Average","Poor")))</f>
        <v>Excellent</v>
      </c>
      <c r="AH85" t="str">
        <f>IF(OR(TEXT(N85,"dddd")="Saturday",TEXT(N85,"dddd")="Sunday"),"Weekend","Weekday")</f>
        <v>Weekday</v>
      </c>
    </row>
    <row r="86" spans="1:34" x14ac:dyDescent="0.3">
      <c r="A86">
        <v>86</v>
      </c>
      <c r="B86">
        <v>52</v>
      </c>
      <c r="C86" t="s">
        <v>21</v>
      </c>
      <c r="D86" t="s">
        <v>94</v>
      </c>
      <c r="E86" t="s">
        <v>95</v>
      </c>
      <c r="F86">
        <v>800</v>
      </c>
      <c r="G86">
        <v>7</v>
      </c>
      <c r="H86" t="s">
        <v>24</v>
      </c>
      <c r="I86" t="s">
        <v>39</v>
      </c>
      <c r="J86">
        <v>4</v>
      </c>
      <c r="K86" t="s">
        <v>125</v>
      </c>
      <c r="L86" t="s">
        <v>286</v>
      </c>
      <c r="M86" t="s">
        <v>287</v>
      </c>
      <c r="N86" s="2">
        <v>45742</v>
      </c>
      <c r="O86" s="2">
        <v>45749</v>
      </c>
      <c r="P86" t="s">
        <v>43</v>
      </c>
      <c r="Q86" t="s">
        <v>139</v>
      </c>
      <c r="R86" t="s">
        <v>45</v>
      </c>
      <c r="S86" t="s">
        <v>53</v>
      </c>
      <c r="T86" t="s">
        <v>33</v>
      </c>
      <c r="U86" t="s">
        <v>104</v>
      </c>
      <c r="V86" t="str">
        <f>IF(B86&lt;=18,"Children",IF(B86&lt;=35,"Young adult",IF(B86&lt;=60,"Adult", "Senior Citizen")))</f>
        <v>Adult</v>
      </c>
      <c r="W86" t="str">
        <f t="shared" si="7"/>
        <v>Mar</v>
      </c>
      <c r="X86">
        <f t="shared" si="8"/>
        <v>3</v>
      </c>
      <c r="Y86" t="str">
        <f t="shared" si="9"/>
        <v>Q1</v>
      </c>
      <c r="Z86">
        <f t="shared" si="10"/>
        <v>2025</v>
      </c>
      <c r="AA86" t="str">
        <f t="shared" si="11"/>
        <v>Wednesday</v>
      </c>
      <c r="AB86">
        <f t="shared" si="12"/>
        <v>-7</v>
      </c>
      <c r="AC86" t="str">
        <f>IF(OR(D86="Heart Disease",D86="Cancer",D86="Stroke"),"High",IF(OR(D86="Diabetes",D86="Asthma"),"Medium","Low"))</f>
        <v>Low</v>
      </c>
      <c r="AD86" t="str">
        <f t="shared" si="13"/>
        <v>No</v>
      </c>
      <c r="AE86" t="str">
        <f>IF(G86&lt;=2,"Short Stay", IF(G86&lt;=7,"Normal Stay", "Long Stay"))</f>
        <v>Normal Stay</v>
      </c>
      <c r="AF86" t="str">
        <f>IF(F86&gt;60000,"Expensive",IF(F86&gt;30000,"Moderate","Affordable"))</f>
        <v>Affordable</v>
      </c>
      <c r="AG86" t="str">
        <f>IF(J86&gt;=4.5,"Excellent",IF(J86&gt;=3.5,"Good",IF(J86&gt;=2.5,"Average","Poor")))</f>
        <v>Good</v>
      </c>
      <c r="AH86" t="str">
        <f>IF(OR(TEXT(N86,"dddd")="Saturday",TEXT(N86,"dddd")="Sunday"),"Weekend","Weekday")</f>
        <v>Weekday</v>
      </c>
    </row>
    <row r="87" spans="1:34" x14ac:dyDescent="0.3">
      <c r="A87">
        <v>87</v>
      </c>
      <c r="B87">
        <v>67</v>
      </c>
      <c r="C87" t="s">
        <v>35</v>
      </c>
      <c r="D87" t="s">
        <v>99</v>
      </c>
      <c r="E87" t="s">
        <v>100</v>
      </c>
      <c r="F87">
        <v>20000</v>
      </c>
      <c r="G87">
        <v>14</v>
      </c>
      <c r="H87" t="s">
        <v>24</v>
      </c>
      <c r="I87" t="s">
        <v>25</v>
      </c>
      <c r="J87">
        <v>3</v>
      </c>
      <c r="K87" t="s">
        <v>187</v>
      </c>
      <c r="L87" t="s">
        <v>288</v>
      </c>
      <c r="M87" t="s">
        <v>289</v>
      </c>
      <c r="N87" s="2">
        <v>45743</v>
      </c>
      <c r="O87" s="2">
        <v>45757</v>
      </c>
      <c r="P87" t="s">
        <v>29</v>
      </c>
      <c r="Q87" t="s">
        <v>71</v>
      </c>
      <c r="R87" t="s">
        <v>45</v>
      </c>
      <c r="S87" t="s">
        <v>110</v>
      </c>
      <c r="T87" t="s">
        <v>33</v>
      </c>
      <c r="U87" t="s">
        <v>46</v>
      </c>
      <c r="V87" t="str">
        <f>IF(B87&lt;=18,"Children",IF(B87&lt;=35,"Young adult",IF(B87&lt;=60,"Adult", "Senior Citizen")))</f>
        <v>Senior Citizen</v>
      </c>
      <c r="W87" t="str">
        <f t="shared" si="7"/>
        <v>Mar</v>
      </c>
      <c r="X87">
        <f t="shared" si="8"/>
        <v>3</v>
      </c>
      <c r="Y87" t="str">
        <f t="shared" si="9"/>
        <v>Q1</v>
      </c>
      <c r="Z87">
        <f t="shared" si="10"/>
        <v>2025</v>
      </c>
      <c r="AA87" t="str">
        <f t="shared" si="11"/>
        <v>Thursday</v>
      </c>
      <c r="AB87">
        <f t="shared" si="12"/>
        <v>-14</v>
      </c>
      <c r="AC87" t="str">
        <f>IF(OR(D87="Heart Disease",D87="Cancer",D87="Stroke"),"High",IF(OR(D87="Diabetes",D87="Asthma"),"Medium","Low"))</f>
        <v>Low</v>
      </c>
      <c r="AD87" t="str">
        <f t="shared" si="13"/>
        <v>No</v>
      </c>
      <c r="AE87" t="str">
        <f>IF(G87&lt;=2,"Short Stay", IF(G87&lt;=7,"Normal Stay", "Long Stay"))</f>
        <v>Long Stay</v>
      </c>
      <c r="AF87" t="str">
        <f>IF(F87&gt;60000,"Expensive",IF(F87&gt;30000,"Moderate","Affordable"))</f>
        <v>Affordable</v>
      </c>
      <c r="AG87" t="str">
        <f>IF(J87&gt;=4.5,"Excellent",IF(J87&gt;=3.5,"Good",IF(J87&gt;=2.5,"Average","Poor")))</f>
        <v>Average</v>
      </c>
      <c r="AH87" t="str">
        <f>IF(OR(TEXT(N87,"dddd")="Saturday",TEXT(N87,"dddd")="Sunday"),"Weekend","Weekday")</f>
        <v>Weekday</v>
      </c>
    </row>
    <row r="88" spans="1:34" x14ac:dyDescent="0.3">
      <c r="A88">
        <v>88</v>
      </c>
      <c r="B88">
        <v>35</v>
      </c>
      <c r="C88" t="s">
        <v>21</v>
      </c>
      <c r="D88" t="s">
        <v>105</v>
      </c>
      <c r="E88" t="s">
        <v>106</v>
      </c>
      <c r="F88">
        <v>12000</v>
      </c>
      <c r="G88">
        <v>8</v>
      </c>
      <c r="H88" t="s">
        <v>24</v>
      </c>
      <c r="I88" t="s">
        <v>25</v>
      </c>
      <c r="J88">
        <v>4</v>
      </c>
      <c r="K88" t="s">
        <v>144</v>
      </c>
      <c r="L88" t="s">
        <v>290</v>
      </c>
      <c r="M88" t="s">
        <v>291</v>
      </c>
      <c r="N88" s="2">
        <v>45744</v>
      </c>
      <c r="O88" s="2">
        <v>45752</v>
      </c>
      <c r="P88" t="s">
        <v>43</v>
      </c>
      <c r="Q88" t="s">
        <v>71</v>
      </c>
      <c r="R88" t="s">
        <v>45</v>
      </c>
      <c r="S88" t="s">
        <v>53</v>
      </c>
      <c r="T88" t="s">
        <v>33</v>
      </c>
      <c r="U88" t="s">
        <v>46</v>
      </c>
      <c r="V88" t="str">
        <f>IF(B88&lt;=18,"Children",IF(B88&lt;=35,"Young adult",IF(B88&lt;=60,"Adult", "Senior Citizen")))</f>
        <v>Young adult</v>
      </c>
      <c r="W88" t="str">
        <f t="shared" si="7"/>
        <v>Mar</v>
      </c>
      <c r="X88">
        <f t="shared" si="8"/>
        <v>3</v>
      </c>
      <c r="Y88" t="str">
        <f t="shared" si="9"/>
        <v>Q1</v>
      </c>
      <c r="Z88">
        <f t="shared" si="10"/>
        <v>2025</v>
      </c>
      <c r="AA88" t="str">
        <f t="shared" si="11"/>
        <v>Friday</v>
      </c>
      <c r="AB88">
        <f t="shared" si="12"/>
        <v>-8</v>
      </c>
      <c r="AC88" t="str">
        <f>IF(OR(D88="Heart Disease",D88="Cancer",D88="Stroke"),"High",IF(OR(D88="Diabetes",D88="Asthma"),"Medium","Low"))</f>
        <v>Low</v>
      </c>
      <c r="AD88" t="str">
        <f t="shared" si="13"/>
        <v>No</v>
      </c>
      <c r="AE88" t="str">
        <f>IF(G88&lt;=2,"Short Stay", IF(G88&lt;=7,"Normal Stay", "Long Stay"))</f>
        <v>Long Stay</v>
      </c>
      <c r="AF88" t="str">
        <f>IF(F88&gt;60000,"Expensive",IF(F88&gt;30000,"Moderate","Affordable"))</f>
        <v>Affordable</v>
      </c>
      <c r="AG88" t="str">
        <f>IF(J88&gt;=4.5,"Excellent",IF(J88&gt;=3.5,"Good",IF(J88&gt;=2.5,"Average","Poor")))</f>
        <v>Good</v>
      </c>
      <c r="AH88" t="str">
        <f>IF(OR(TEXT(N88,"dddd")="Saturday",TEXT(N88,"dddd")="Sunday"),"Weekend","Weekday")</f>
        <v>Weekday</v>
      </c>
    </row>
    <row r="89" spans="1:34" x14ac:dyDescent="0.3">
      <c r="A89">
        <v>89</v>
      </c>
      <c r="B89">
        <v>50</v>
      </c>
      <c r="C89" t="s">
        <v>35</v>
      </c>
      <c r="D89" t="s">
        <v>111</v>
      </c>
      <c r="E89" t="s">
        <v>112</v>
      </c>
      <c r="F89">
        <v>6000</v>
      </c>
      <c r="G89">
        <v>9</v>
      </c>
      <c r="H89" t="s">
        <v>24</v>
      </c>
      <c r="I89" t="s">
        <v>25</v>
      </c>
      <c r="J89">
        <v>3</v>
      </c>
      <c r="K89" t="s">
        <v>218</v>
      </c>
      <c r="L89" t="s">
        <v>292</v>
      </c>
      <c r="M89" t="s">
        <v>293</v>
      </c>
      <c r="N89" s="2">
        <v>45745</v>
      </c>
      <c r="O89" s="2">
        <v>45754</v>
      </c>
      <c r="P89" t="s">
        <v>43</v>
      </c>
      <c r="Q89" t="s">
        <v>30</v>
      </c>
      <c r="R89" t="s">
        <v>45</v>
      </c>
      <c r="S89" t="s">
        <v>84</v>
      </c>
      <c r="T89" t="s">
        <v>33</v>
      </c>
      <c r="U89" t="s">
        <v>46</v>
      </c>
      <c r="V89" t="str">
        <f>IF(B89&lt;=18,"Children",IF(B89&lt;=35,"Young adult",IF(B89&lt;=60,"Adult", "Senior Citizen")))</f>
        <v>Adult</v>
      </c>
      <c r="W89" t="str">
        <f t="shared" si="7"/>
        <v>Mar</v>
      </c>
      <c r="X89">
        <f t="shared" si="8"/>
        <v>3</v>
      </c>
      <c r="Y89" t="str">
        <f t="shared" si="9"/>
        <v>Q1</v>
      </c>
      <c r="Z89">
        <f t="shared" si="10"/>
        <v>2025</v>
      </c>
      <c r="AA89" t="str">
        <f t="shared" si="11"/>
        <v>Saturday</v>
      </c>
      <c r="AB89">
        <f t="shared" si="12"/>
        <v>-9</v>
      </c>
      <c r="AC89" t="str">
        <f>IF(OR(D89="Heart Disease",D89="Cancer",D89="Stroke"),"High",IF(OR(D89="Diabetes",D89="Asthma"),"Medium","Low"))</f>
        <v>Low</v>
      </c>
      <c r="AD89" t="str">
        <f t="shared" si="13"/>
        <v>No</v>
      </c>
      <c r="AE89" t="str">
        <f>IF(G89&lt;=2,"Short Stay", IF(G89&lt;=7,"Normal Stay", "Long Stay"))</f>
        <v>Long Stay</v>
      </c>
      <c r="AF89" t="str">
        <f>IF(F89&gt;60000,"Expensive",IF(F89&gt;30000,"Moderate","Affordable"))</f>
        <v>Affordable</v>
      </c>
      <c r="AG89" t="str">
        <f>IF(J89&gt;=4.5,"Excellent",IF(J89&gt;=3.5,"Good",IF(J89&gt;=2.5,"Average","Poor")))</f>
        <v>Average</v>
      </c>
      <c r="AH89" t="str">
        <f>IF(OR(TEXT(N89,"dddd")="Saturday",TEXT(N89,"dddd")="Sunday"),"Weekend","Weekday")</f>
        <v>Weekend</v>
      </c>
    </row>
    <row r="90" spans="1:34" x14ac:dyDescent="0.3">
      <c r="A90">
        <v>90</v>
      </c>
      <c r="B90">
        <v>60</v>
      </c>
      <c r="C90" t="s">
        <v>21</v>
      </c>
      <c r="D90" t="s">
        <v>116</v>
      </c>
      <c r="E90" t="s">
        <v>117</v>
      </c>
      <c r="F90">
        <v>4000</v>
      </c>
      <c r="G90">
        <v>10</v>
      </c>
      <c r="H90" t="s">
        <v>24</v>
      </c>
      <c r="I90" t="s">
        <v>39</v>
      </c>
      <c r="J90">
        <v>4</v>
      </c>
      <c r="K90" t="s">
        <v>294</v>
      </c>
      <c r="L90" t="s">
        <v>295</v>
      </c>
      <c r="M90" t="s">
        <v>296</v>
      </c>
      <c r="N90" s="2">
        <v>45746</v>
      </c>
      <c r="O90" s="2">
        <v>45756</v>
      </c>
      <c r="P90" t="s">
        <v>29</v>
      </c>
      <c r="Q90" t="s">
        <v>52</v>
      </c>
      <c r="R90" t="s">
        <v>45</v>
      </c>
      <c r="S90" t="s">
        <v>72</v>
      </c>
      <c r="T90" t="s">
        <v>33</v>
      </c>
      <c r="U90" t="s">
        <v>46</v>
      </c>
      <c r="V90" t="str">
        <f>IF(B90&lt;=18,"Children",IF(B90&lt;=35,"Young adult",IF(B90&lt;=60,"Adult", "Senior Citizen")))</f>
        <v>Adult</v>
      </c>
      <c r="W90" t="str">
        <f t="shared" si="7"/>
        <v>Mar</v>
      </c>
      <c r="X90">
        <f t="shared" si="8"/>
        <v>3</v>
      </c>
      <c r="Y90" t="str">
        <f t="shared" si="9"/>
        <v>Q1</v>
      </c>
      <c r="Z90">
        <f t="shared" si="10"/>
        <v>2025</v>
      </c>
      <c r="AA90" t="str">
        <f t="shared" si="11"/>
        <v>Sunday</v>
      </c>
      <c r="AB90">
        <f t="shared" si="12"/>
        <v>-10</v>
      </c>
      <c r="AC90" t="str">
        <f>IF(OR(D90="Heart Disease",D90="Cancer",D90="Stroke"),"High",IF(OR(D90="Diabetes",D90="Asthma"),"Medium","Low"))</f>
        <v>Low</v>
      </c>
      <c r="AD90" t="str">
        <f t="shared" si="13"/>
        <v>No</v>
      </c>
      <c r="AE90" t="str">
        <f>IF(G90&lt;=2,"Short Stay", IF(G90&lt;=7,"Normal Stay", "Long Stay"))</f>
        <v>Long Stay</v>
      </c>
      <c r="AF90" t="str">
        <f>IF(F90&gt;60000,"Expensive",IF(F90&gt;30000,"Moderate","Affordable"))</f>
        <v>Affordable</v>
      </c>
      <c r="AG90" t="str">
        <f>IF(J90&gt;=4.5,"Excellent",IF(J90&gt;=3.5,"Good",IF(J90&gt;=2.5,"Average","Poor")))</f>
        <v>Good</v>
      </c>
      <c r="AH90" t="str">
        <f>IF(OR(TEXT(N90,"dddd")="Saturday",TEXT(N90,"dddd")="Sunday"),"Weekend","Weekday")</f>
        <v>Weekend</v>
      </c>
    </row>
    <row r="91" spans="1:34" x14ac:dyDescent="0.3">
      <c r="A91">
        <v>91</v>
      </c>
      <c r="B91">
        <v>48</v>
      </c>
      <c r="C91" t="s">
        <v>21</v>
      </c>
      <c r="D91" t="s">
        <v>22</v>
      </c>
      <c r="E91" t="s">
        <v>23</v>
      </c>
      <c r="F91">
        <v>15000</v>
      </c>
      <c r="G91">
        <v>11</v>
      </c>
      <c r="H91" t="s">
        <v>38</v>
      </c>
      <c r="I91" t="s">
        <v>25</v>
      </c>
      <c r="J91">
        <v>4</v>
      </c>
      <c r="K91" t="s">
        <v>107</v>
      </c>
      <c r="L91" t="s">
        <v>297</v>
      </c>
      <c r="M91" t="s">
        <v>298</v>
      </c>
      <c r="N91" s="2">
        <v>45747</v>
      </c>
      <c r="O91" s="2">
        <v>45758</v>
      </c>
      <c r="P91" t="s">
        <v>29</v>
      </c>
      <c r="Q91" t="s">
        <v>139</v>
      </c>
      <c r="R91" t="s">
        <v>31</v>
      </c>
      <c r="S91" t="s">
        <v>110</v>
      </c>
      <c r="T91" t="s">
        <v>33</v>
      </c>
      <c r="U91" t="s">
        <v>78</v>
      </c>
      <c r="V91" t="str">
        <f>IF(B91&lt;=18,"Children",IF(B91&lt;=35,"Young adult",IF(B91&lt;=60,"Adult", "Senior Citizen")))</f>
        <v>Adult</v>
      </c>
      <c r="W91" t="str">
        <f t="shared" si="7"/>
        <v>Mar</v>
      </c>
      <c r="X91">
        <f t="shared" si="8"/>
        <v>3</v>
      </c>
      <c r="Y91" t="str">
        <f t="shared" si="9"/>
        <v>Q1</v>
      </c>
      <c r="Z91">
        <f t="shared" si="10"/>
        <v>2025</v>
      </c>
      <c r="AA91" t="str">
        <f t="shared" si="11"/>
        <v>Monday</v>
      </c>
      <c r="AB91">
        <f t="shared" si="12"/>
        <v>-11</v>
      </c>
      <c r="AC91" t="str">
        <f>IF(OR(D91="Heart Disease",D91="Cancer",D91="Stroke"),"High",IF(OR(D91="Diabetes",D91="Asthma"),"Medium","Low"))</f>
        <v>High</v>
      </c>
      <c r="AD91" t="str">
        <f t="shared" si="13"/>
        <v>Yes</v>
      </c>
      <c r="AE91" t="str">
        <f>IF(G91&lt;=2,"Short Stay", IF(G91&lt;=7,"Normal Stay", "Long Stay"))</f>
        <v>Long Stay</v>
      </c>
      <c r="AF91" t="str">
        <f>IF(F91&gt;60000,"Expensive",IF(F91&gt;30000,"Moderate","Affordable"))</f>
        <v>Affordable</v>
      </c>
      <c r="AG91" t="str">
        <f>IF(J91&gt;=4.5,"Excellent",IF(J91&gt;=3.5,"Good",IF(J91&gt;=2.5,"Average","Poor")))</f>
        <v>Good</v>
      </c>
      <c r="AH91" t="str">
        <f>IF(OR(TEXT(N91,"dddd")="Saturday",TEXT(N91,"dddd")="Sunday"),"Weekend","Weekday")</f>
        <v>Weekday</v>
      </c>
    </row>
    <row r="92" spans="1:34" x14ac:dyDescent="0.3">
      <c r="A92">
        <v>92</v>
      </c>
      <c r="B92">
        <v>65</v>
      </c>
      <c r="C92" t="s">
        <v>35</v>
      </c>
      <c r="D92" t="s">
        <v>36</v>
      </c>
      <c r="E92" t="s">
        <v>37</v>
      </c>
      <c r="F92">
        <v>2000</v>
      </c>
      <c r="G92">
        <v>9</v>
      </c>
      <c r="H92" t="s">
        <v>24</v>
      </c>
      <c r="I92" t="s">
        <v>39</v>
      </c>
      <c r="J92">
        <v>3</v>
      </c>
      <c r="K92" t="s">
        <v>194</v>
      </c>
      <c r="L92" t="s">
        <v>299</v>
      </c>
      <c r="M92" t="s">
        <v>300</v>
      </c>
      <c r="N92" s="2">
        <v>45748</v>
      </c>
      <c r="O92" s="2">
        <v>45757</v>
      </c>
      <c r="P92" t="s">
        <v>43</v>
      </c>
      <c r="Q92" t="s">
        <v>71</v>
      </c>
      <c r="R92" t="s">
        <v>45</v>
      </c>
      <c r="S92" t="s">
        <v>53</v>
      </c>
      <c r="T92" t="s">
        <v>33</v>
      </c>
      <c r="U92" t="s">
        <v>34</v>
      </c>
      <c r="V92" t="str">
        <f>IF(B92&lt;=18,"Children",IF(B92&lt;=35,"Young adult",IF(B92&lt;=60,"Adult", "Senior Citizen")))</f>
        <v>Senior Citizen</v>
      </c>
      <c r="W92" t="str">
        <f t="shared" si="7"/>
        <v>Apr</v>
      </c>
      <c r="X92">
        <f t="shared" si="8"/>
        <v>4</v>
      </c>
      <c r="Y92" t="str">
        <f t="shared" si="9"/>
        <v>Q2</v>
      </c>
      <c r="Z92">
        <f t="shared" si="10"/>
        <v>2025</v>
      </c>
      <c r="AA92" t="str">
        <f t="shared" si="11"/>
        <v>Tuesday</v>
      </c>
      <c r="AB92">
        <f t="shared" si="12"/>
        <v>-9</v>
      </c>
      <c r="AC92" t="str">
        <f>IF(OR(D92="Heart Disease",D92="Cancer",D92="Stroke"),"High",IF(OR(D92="Diabetes",D92="Asthma"),"Medium","Low"))</f>
        <v>Medium</v>
      </c>
      <c r="AD92" t="str">
        <f t="shared" si="13"/>
        <v>No</v>
      </c>
      <c r="AE92" t="str">
        <f>IF(G92&lt;=2,"Short Stay", IF(G92&lt;=7,"Normal Stay", "Long Stay"))</f>
        <v>Long Stay</v>
      </c>
      <c r="AF92" t="str">
        <f>IF(F92&gt;60000,"Expensive",IF(F92&gt;30000,"Moderate","Affordable"))</f>
        <v>Affordable</v>
      </c>
      <c r="AG92" t="str">
        <f>IF(J92&gt;=4.5,"Excellent",IF(J92&gt;=3.5,"Good",IF(J92&gt;=2.5,"Average","Poor")))</f>
        <v>Average</v>
      </c>
      <c r="AH92" t="str">
        <f>IF(OR(TEXT(N92,"dddd")="Saturday",TEXT(N92,"dddd")="Sunday"),"Weekend","Weekday")</f>
        <v>Weekday</v>
      </c>
    </row>
    <row r="93" spans="1:34" x14ac:dyDescent="0.3">
      <c r="A93">
        <v>93</v>
      </c>
      <c r="B93">
        <v>30</v>
      </c>
      <c r="C93" t="s">
        <v>21</v>
      </c>
      <c r="D93" t="s">
        <v>47</v>
      </c>
      <c r="E93" t="s">
        <v>48</v>
      </c>
      <c r="F93">
        <v>500</v>
      </c>
      <c r="G93">
        <v>7</v>
      </c>
      <c r="H93" t="s">
        <v>24</v>
      </c>
      <c r="I93" t="s">
        <v>25</v>
      </c>
      <c r="J93">
        <v>5</v>
      </c>
      <c r="K93" t="s">
        <v>125</v>
      </c>
      <c r="L93" t="s">
        <v>301</v>
      </c>
      <c r="M93" t="s">
        <v>302</v>
      </c>
      <c r="N93" s="2">
        <v>45749</v>
      </c>
      <c r="O93" s="2">
        <v>45756</v>
      </c>
      <c r="P93" t="s">
        <v>43</v>
      </c>
      <c r="Q93" t="s">
        <v>30</v>
      </c>
      <c r="R93" t="s">
        <v>45</v>
      </c>
      <c r="S93" t="s">
        <v>72</v>
      </c>
      <c r="T93" t="s">
        <v>33</v>
      </c>
      <c r="U93" t="s">
        <v>104</v>
      </c>
      <c r="V93" t="str">
        <f>IF(B93&lt;=18,"Children",IF(B93&lt;=35,"Young adult",IF(B93&lt;=60,"Adult", "Senior Citizen")))</f>
        <v>Young adult</v>
      </c>
      <c r="W93" t="str">
        <f t="shared" si="7"/>
        <v>Apr</v>
      </c>
      <c r="X93">
        <f t="shared" si="8"/>
        <v>4</v>
      </c>
      <c r="Y93" t="str">
        <f t="shared" si="9"/>
        <v>Q2</v>
      </c>
      <c r="Z93">
        <f t="shared" si="10"/>
        <v>2025</v>
      </c>
      <c r="AA93" t="str">
        <f t="shared" si="11"/>
        <v>Wednesday</v>
      </c>
      <c r="AB93">
        <f t="shared" si="12"/>
        <v>-7</v>
      </c>
      <c r="AC93" t="str">
        <f>IF(OR(D93="Heart Disease",D93="Cancer",D93="Stroke"),"High",IF(OR(D93="Diabetes",D93="Asthma"),"Medium","Low"))</f>
        <v>Low</v>
      </c>
      <c r="AD93" t="str">
        <f t="shared" si="13"/>
        <v>No</v>
      </c>
      <c r="AE93" t="str">
        <f>IF(G93&lt;=2,"Short Stay", IF(G93&lt;=7,"Normal Stay", "Long Stay"))</f>
        <v>Normal Stay</v>
      </c>
      <c r="AF93" t="str">
        <f>IF(F93&gt;60000,"Expensive",IF(F93&gt;30000,"Moderate","Affordable"))</f>
        <v>Affordable</v>
      </c>
      <c r="AG93" t="str">
        <f>IF(J93&gt;=4.5,"Excellent",IF(J93&gt;=3.5,"Good",IF(J93&gt;=2.5,"Average","Poor")))</f>
        <v>Excellent</v>
      </c>
      <c r="AH93" t="str">
        <f>IF(OR(TEXT(N93,"dddd")="Saturday",TEXT(N93,"dddd")="Sunday"),"Weekend","Weekday")</f>
        <v>Weekday</v>
      </c>
    </row>
    <row r="94" spans="1:34" x14ac:dyDescent="0.3">
      <c r="A94">
        <v>94</v>
      </c>
      <c r="B94">
        <v>70</v>
      </c>
      <c r="C94" t="s">
        <v>35</v>
      </c>
      <c r="D94" t="s">
        <v>54</v>
      </c>
      <c r="E94" t="s">
        <v>55</v>
      </c>
      <c r="F94">
        <v>10000</v>
      </c>
      <c r="G94">
        <v>13</v>
      </c>
      <c r="H94" t="s">
        <v>38</v>
      </c>
      <c r="I94" t="s">
        <v>39</v>
      </c>
      <c r="J94">
        <v>2</v>
      </c>
      <c r="K94" t="s">
        <v>223</v>
      </c>
      <c r="L94" t="s">
        <v>303</v>
      </c>
      <c r="M94" t="s">
        <v>304</v>
      </c>
      <c r="N94" s="2">
        <v>45750</v>
      </c>
      <c r="O94" s="2">
        <v>45763</v>
      </c>
      <c r="P94" t="s">
        <v>29</v>
      </c>
      <c r="Q94" t="s">
        <v>52</v>
      </c>
      <c r="R94" t="s">
        <v>59</v>
      </c>
      <c r="S94" t="s">
        <v>53</v>
      </c>
      <c r="T94" t="s">
        <v>33</v>
      </c>
      <c r="U94" t="s">
        <v>46</v>
      </c>
      <c r="V94" t="str">
        <f>IF(B94&lt;=18,"Children",IF(B94&lt;=35,"Young adult",IF(B94&lt;=60,"Adult", "Senior Citizen")))</f>
        <v>Senior Citizen</v>
      </c>
      <c r="W94" t="str">
        <f t="shared" si="7"/>
        <v>Apr</v>
      </c>
      <c r="X94">
        <f t="shared" si="8"/>
        <v>4</v>
      </c>
      <c r="Y94" t="str">
        <f t="shared" si="9"/>
        <v>Q2</v>
      </c>
      <c r="Z94">
        <f t="shared" si="10"/>
        <v>2025</v>
      </c>
      <c r="AA94" t="str">
        <f t="shared" si="11"/>
        <v>Thursday</v>
      </c>
      <c r="AB94">
        <f t="shared" si="12"/>
        <v>-13</v>
      </c>
      <c r="AC94" t="str">
        <f>IF(OR(D94="Heart Disease",D94="Cancer",D94="Stroke"),"High",IF(OR(D94="Diabetes",D94="Asthma"),"Medium","Low"))</f>
        <v>High</v>
      </c>
      <c r="AD94" t="str">
        <f t="shared" si="13"/>
        <v>Yes</v>
      </c>
      <c r="AE94" t="str">
        <f>IF(G94&lt;=2,"Short Stay", IF(G94&lt;=7,"Normal Stay", "Long Stay"))</f>
        <v>Long Stay</v>
      </c>
      <c r="AF94" t="str">
        <f>IF(F94&gt;60000,"Expensive",IF(F94&gt;30000,"Moderate","Affordable"))</f>
        <v>Affordable</v>
      </c>
      <c r="AG94" t="str">
        <f>IF(J94&gt;=4.5,"Excellent",IF(J94&gt;=3.5,"Good",IF(J94&gt;=2.5,"Average","Poor")))</f>
        <v>Poor</v>
      </c>
      <c r="AH94" t="str">
        <f>IF(OR(TEXT(N94,"dddd")="Saturday",TEXT(N94,"dddd")="Sunday"),"Weekend","Weekday")</f>
        <v>Weekday</v>
      </c>
    </row>
    <row r="95" spans="1:34" x14ac:dyDescent="0.3">
      <c r="A95">
        <v>95</v>
      </c>
      <c r="B95">
        <v>55</v>
      </c>
      <c r="C95" t="s">
        <v>21</v>
      </c>
      <c r="D95" t="s">
        <v>60</v>
      </c>
      <c r="E95" t="s">
        <v>61</v>
      </c>
      <c r="F95">
        <v>25000</v>
      </c>
      <c r="G95">
        <v>16</v>
      </c>
      <c r="H95" t="s">
        <v>24</v>
      </c>
      <c r="I95" t="s">
        <v>25</v>
      </c>
      <c r="J95">
        <v>4</v>
      </c>
      <c r="K95" t="s">
        <v>172</v>
      </c>
      <c r="L95" t="s">
        <v>305</v>
      </c>
      <c r="M95" t="s">
        <v>306</v>
      </c>
      <c r="N95" s="2">
        <v>45751</v>
      </c>
      <c r="O95" s="2">
        <v>45767</v>
      </c>
      <c r="P95" t="s">
        <v>43</v>
      </c>
      <c r="Q95" t="s">
        <v>52</v>
      </c>
      <c r="R95" t="s">
        <v>65</v>
      </c>
      <c r="S95" t="s">
        <v>110</v>
      </c>
      <c r="T95" t="s">
        <v>33</v>
      </c>
      <c r="U95" t="s">
        <v>78</v>
      </c>
      <c r="V95" t="str">
        <f>IF(B95&lt;=18,"Children",IF(B95&lt;=35,"Young adult",IF(B95&lt;=60,"Adult", "Senior Citizen")))</f>
        <v>Adult</v>
      </c>
      <c r="W95" t="str">
        <f t="shared" si="7"/>
        <v>Apr</v>
      </c>
      <c r="X95">
        <f t="shared" si="8"/>
        <v>4</v>
      </c>
      <c r="Y95" t="str">
        <f t="shared" si="9"/>
        <v>Q2</v>
      </c>
      <c r="Z95">
        <f t="shared" si="10"/>
        <v>2025</v>
      </c>
      <c r="AA95" t="str">
        <f t="shared" si="11"/>
        <v>Friday</v>
      </c>
      <c r="AB95">
        <f t="shared" si="12"/>
        <v>-16</v>
      </c>
      <c r="AC95" t="str">
        <f>IF(OR(D95="Heart Disease",D95="Cancer",D95="Stroke"),"High",IF(OR(D95="Diabetes",D95="Asthma"),"Medium","Low"))</f>
        <v>High</v>
      </c>
      <c r="AD95" t="str">
        <f t="shared" si="13"/>
        <v>Yes</v>
      </c>
      <c r="AE95" t="str">
        <f>IF(G95&lt;=2,"Short Stay", IF(G95&lt;=7,"Normal Stay", "Long Stay"))</f>
        <v>Long Stay</v>
      </c>
      <c r="AF95" t="str">
        <f>IF(F95&gt;60000,"Expensive",IF(F95&gt;30000,"Moderate","Affordable"))</f>
        <v>Affordable</v>
      </c>
      <c r="AG95" t="str">
        <f>IF(J95&gt;=4.5,"Excellent",IF(J95&gt;=3.5,"Good",IF(J95&gt;=2.5,"Average","Poor")))</f>
        <v>Good</v>
      </c>
      <c r="AH95" t="str">
        <f>IF(OR(TEXT(N95,"dddd")="Saturday",TEXT(N95,"dddd")="Sunday"),"Weekend","Weekday")</f>
        <v>Weekday</v>
      </c>
    </row>
    <row r="96" spans="1:34" x14ac:dyDescent="0.3">
      <c r="A96">
        <v>96</v>
      </c>
      <c r="B96">
        <v>68</v>
      </c>
      <c r="C96" t="s">
        <v>35</v>
      </c>
      <c r="D96" t="s">
        <v>66</v>
      </c>
      <c r="E96" t="s">
        <v>67</v>
      </c>
      <c r="F96">
        <v>1000</v>
      </c>
      <c r="G96">
        <v>8</v>
      </c>
      <c r="H96" t="s">
        <v>24</v>
      </c>
      <c r="I96" t="s">
        <v>39</v>
      </c>
      <c r="J96">
        <v>4</v>
      </c>
      <c r="K96" t="s">
        <v>149</v>
      </c>
      <c r="L96" t="s">
        <v>307</v>
      </c>
      <c r="M96" t="s">
        <v>308</v>
      </c>
      <c r="N96" s="2">
        <v>45752</v>
      </c>
      <c r="O96" s="2">
        <v>45760</v>
      </c>
      <c r="P96" t="s">
        <v>43</v>
      </c>
      <c r="Q96" t="s">
        <v>139</v>
      </c>
      <c r="R96" t="s">
        <v>45</v>
      </c>
      <c r="S96" t="s">
        <v>53</v>
      </c>
      <c r="T96" t="s">
        <v>33</v>
      </c>
      <c r="U96" t="s">
        <v>104</v>
      </c>
      <c r="V96" t="str">
        <f>IF(B96&lt;=18,"Children",IF(B96&lt;=35,"Young adult",IF(B96&lt;=60,"Adult", "Senior Citizen")))</f>
        <v>Senior Citizen</v>
      </c>
      <c r="W96" t="str">
        <f t="shared" si="7"/>
        <v>Apr</v>
      </c>
      <c r="X96">
        <f t="shared" si="8"/>
        <v>4</v>
      </c>
      <c r="Y96" t="str">
        <f t="shared" si="9"/>
        <v>Q2</v>
      </c>
      <c r="Z96">
        <f t="shared" si="10"/>
        <v>2025</v>
      </c>
      <c r="AA96" t="str">
        <f t="shared" si="11"/>
        <v>Saturday</v>
      </c>
      <c r="AB96">
        <f t="shared" si="12"/>
        <v>-8</v>
      </c>
      <c r="AC96" t="str">
        <f>IF(OR(D96="Heart Disease",D96="Cancer",D96="Stroke"),"High",IF(OR(D96="Diabetes",D96="Asthma"),"Medium","Low"))</f>
        <v>Low</v>
      </c>
      <c r="AD96" t="str">
        <f t="shared" si="13"/>
        <v>No</v>
      </c>
      <c r="AE96" t="str">
        <f>IF(G96&lt;=2,"Short Stay", IF(G96&lt;=7,"Normal Stay", "Long Stay"))</f>
        <v>Long Stay</v>
      </c>
      <c r="AF96" t="str">
        <f>IF(F96&gt;60000,"Expensive",IF(F96&gt;30000,"Moderate","Affordable"))</f>
        <v>Affordable</v>
      </c>
      <c r="AG96" t="str">
        <f>IF(J96&gt;=4.5,"Excellent",IF(J96&gt;=3.5,"Good",IF(J96&gt;=2.5,"Average","Poor")))</f>
        <v>Good</v>
      </c>
      <c r="AH96" t="str">
        <f>IF(OR(TEXT(N96,"dddd")="Saturday",TEXT(N96,"dddd")="Sunday"),"Weekend","Weekday")</f>
        <v>Weekend</v>
      </c>
    </row>
    <row r="97" spans="1:34" x14ac:dyDescent="0.3">
      <c r="A97">
        <v>97</v>
      </c>
      <c r="B97">
        <v>45</v>
      </c>
      <c r="C97" t="s">
        <v>21</v>
      </c>
      <c r="D97" t="s">
        <v>73</v>
      </c>
      <c r="E97" t="s">
        <v>74</v>
      </c>
      <c r="F97">
        <v>8000</v>
      </c>
      <c r="G97">
        <v>10</v>
      </c>
      <c r="H97" t="s">
        <v>24</v>
      </c>
      <c r="I97" t="s">
        <v>25</v>
      </c>
      <c r="J97">
        <v>3</v>
      </c>
      <c r="K97" t="s">
        <v>197</v>
      </c>
      <c r="L97" t="s">
        <v>309</v>
      </c>
      <c r="M97" t="s">
        <v>310</v>
      </c>
      <c r="N97" s="2">
        <v>45753</v>
      </c>
      <c r="O97" s="2">
        <v>45763</v>
      </c>
      <c r="P97" t="s">
        <v>29</v>
      </c>
      <c r="Q97" t="s">
        <v>30</v>
      </c>
      <c r="R97" t="s">
        <v>45</v>
      </c>
      <c r="S97" t="s">
        <v>110</v>
      </c>
      <c r="T97" t="s">
        <v>33</v>
      </c>
      <c r="U97" t="s">
        <v>46</v>
      </c>
      <c r="V97" t="str">
        <f>IF(B97&lt;=18,"Children",IF(B97&lt;=35,"Young adult",IF(B97&lt;=60,"Adult", "Senior Citizen")))</f>
        <v>Adult</v>
      </c>
      <c r="W97" t="str">
        <f t="shared" si="7"/>
        <v>Apr</v>
      </c>
      <c r="X97">
        <f t="shared" si="8"/>
        <v>4</v>
      </c>
      <c r="Y97" t="str">
        <f t="shared" si="9"/>
        <v>Q2</v>
      </c>
      <c r="Z97">
        <f t="shared" si="10"/>
        <v>2025</v>
      </c>
      <c r="AA97" t="str">
        <f t="shared" si="11"/>
        <v>Sunday</v>
      </c>
      <c r="AB97">
        <f t="shared" si="12"/>
        <v>-10</v>
      </c>
      <c r="AC97" t="str">
        <f>IF(OR(D97="Heart Disease",D97="Cancer",D97="Stroke"),"High",IF(OR(D97="Diabetes",D97="Asthma"),"Medium","Low"))</f>
        <v>Low</v>
      </c>
      <c r="AD97" t="str">
        <f t="shared" si="13"/>
        <v>No</v>
      </c>
      <c r="AE97" t="str">
        <f>IF(G97&lt;=2,"Short Stay", IF(G97&lt;=7,"Normal Stay", "Long Stay"))</f>
        <v>Long Stay</v>
      </c>
      <c r="AF97" t="str">
        <f>IF(F97&gt;60000,"Expensive",IF(F97&gt;30000,"Moderate","Affordable"))</f>
        <v>Affordable</v>
      </c>
      <c r="AG97" t="str">
        <f>IF(J97&gt;=4.5,"Excellent",IF(J97&gt;=3.5,"Good",IF(J97&gt;=2.5,"Average","Poor")))</f>
        <v>Average</v>
      </c>
      <c r="AH97" t="str">
        <f>IF(OR(TEXT(N97,"dddd")="Saturday",TEXT(N97,"dddd")="Sunday"),"Weekend","Weekday")</f>
        <v>Weekend</v>
      </c>
    </row>
    <row r="98" spans="1:34" x14ac:dyDescent="0.3">
      <c r="A98">
        <v>98</v>
      </c>
      <c r="B98">
        <v>40</v>
      </c>
      <c r="C98" t="s">
        <v>35</v>
      </c>
      <c r="D98" t="s">
        <v>79</v>
      </c>
      <c r="E98" t="s">
        <v>80</v>
      </c>
      <c r="F98">
        <v>3000</v>
      </c>
      <c r="G98">
        <v>12</v>
      </c>
      <c r="H98" t="s">
        <v>24</v>
      </c>
      <c r="I98" t="s">
        <v>25</v>
      </c>
      <c r="J98">
        <v>4</v>
      </c>
      <c r="K98" t="s">
        <v>120</v>
      </c>
      <c r="L98" t="s">
        <v>311</v>
      </c>
      <c r="M98" t="s">
        <v>312</v>
      </c>
      <c r="N98" s="2">
        <v>45754</v>
      </c>
      <c r="O98" s="2">
        <v>45766</v>
      </c>
      <c r="P98" t="s">
        <v>29</v>
      </c>
      <c r="Q98" t="s">
        <v>139</v>
      </c>
      <c r="R98" t="s">
        <v>45</v>
      </c>
      <c r="S98" t="s">
        <v>77</v>
      </c>
      <c r="T98" t="s">
        <v>33</v>
      </c>
      <c r="U98" t="s">
        <v>78</v>
      </c>
      <c r="V98" t="str">
        <f>IF(B98&lt;=18,"Children",IF(B98&lt;=35,"Young adult",IF(B98&lt;=60,"Adult", "Senior Citizen")))</f>
        <v>Adult</v>
      </c>
      <c r="W98" t="str">
        <f t="shared" si="7"/>
        <v>Apr</v>
      </c>
      <c r="X98">
        <f t="shared" si="8"/>
        <v>4</v>
      </c>
      <c r="Y98" t="str">
        <f t="shared" si="9"/>
        <v>Q2</v>
      </c>
      <c r="Z98">
        <f t="shared" si="10"/>
        <v>2025</v>
      </c>
      <c r="AA98" t="str">
        <f t="shared" si="11"/>
        <v>Monday</v>
      </c>
      <c r="AB98">
        <f t="shared" si="12"/>
        <v>-12</v>
      </c>
      <c r="AC98" t="str">
        <f>IF(OR(D98="Heart Disease",D98="Cancer",D98="Stroke"),"High",IF(OR(D98="Diabetes",D98="Asthma"),"Medium","Low"))</f>
        <v>Low</v>
      </c>
      <c r="AD98" t="str">
        <f t="shared" si="13"/>
        <v>No</v>
      </c>
      <c r="AE98" t="str">
        <f>IF(G98&lt;=2,"Short Stay", IF(G98&lt;=7,"Normal Stay", "Long Stay"))</f>
        <v>Long Stay</v>
      </c>
      <c r="AF98" t="str">
        <f>IF(F98&gt;60000,"Expensive",IF(F98&gt;30000,"Moderate","Affordable"))</f>
        <v>Affordable</v>
      </c>
      <c r="AG98" t="str">
        <f>IF(J98&gt;=4.5,"Excellent",IF(J98&gt;=3.5,"Good",IF(J98&gt;=2.5,"Average","Poor")))</f>
        <v>Good</v>
      </c>
      <c r="AH98" t="str">
        <f>IF(OR(TEXT(N98,"dddd")="Saturday",TEXT(N98,"dddd")="Sunday"),"Weekend","Weekday")</f>
        <v>Weekday</v>
      </c>
    </row>
    <row r="99" spans="1:34" x14ac:dyDescent="0.3">
      <c r="A99">
        <v>99</v>
      </c>
      <c r="B99">
        <v>78</v>
      </c>
      <c r="C99" t="s">
        <v>21</v>
      </c>
      <c r="D99" t="s">
        <v>85</v>
      </c>
      <c r="E99" t="s">
        <v>86</v>
      </c>
      <c r="F99">
        <v>18000</v>
      </c>
      <c r="G99">
        <v>14</v>
      </c>
      <c r="H99" t="s">
        <v>38</v>
      </c>
      <c r="I99" t="s">
        <v>39</v>
      </c>
      <c r="J99">
        <v>2</v>
      </c>
      <c r="K99" t="s">
        <v>187</v>
      </c>
      <c r="L99" t="s">
        <v>313</v>
      </c>
      <c r="M99" t="s">
        <v>314</v>
      </c>
      <c r="N99" s="2">
        <v>45755</v>
      </c>
      <c r="O99" s="2">
        <v>45769</v>
      </c>
      <c r="P99" t="s">
        <v>29</v>
      </c>
      <c r="Q99" t="s">
        <v>71</v>
      </c>
      <c r="R99" t="s">
        <v>45</v>
      </c>
      <c r="S99" t="s">
        <v>32</v>
      </c>
      <c r="T99" t="s">
        <v>33</v>
      </c>
      <c r="U99" t="s">
        <v>46</v>
      </c>
      <c r="V99" t="str">
        <f>IF(B99&lt;=18,"Children",IF(B99&lt;=35,"Young adult",IF(B99&lt;=60,"Adult", "Senior Citizen")))</f>
        <v>Senior Citizen</v>
      </c>
      <c r="W99" t="str">
        <f t="shared" si="7"/>
        <v>Apr</v>
      </c>
      <c r="X99">
        <f t="shared" si="8"/>
        <v>4</v>
      </c>
      <c r="Y99" t="str">
        <f t="shared" si="9"/>
        <v>Q2</v>
      </c>
      <c r="Z99">
        <f t="shared" si="10"/>
        <v>2025</v>
      </c>
      <c r="AA99" t="str">
        <f t="shared" si="11"/>
        <v>Tuesday</v>
      </c>
      <c r="AB99">
        <f t="shared" si="12"/>
        <v>-14</v>
      </c>
      <c r="AC99" t="str">
        <f>IF(OR(D99="Heart Disease",D99="Cancer",D99="Stroke"),"High",IF(OR(D99="Diabetes",D99="Asthma"),"Medium","Low"))</f>
        <v>Low</v>
      </c>
      <c r="AD99" t="str">
        <f t="shared" si="13"/>
        <v>No</v>
      </c>
      <c r="AE99" t="str">
        <f>IF(G99&lt;=2,"Short Stay", IF(G99&lt;=7,"Normal Stay", "Long Stay"))</f>
        <v>Long Stay</v>
      </c>
      <c r="AF99" t="str">
        <f>IF(F99&gt;60000,"Expensive",IF(F99&gt;30000,"Moderate","Affordable"))</f>
        <v>Affordable</v>
      </c>
      <c r="AG99" t="str">
        <f>IF(J99&gt;=4.5,"Excellent",IF(J99&gt;=3.5,"Good",IF(J99&gt;=2.5,"Average","Poor")))</f>
        <v>Poor</v>
      </c>
      <c r="AH99" t="str">
        <f>IF(OR(TEXT(N99,"dddd")="Saturday",TEXT(N99,"dddd")="Sunday"),"Weekend","Weekday")</f>
        <v>Weekday</v>
      </c>
    </row>
    <row r="100" spans="1:34" x14ac:dyDescent="0.3">
      <c r="A100">
        <v>100</v>
      </c>
      <c r="B100">
        <v>25</v>
      </c>
      <c r="C100" t="s">
        <v>35</v>
      </c>
      <c r="D100" t="s">
        <v>89</v>
      </c>
      <c r="E100" t="s">
        <v>90</v>
      </c>
      <c r="F100">
        <v>100</v>
      </c>
      <c r="G100">
        <v>7</v>
      </c>
      <c r="H100" t="s">
        <v>24</v>
      </c>
      <c r="I100" t="s">
        <v>25</v>
      </c>
      <c r="J100">
        <v>5</v>
      </c>
      <c r="K100" t="s">
        <v>175</v>
      </c>
      <c r="L100" t="s">
        <v>315</v>
      </c>
      <c r="M100" t="s">
        <v>316</v>
      </c>
      <c r="N100" s="2">
        <v>45756</v>
      </c>
      <c r="O100" s="2">
        <v>45763</v>
      </c>
      <c r="P100" t="s">
        <v>29</v>
      </c>
      <c r="Q100" t="s">
        <v>44</v>
      </c>
      <c r="R100" t="s">
        <v>45</v>
      </c>
      <c r="S100" t="s">
        <v>32</v>
      </c>
      <c r="T100" t="s">
        <v>33</v>
      </c>
      <c r="U100" t="s">
        <v>78</v>
      </c>
      <c r="V100" t="str">
        <f>IF(B100&lt;=18,"Children",IF(B100&lt;=35,"Young adult",IF(B100&lt;=60,"Adult", "Senior Citizen")))</f>
        <v>Young adult</v>
      </c>
      <c r="W100" t="str">
        <f t="shared" si="7"/>
        <v>Apr</v>
      </c>
      <c r="X100">
        <f t="shared" si="8"/>
        <v>4</v>
      </c>
      <c r="Y100" t="str">
        <f t="shared" si="9"/>
        <v>Q2</v>
      </c>
      <c r="Z100">
        <f t="shared" si="10"/>
        <v>2025</v>
      </c>
      <c r="AA100" t="str">
        <f t="shared" si="11"/>
        <v>Wednesday</v>
      </c>
      <c r="AB100">
        <f t="shared" si="12"/>
        <v>-7</v>
      </c>
      <c r="AC100" t="str">
        <f>IF(OR(D100="Heart Disease",D100="Cancer",D100="Stroke"),"High",IF(OR(D100="Diabetes",D100="Asthma"),"Medium","Low"))</f>
        <v>Low</v>
      </c>
      <c r="AD100" t="str">
        <f t="shared" si="13"/>
        <v>No</v>
      </c>
      <c r="AE100" t="str">
        <f>IF(G100&lt;=2,"Short Stay", IF(G100&lt;=7,"Normal Stay", "Long Stay"))</f>
        <v>Normal Stay</v>
      </c>
      <c r="AF100" t="str">
        <f>IF(F100&gt;60000,"Expensive",IF(F100&gt;30000,"Moderate","Affordable"))</f>
        <v>Affordable</v>
      </c>
      <c r="AG100" t="str">
        <f>IF(J100&gt;=4.5,"Excellent",IF(J100&gt;=3.5,"Good",IF(J100&gt;=2.5,"Average","Poor")))</f>
        <v>Excellent</v>
      </c>
      <c r="AH100" t="str">
        <f>IF(OR(TEXT(N100,"dddd")="Saturday",TEXT(N100,"dddd")="Sunday"),"Weekend","Weekday")</f>
        <v>Weekday</v>
      </c>
    </row>
    <row r="101" spans="1:34" x14ac:dyDescent="0.3">
      <c r="A101">
        <v>101</v>
      </c>
      <c r="B101">
        <v>52</v>
      </c>
      <c r="C101" t="s">
        <v>21</v>
      </c>
      <c r="D101" t="s">
        <v>94</v>
      </c>
      <c r="E101" t="s">
        <v>95</v>
      </c>
      <c r="F101">
        <v>800</v>
      </c>
      <c r="G101">
        <v>8</v>
      </c>
      <c r="H101" t="s">
        <v>24</v>
      </c>
      <c r="I101" t="s">
        <v>39</v>
      </c>
      <c r="J101">
        <v>4</v>
      </c>
      <c r="K101" t="s">
        <v>317</v>
      </c>
      <c r="L101" t="s">
        <v>318</v>
      </c>
      <c r="M101" t="s">
        <v>319</v>
      </c>
      <c r="N101" s="2">
        <v>45757</v>
      </c>
      <c r="O101" s="2">
        <v>45765</v>
      </c>
      <c r="P101" t="s">
        <v>29</v>
      </c>
      <c r="Q101" t="s">
        <v>52</v>
      </c>
      <c r="R101" t="s">
        <v>45</v>
      </c>
      <c r="S101" t="s">
        <v>32</v>
      </c>
      <c r="T101" t="s">
        <v>33</v>
      </c>
      <c r="U101" t="s">
        <v>46</v>
      </c>
      <c r="V101" t="str">
        <f>IF(B101&lt;=18,"Children",IF(B101&lt;=35,"Young adult",IF(B101&lt;=60,"Adult", "Senior Citizen")))</f>
        <v>Adult</v>
      </c>
      <c r="W101" t="str">
        <f t="shared" si="7"/>
        <v>Apr</v>
      </c>
      <c r="X101">
        <f t="shared" si="8"/>
        <v>4</v>
      </c>
      <c r="Y101" t="str">
        <f t="shared" si="9"/>
        <v>Q2</v>
      </c>
      <c r="Z101">
        <f t="shared" si="10"/>
        <v>2025</v>
      </c>
      <c r="AA101" t="str">
        <f t="shared" si="11"/>
        <v>Thursday</v>
      </c>
      <c r="AB101">
        <f t="shared" si="12"/>
        <v>-8</v>
      </c>
      <c r="AC101" t="str">
        <f>IF(OR(D101="Heart Disease",D101="Cancer",D101="Stroke"),"High",IF(OR(D101="Diabetes",D101="Asthma"),"Medium","Low"))</f>
        <v>Low</v>
      </c>
      <c r="AD101" t="str">
        <f t="shared" si="13"/>
        <v>No</v>
      </c>
      <c r="AE101" t="str">
        <f>IF(G101&lt;=2,"Short Stay", IF(G101&lt;=7,"Normal Stay", "Long Stay"))</f>
        <v>Long Stay</v>
      </c>
      <c r="AF101" t="str">
        <f>IF(F101&gt;60000,"Expensive",IF(F101&gt;30000,"Moderate","Affordable"))</f>
        <v>Affordable</v>
      </c>
      <c r="AG101" t="str">
        <f>IF(J101&gt;=4.5,"Excellent",IF(J101&gt;=3.5,"Good",IF(J101&gt;=2.5,"Average","Poor")))</f>
        <v>Good</v>
      </c>
      <c r="AH101" t="str">
        <f>IF(OR(TEXT(N101,"dddd")="Saturday",TEXT(N101,"dddd")="Sunday"),"Weekend","Weekday")</f>
        <v>Weekday</v>
      </c>
    </row>
    <row r="102" spans="1:34" x14ac:dyDescent="0.3">
      <c r="A102">
        <v>102</v>
      </c>
      <c r="B102">
        <v>58</v>
      </c>
      <c r="C102" t="s">
        <v>35</v>
      </c>
      <c r="D102" t="s">
        <v>99</v>
      </c>
      <c r="E102" t="s">
        <v>100</v>
      </c>
      <c r="F102">
        <v>20000</v>
      </c>
      <c r="G102">
        <v>15</v>
      </c>
      <c r="H102" t="s">
        <v>24</v>
      </c>
      <c r="I102" t="s">
        <v>25</v>
      </c>
      <c r="J102">
        <v>3</v>
      </c>
      <c r="K102" t="s">
        <v>245</v>
      </c>
      <c r="L102" t="s">
        <v>320</v>
      </c>
      <c r="M102" t="s">
        <v>321</v>
      </c>
      <c r="N102" s="2">
        <v>45758</v>
      </c>
      <c r="O102" s="2">
        <v>45773</v>
      </c>
      <c r="P102" t="s">
        <v>43</v>
      </c>
      <c r="Q102" t="s">
        <v>139</v>
      </c>
      <c r="R102" t="s">
        <v>45</v>
      </c>
      <c r="S102" t="s">
        <v>72</v>
      </c>
      <c r="T102" t="s">
        <v>33</v>
      </c>
      <c r="U102" t="s">
        <v>104</v>
      </c>
      <c r="V102" t="str">
        <f>IF(B102&lt;=18,"Children",IF(B102&lt;=35,"Young adult",IF(B102&lt;=60,"Adult", "Senior Citizen")))</f>
        <v>Adult</v>
      </c>
      <c r="W102" t="str">
        <f t="shared" si="7"/>
        <v>Apr</v>
      </c>
      <c r="X102">
        <f t="shared" si="8"/>
        <v>4</v>
      </c>
      <c r="Y102" t="str">
        <f t="shared" si="9"/>
        <v>Q2</v>
      </c>
      <c r="Z102">
        <f t="shared" si="10"/>
        <v>2025</v>
      </c>
      <c r="AA102" t="str">
        <f t="shared" si="11"/>
        <v>Friday</v>
      </c>
      <c r="AB102">
        <f t="shared" si="12"/>
        <v>-15</v>
      </c>
      <c r="AC102" t="str">
        <f>IF(OR(D102="Heart Disease",D102="Cancer",D102="Stroke"),"High",IF(OR(D102="Diabetes",D102="Asthma"),"Medium","Low"))</f>
        <v>Low</v>
      </c>
      <c r="AD102" t="str">
        <f t="shared" si="13"/>
        <v>No</v>
      </c>
      <c r="AE102" t="str">
        <f>IF(G102&lt;=2,"Short Stay", IF(G102&lt;=7,"Normal Stay", "Long Stay"))</f>
        <v>Long Stay</v>
      </c>
      <c r="AF102" t="str">
        <f>IF(F102&gt;60000,"Expensive",IF(F102&gt;30000,"Moderate","Affordable"))</f>
        <v>Affordable</v>
      </c>
      <c r="AG102" t="str">
        <f>IF(J102&gt;=4.5,"Excellent",IF(J102&gt;=3.5,"Good",IF(J102&gt;=2.5,"Average","Poor")))</f>
        <v>Average</v>
      </c>
      <c r="AH102" t="str">
        <f>IF(OR(TEXT(N102,"dddd")="Saturday",TEXT(N102,"dddd")="Sunday"),"Weekend","Weekday")</f>
        <v>Weekday</v>
      </c>
    </row>
    <row r="103" spans="1:34" x14ac:dyDescent="0.3">
      <c r="A103">
        <v>103</v>
      </c>
      <c r="B103">
        <v>32</v>
      </c>
      <c r="C103" t="s">
        <v>21</v>
      </c>
      <c r="D103" t="s">
        <v>105</v>
      </c>
      <c r="E103" t="s">
        <v>106</v>
      </c>
      <c r="F103">
        <v>12000</v>
      </c>
      <c r="G103">
        <v>9</v>
      </c>
      <c r="H103" t="s">
        <v>24</v>
      </c>
      <c r="I103" t="s">
        <v>25</v>
      </c>
      <c r="J103">
        <v>4</v>
      </c>
      <c r="K103" t="s">
        <v>91</v>
      </c>
      <c r="L103" t="s">
        <v>322</v>
      </c>
      <c r="M103" t="s">
        <v>323</v>
      </c>
      <c r="N103" s="2">
        <v>45759</v>
      </c>
      <c r="O103" s="2">
        <v>45768</v>
      </c>
      <c r="P103" t="s">
        <v>43</v>
      </c>
      <c r="Q103" t="s">
        <v>52</v>
      </c>
      <c r="R103" t="s">
        <v>45</v>
      </c>
      <c r="S103" t="s">
        <v>72</v>
      </c>
      <c r="T103" t="s">
        <v>33</v>
      </c>
      <c r="U103" t="s">
        <v>46</v>
      </c>
      <c r="V103" t="str">
        <f>IF(B103&lt;=18,"Children",IF(B103&lt;=35,"Young adult",IF(B103&lt;=60,"Adult", "Senior Citizen")))</f>
        <v>Young adult</v>
      </c>
      <c r="W103" t="str">
        <f t="shared" si="7"/>
        <v>Apr</v>
      </c>
      <c r="X103">
        <f t="shared" si="8"/>
        <v>4</v>
      </c>
      <c r="Y103" t="str">
        <f t="shared" si="9"/>
        <v>Q2</v>
      </c>
      <c r="Z103">
        <f t="shared" si="10"/>
        <v>2025</v>
      </c>
      <c r="AA103" t="str">
        <f t="shared" si="11"/>
        <v>Saturday</v>
      </c>
      <c r="AB103">
        <f t="shared" si="12"/>
        <v>-9</v>
      </c>
      <c r="AC103" t="str">
        <f>IF(OR(D103="Heart Disease",D103="Cancer",D103="Stroke"),"High",IF(OR(D103="Diabetes",D103="Asthma"),"Medium","Low"))</f>
        <v>Low</v>
      </c>
      <c r="AD103" t="str">
        <f t="shared" si="13"/>
        <v>No</v>
      </c>
      <c r="AE103" t="str">
        <f>IF(G103&lt;=2,"Short Stay", IF(G103&lt;=7,"Normal Stay", "Long Stay"))</f>
        <v>Long Stay</v>
      </c>
      <c r="AF103" t="str">
        <f>IF(F103&gt;60000,"Expensive",IF(F103&gt;30000,"Moderate","Affordable"))</f>
        <v>Affordable</v>
      </c>
      <c r="AG103" t="str">
        <f>IF(J103&gt;=4.5,"Excellent",IF(J103&gt;=3.5,"Good",IF(J103&gt;=2.5,"Average","Poor")))</f>
        <v>Good</v>
      </c>
      <c r="AH103" t="str">
        <f>IF(OR(TEXT(N103,"dddd")="Saturday",TEXT(N103,"dddd")="Sunday"),"Weekend","Weekday")</f>
        <v>Weekend</v>
      </c>
    </row>
    <row r="104" spans="1:34" x14ac:dyDescent="0.3">
      <c r="A104">
        <v>104</v>
      </c>
      <c r="B104">
        <v>55</v>
      </c>
      <c r="C104" t="s">
        <v>35</v>
      </c>
      <c r="D104" t="s">
        <v>111</v>
      </c>
      <c r="E104" t="s">
        <v>112</v>
      </c>
      <c r="F104">
        <v>6000</v>
      </c>
      <c r="G104">
        <v>10</v>
      </c>
      <c r="H104" t="s">
        <v>24</v>
      </c>
      <c r="I104" t="s">
        <v>25</v>
      </c>
      <c r="J104">
        <v>3</v>
      </c>
      <c r="K104" t="s">
        <v>324</v>
      </c>
      <c r="L104" t="s">
        <v>325</v>
      </c>
      <c r="M104" t="s">
        <v>326</v>
      </c>
      <c r="N104" s="2">
        <v>45760</v>
      </c>
      <c r="O104" s="2">
        <v>45770</v>
      </c>
      <c r="P104" t="s">
        <v>43</v>
      </c>
      <c r="Q104" t="s">
        <v>52</v>
      </c>
      <c r="R104" t="s">
        <v>45</v>
      </c>
      <c r="S104" t="s">
        <v>32</v>
      </c>
      <c r="T104" t="s">
        <v>33</v>
      </c>
      <c r="U104" t="s">
        <v>46</v>
      </c>
      <c r="V104" t="str">
        <f>IF(B104&lt;=18,"Children",IF(B104&lt;=35,"Young adult",IF(B104&lt;=60,"Adult", "Senior Citizen")))</f>
        <v>Adult</v>
      </c>
      <c r="W104" t="str">
        <f t="shared" si="7"/>
        <v>Apr</v>
      </c>
      <c r="X104">
        <f t="shared" si="8"/>
        <v>4</v>
      </c>
      <c r="Y104" t="str">
        <f t="shared" si="9"/>
        <v>Q2</v>
      </c>
      <c r="Z104">
        <f t="shared" si="10"/>
        <v>2025</v>
      </c>
      <c r="AA104" t="str">
        <f t="shared" si="11"/>
        <v>Sunday</v>
      </c>
      <c r="AB104">
        <f t="shared" si="12"/>
        <v>-10</v>
      </c>
      <c r="AC104" t="str">
        <f>IF(OR(D104="Heart Disease",D104="Cancer",D104="Stroke"),"High",IF(OR(D104="Diabetes",D104="Asthma"),"Medium","Low"))</f>
        <v>Low</v>
      </c>
      <c r="AD104" t="str">
        <f t="shared" si="13"/>
        <v>No</v>
      </c>
      <c r="AE104" t="str">
        <f>IF(G104&lt;=2,"Short Stay", IF(G104&lt;=7,"Normal Stay", "Long Stay"))</f>
        <v>Long Stay</v>
      </c>
      <c r="AF104" t="str">
        <f>IF(F104&gt;60000,"Expensive",IF(F104&gt;30000,"Moderate","Affordable"))</f>
        <v>Affordable</v>
      </c>
      <c r="AG104" t="str">
        <f>IF(J104&gt;=4.5,"Excellent",IF(J104&gt;=3.5,"Good",IF(J104&gt;=2.5,"Average","Poor")))</f>
        <v>Average</v>
      </c>
      <c r="AH104" t="str">
        <f>IF(OR(TEXT(N104,"dddd")="Saturday",TEXT(N104,"dddd")="Sunday"),"Weekend","Weekday")</f>
        <v>Weekend</v>
      </c>
    </row>
    <row r="105" spans="1:34" x14ac:dyDescent="0.3">
      <c r="A105">
        <v>105</v>
      </c>
      <c r="B105">
        <v>65</v>
      </c>
      <c r="C105" t="s">
        <v>21</v>
      </c>
      <c r="D105" t="s">
        <v>116</v>
      </c>
      <c r="E105" t="s">
        <v>117</v>
      </c>
      <c r="F105">
        <v>4000</v>
      </c>
      <c r="G105">
        <v>11</v>
      </c>
      <c r="H105" t="s">
        <v>24</v>
      </c>
      <c r="I105" t="s">
        <v>39</v>
      </c>
      <c r="J105">
        <v>4</v>
      </c>
      <c r="K105" t="s">
        <v>120</v>
      </c>
      <c r="L105" t="s">
        <v>327</v>
      </c>
      <c r="M105" t="s">
        <v>328</v>
      </c>
      <c r="N105" s="2">
        <v>45761</v>
      </c>
      <c r="O105" s="2">
        <v>45772</v>
      </c>
      <c r="P105" t="s">
        <v>29</v>
      </c>
      <c r="Q105" t="s">
        <v>52</v>
      </c>
      <c r="R105" t="s">
        <v>45</v>
      </c>
      <c r="S105" t="s">
        <v>32</v>
      </c>
      <c r="T105" t="s">
        <v>33</v>
      </c>
      <c r="U105" t="s">
        <v>46</v>
      </c>
      <c r="V105" t="str">
        <f>IF(B105&lt;=18,"Children",IF(B105&lt;=35,"Young adult",IF(B105&lt;=60,"Adult", "Senior Citizen")))</f>
        <v>Senior Citizen</v>
      </c>
      <c r="W105" t="str">
        <f t="shared" si="7"/>
        <v>Apr</v>
      </c>
      <c r="X105">
        <f t="shared" si="8"/>
        <v>4</v>
      </c>
      <c r="Y105" t="str">
        <f t="shared" si="9"/>
        <v>Q2</v>
      </c>
      <c r="Z105">
        <f t="shared" si="10"/>
        <v>2025</v>
      </c>
      <c r="AA105" t="str">
        <f t="shared" si="11"/>
        <v>Monday</v>
      </c>
      <c r="AB105">
        <f t="shared" si="12"/>
        <v>-11</v>
      </c>
      <c r="AC105" t="str">
        <f>IF(OR(D105="Heart Disease",D105="Cancer",D105="Stroke"),"High",IF(OR(D105="Diabetes",D105="Asthma"),"Medium","Low"))</f>
        <v>Low</v>
      </c>
      <c r="AD105" t="str">
        <f t="shared" si="13"/>
        <v>No</v>
      </c>
      <c r="AE105" t="str">
        <f>IF(G105&lt;=2,"Short Stay", IF(G105&lt;=7,"Normal Stay", "Long Stay"))</f>
        <v>Long Stay</v>
      </c>
      <c r="AF105" t="str">
        <f>IF(F105&gt;60000,"Expensive",IF(F105&gt;30000,"Moderate","Affordable"))</f>
        <v>Affordable</v>
      </c>
      <c r="AG105" t="str">
        <f>IF(J105&gt;=4.5,"Excellent",IF(J105&gt;=3.5,"Good",IF(J105&gt;=2.5,"Average","Poor")))</f>
        <v>Good</v>
      </c>
      <c r="AH105" t="str">
        <f>IF(OR(TEXT(N105,"dddd")="Saturday",TEXT(N105,"dddd")="Sunday"),"Weekend","Weekday")</f>
        <v>Weekday</v>
      </c>
    </row>
    <row r="106" spans="1:34" x14ac:dyDescent="0.3">
      <c r="A106">
        <v>106</v>
      </c>
      <c r="B106">
        <v>55</v>
      </c>
      <c r="C106" t="s">
        <v>21</v>
      </c>
      <c r="D106" t="s">
        <v>22</v>
      </c>
      <c r="E106" t="s">
        <v>23</v>
      </c>
      <c r="F106">
        <v>15000</v>
      </c>
      <c r="G106">
        <v>12</v>
      </c>
      <c r="H106" t="s">
        <v>38</v>
      </c>
      <c r="I106" t="s">
        <v>25</v>
      </c>
      <c r="J106">
        <v>3</v>
      </c>
      <c r="K106" t="s">
        <v>329</v>
      </c>
      <c r="L106" t="s">
        <v>330</v>
      </c>
      <c r="M106" t="s">
        <v>331</v>
      </c>
      <c r="N106" s="2">
        <v>45762</v>
      </c>
      <c r="O106" s="2">
        <v>45774</v>
      </c>
      <c r="P106" t="s">
        <v>29</v>
      </c>
      <c r="Q106" t="s">
        <v>139</v>
      </c>
      <c r="R106" t="s">
        <v>31</v>
      </c>
      <c r="S106" t="s">
        <v>53</v>
      </c>
      <c r="T106" t="s">
        <v>33</v>
      </c>
      <c r="U106" t="s">
        <v>104</v>
      </c>
      <c r="V106" t="str">
        <f>IF(B106&lt;=18,"Children",IF(B106&lt;=35,"Young adult",IF(B106&lt;=60,"Adult", "Senior Citizen")))</f>
        <v>Adult</v>
      </c>
      <c r="W106" t="str">
        <f t="shared" si="7"/>
        <v>Apr</v>
      </c>
      <c r="X106">
        <f t="shared" si="8"/>
        <v>4</v>
      </c>
      <c r="Y106" t="str">
        <f t="shared" si="9"/>
        <v>Q2</v>
      </c>
      <c r="Z106">
        <f t="shared" si="10"/>
        <v>2025</v>
      </c>
      <c r="AA106" t="str">
        <f t="shared" si="11"/>
        <v>Tuesday</v>
      </c>
      <c r="AB106">
        <f t="shared" si="12"/>
        <v>-12</v>
      </c>
      <c r="AC106" t="str">
        <f>IF(OR(D106="Heart Disease",D106="Cancer",D106="Stroke"),"High",IF(OR(D106="Diabetes",D106="Asthma"),"Medium","Low"))</f>
        <v>High</v>
      </c>
      <c r="AD106" t="str">
        <f t="shared" si="13"/>
        <v>Yes</v>
      </c>
      <c r="AE106" t="str">
        <f>IF(G106&lt;=2,"Short Stay", IF(G106&lt;=7,"Normal Stay", "Long Stay"))</f>
        <v>Long Stay</v>
      </c>
      <c r="AF106" t="str">
        <f>IF(F106&gt;60000,"Expensive",IF(F106&gt;30000,"Moderate","Affordable"))</f>
        <v>Affordable</v>
      </c>
      <c r="AG106" t="str">
        <f>IF(J106&gt;=4.5,"Excellent",IF(J106&gt;=3.5,"Good",IF(J106&gt;=2.5,"Average","Poor")))</f>
        <v>Average</v>
      </c>
      <c r="AH106" t="str">
        <f>IF(OR(TEXT(N106,"dddd")="Saturday",TEXT(N106,"dddd")="Sunday"),"Weekend","Weekday")</f>
        <v>Weekday</v>
      </c>
    </row>
    <row r="107" spans="1:34" x14ac:dyDescent="0.3">
      <c r="A107">
        <v>107</v>
      </c>
      <c r="B107">
        <v>62</v>
      </c>
      <c r="C107" t="s">
        <v>35</v>
      </c>
      <c r="D107" t="s">
        <v>36</v>
      </c>
      <c r="E107" t="s">
        <v>37</v>
      </c>
      <c r="F107">
        <v>2000</v>
      </c>
      <c r="G107">
        <v>10</v>
      </c>
      <c r="H107" t="s">
        <v>24</v>
      </c>
      <c r="I107" t="s">
        <v>39</v>
      </c>
      <c r="J107">
        <v>4</v>
      </c>
      <c r="K107" t="s">
        <v>250</v>
      </c>
      <c r="L107" t="s">
        <v>332</v>
      </c>
      <c r="M107" t="s">
        <v>333</v>
      </c>
      <c r="N107" s="2">
        <v>45763</v>
      </c>
      <c r="O107" s="2">
        <v>45773</v>
      </c>
      <c r="P107" t="s">
        <v>29</v>
      </c>
      <c r="Q107" t="s">
        <v>71</v>
      </c>
      <c r="R107" t="s">
        <v>45</v>
      </c>
      <c r="S107" t="s">
        <v>72</v>
      </c>
      <c r="T107" t="s">
        <v>33</v>
      </c>
      <c r="U107" t="s">
        <v>104</v>
      </c>
      <c r="V107" t="str">
        <f>IF(B107&lt;=18,"Children",IF(B107&lt;=35,"Young adult",IF(B107&lt;=60,"Adult", "Senior Citizen")))</f>
        <v>Senior Citizen</v>
      </c>
      <c r="W107" t="str">
        <f t="shared" si="7"/>
        <v>Apr</v>
      </c>
      <c r="X107">
        <f t="shared" si="8"/>
        <v>4</v>
      </c>
      <c r="Y107" t="str">
        <f t="shared" si="9"/>
        <v>Q2</v>
      </c>
      <c r="Z107">
        <f t="shared" si="10"/>
        <v>2025</v>
      </c>
      <c r="AA107" t="str">
        <f t="shared" si="11"/>
        <v>Wednesday</v>
      </c>
      <c r="AB107">
        <f t="shared" si="12"/>
        <v>-10</v>
      </c>
      <c r="AC107" t="str">
        <f>IF(OR(D107="Heart Disease",D107="Cancer",D107="Stroke"),"High",IF(OR(D107="Diabetes",D107="Asthma"),"Medium","Low"))</f>
        <v>Medium</v>
      </c>
      <c r="AD107" t="str">
        <f t="shared" si="13"/>
        <v>No</v>
      </c>
      <c r="AE107" t="str">
        <f>IF(G107&lt;=2,"Short Stay", IF(G107&lt;=7,"Normal Stay", "Long Stay"))</f>
        <v>Long Stay</v>
      </c>
      <c r="AF107" t="str">
        <f>IF(F107&gt;60000,"Expensive",IF(F107&gt;30000,"Moderate","Affordable"))</f>
        <v>Affordable</v>
      </c>
      <c r="AG107" t="str">
        <f>IF(J107&gt;=4.5,"Excellent",IF(J107&gt;=3.5,"Good",IF(J107&gt;=2.5,"Average","Poor")))</f>
        <v>Good</v>
      </c>
      <c r="AH107" t="str">
        <f>IF(OR(TEXT(N107,"dddd")="Saturday",TEXT(N107,"dddd")="Sunday"),"Weekend","Weekday")</f>
        <v>Weekday</v>
      </c>
    </row>
    <row r="108" spans="1:34" x14ac:dyDescent="0.3">
      <c r="A108">
        <v>108</v>
      </c>
      <c r="B108">
        <v>35</v>
      </c>
      <c r="C108" t="s">
        <v>21</v>
      </c>
      <c r="D108" t="s">
        <v>47</v>
      </c>
      <c r="E108" t="s">
        <v>48</v>
      </c>
      <c r="F108">
        <v>500</v>
      </c>
      <c r="G108">
        <v>8</v>
      </c>
      <c r="H108" t="s">
        <v>38</v>
      </c>
      <c r="I108" t="s">
        <v>25</v>
      </c>
      <c r="J108">
        <v>5</v>
      </c>
      <c r="K108" t="s">
        <v>210</v>
      </c>
      <c r="L108" t="s">
        <v>334</v>
      </c>
      <c r="M108" t="s">
        <v>335</v>
      </c>
      <c r="N108" s="2">
        <v>45764</v>
      </c>
      <c r="O108" s="2">
        <v>45772</v>
      </c>
      <c r="P108" t="s">
        <v>29</v>
      </c>
      <c r="Q108" t="s">
        <v>30</v>
      </c>
      <c r="R108" t="s">
        <v>45</v>
      </c>
      <c r="S108" t="s">
        <v>110</v>
      </c>
      <c r="T108" t="s">
        <v>33</v>
      </c>
      <c r="U108" t="s">
        <v>46</v>
      </c>
      <c r="V108" t="str">
        <f>IF(B108&lt;=18,"Children",IF(B108&lt;=35,"Young adult",IF(B108&lt;=60,"Adult", "Senior Citizen")))</f>
        <v>Young adult</v>
      </c>
      <c r="W108" t="str">
        <f t="shared" si="7"/>
        <v>Apr</v>
      </c>
      <c r="X108">
        <f t="shared" si="8"/>
        <v>4</v>
      </c>
      <c r="Y108" t="str">
        <f t="shared" si="9"/>
        <v>Q2</v>
      </c>
      <c r="Z108">
        <f t="shared" si="10"/>
        <v>2025</v>
      </c>
      <c r="AA108" t="str">
        <f t="shared" si="11"/>
        <v>Thursday</v>
      </c>
      <c r="AB108">
        <f t="shared" si="12"/>
        <v>-8</v>
      </c>
      <c r="AC108" t="str">
        <f>IF(OR(D108="Heart Disease",D108="Cancer",D108="Stroke"),"High",IF(OR(D108="Diabetes",D108="Asthma"),"Medium","Low"))</f>
        <v>Low</v>
      </c>
      <c r="AD108" t="str">
        <f t="shared" si="13"/>
        <v>No</v>
      </c>
      <c r="AE108" t="str">
        <f>IF(G108&lt;=2,"Short Stay", IF(G108&lt;=7,"Normal Stay", "Long Stay"))</f>
        <v>Long Stay</v>
      </c>
      <c r="AF108" t="str">
        <f>IF(F108&gt;60000,"Expensive",IF(F108&gt;30000,"Moderate","Affordable"))</f>
        <v>Affordable</v>
      </c>
      <c r="AG108" t="str">
        <f>IF(J108&gt;=4.5,"Excellent",IF(J108&gt;=3.5,"Good",IF(J108&gt;=2.5,"Average","Poor")))</f>
        <v>Excellent</v>
      </c>
      <c r="AH108" t="str">
        <f>IF(OR(TEXT(N108,"dddd")="Saturday",TEXT(N108,"dddd")="Sunday"),"Weekend","Weekday")</f>
        <v>Weekday</v>
      </c>
    </row>
    <row r="109" spans="1:34" x14ac:dyDescent="0.3">
      <c r="A109">
        <v>109</v>
      </c>
      <c r="B109">
        <v>78</v>
      </c>
      <c r="C109" t="s">
        <v>35</v>
      </c>
      <c r="D109" t="s">
        <v>54</v>
      </c>
      <c r="E109" t="s">
        <v>55</v>
      </c>
      <c r="F109">
        <v>10000</v>
      </c>
      <c r="G109">
        <v>14</v>
      </c>
      <c r="H109" t="s">
        <v>24</v>
      </c>
      <c r="I109" t="s">
        <v>39</v>
      </c>
      <c r="J109">
        <v>2</v>
      </c>
      <c r="K109" t="s">
        <v>336</v>
      </c>
      <c r="L109" t="s">
        <v>337</v>
      </c>
      <c r="M109" t="s">
        <v>338</v>
      </c>
      <c r="N109" s="2">
        <v>45765</v>
      </c>
      <c r="O109" s="2">
        <v>45779</v>
      </c>
      <c r="P109" t="s">
        <v>29</v>
      </c>
      <c r="Q109" t="s">
        <v>30</v>
      </c>
      <c r="R109" t="s">
        <v>59</v>
      </c>
      <c r="S109" t="s">
        <v>110</v>
      </c>
      <c r="T109" t="s">
        <v>33</v>
      </c>
      <c r="U109" t="s">
        <v>46</v>
      </c>
      <c r="V109" t="str">
        <f>IF(B109&lt;=18,"Children",IF(B109&lt;=35,"Young adult",IF(B109&lt;=60,"Adult", "Senior Citizen")))</f>
        <v>Senior Citizen</v>
      </c>
      <c r="W109" t="str">
        <f t="shared" si="7"/>
        <v>Apr</v>
      </c>
      <c r="X109">
        <f t="shared" si="8"/>
        <v>4</v>
      </c>
      <c r="Y109" t="str">
        <f t="shared" si="9"/>
        <v>Q2</v>
      </c>
      <c r="Z109">
        <f t="shared" si="10"/>
        <v>2025</v>
      </c>
      <c r="AA109" t="str">
        <f t="shared" si="11"/>
        <v>Friday</v>
      </c>
      <c r="AB109">
        <f t="shared" si="12"/>
        <v>-14</v>
      </c>
      <c r="AC109" t="str">
        <f>IF(OR(D109="Heart Disease",D109="Cancer",D109="Stroke"),"High",IF(OR(D109="Diabetes",D109="Asthma"),"Medium","Low"))</f>
        <v>High</v>
      </c>
      <c r="AD109" t="str">
        <f t="shared" si="13"/>
        <v>Yes</v>
      </c>
      <c r="AE109" t="str">
        <f>IF(G109&lt;=2,"Short Stay", IF(G109&lt;=7,"Normal Stay", "Long Stay"))</f>
        <v>Long Stay</v>
      </c>
      <c r="AF109" t="str">
        <f>IF(F109&gt;60000,"Expensive",IF(F109&gt;30000,"Moderate","Affordable"))</f>
        <v>Affordable</v>
      </c>
      <c r="AG109" t="str">
        <f>IF(J109&gt;=4.5,"Excellent",IF(J109&gt;=3.5,"Good",IF(J109&gt;=2.5,"Average","Poor")))</f>
        <v>Poor</v>
      </c>
      <c r="AH109" t="str">
        <f>IF(OR(TEXT(N109,"dddd")="Saturday",TEXT(N109,"dddd")="Sunday"),"Weekend","Weekday")</f>
        <v>Weekday</v>
      </c>
    </row>
    <row r="110" spans="1:34" x14ac:dyDescent="0.3">
      <c r="A110">
        <v>110</v>
      </c>
      <c r="B110">
        <v>53</v>
      </c>
      <c r="C110" t="s">
        <v>21</v>
      </c>
      <c r="D110" t="s">
        <v>60</v>
      </c>
      <c r="E110" t="s">
        <v>61</v>
      </c>
      <c r="F110">
        <v>25000</v>
      </c>
      <c r="G110">
        <v>17</v>
      </c>
      <c r="H110" t="s">
        <v>38</v>
      </c>
      <c r="I110" t="s">
        <v>25</v>
      </c>
      <c r="J110">
        <v>4</v>
      </c>
      <c r="K110" t="s">
        <v>107</v>
      </c>
      <c r="L110" t="s">
        <v>339</v>
      </c>
      <c r="M110" t="s">
        <v>340</v>
      </c>
      <c r="N110" s="2">
        <v>45766</v>
      </c>
      <c r="O110" s="2">
        <v>45783</v>
      </c>
      <c r="P110" t="s">
        <v>43</v>
      </c>
      <c r="Q110" t="s">
        <v>139</v>
      </c>
      <c r="R110" t="s">
        <v>65</v>
      </c>
      <c r="S110" t="s">
        <v>84</v>
      </c>
      <c r="T110" t="s">
        <v>33</v>
      </c>
      <c r="U110" t="s">
        <v>78</v>
      </c>
      <c r="V110" t="str">
        <f>IF(B110&lt;=18,"Children",IF(B110&lt;=35,"Young adult",IF(B110&lt;=60,"Adult", "Senior Citizen")))</f>
        <v>Adult</v>
      </c>
      <c r="W110" t="str">
        <f t="shared" si="7"/>
        <v>Apr</v>
      </c>
      <c r="X110">
        <f t="shared" si="8"/>
        <v>4</v>
      </c>
      <c r="Y110" t="str">
        <f t="shared" si="9"/>
        <v>Q2</v>
      </c>
      <c r="Z110">
        <f t="shared" si="10"/>
        <v>2025</v>
      </c>
      <c r="AA110" t="str">
        <f t="shared" si="11"/>
        <v>Saturday</v>
      </c>
      <c r="AB110">
        <f t="shared" si="12"/>
        <v>-17</v>
      </c>
      <c r="AC110" t="str">
        <f>IF(OR(D110="Heart Disease",D110="Cancer",D110="Stroke"),"High",IF(OR(D110="Diabetes",D110="Asthma"),"Medium","Low"))</f>
        <v>High</v>
      </c>
      <c r="AD110" t="str">
        <f t="shared" si="13"/>
        <v>Yes</v>
      </c>
      <c r="AE110" t="str">
        <f>IF(G110&lt;=2,"Short Stay", IF(G110&lt;=7,"Normal Stay", "Long Stay"))</f>
        <v>Long Stay</v>
      </c>
      <c r="AF110" t="str">
        <f>IF(F110&gt;60000,"Expensive",IF(F110&gt;30000,"Moderate","Affordable"))</f>
        <v>Affordable</v>
      </c>
      <c r="AG110" t="str">
        <f>IF(J110&gt;=4.5,"Excellent",IF(J110&gt;=3.5,"Good",IF(J110&gt;=2.5,"Average","Poor")))</f>
        <v>Good</v>
      </c>
      <c r="AH110" t="str">
        <f>IF(OR(TEXT(N110,"dddd")="Saturday",TEXT(N110,"dddd")="Sunday"),"Weekend","Weekday")</f>
        <v>Weekend</v>
      </c>
    </row>
    <row r="111" spans="1:34" x14ac:dyDescent="0.3">
      <c r="A111">
        <v>111</v>
      </c>
      <c r="B111">
        <v>72</v>
      </c>
      <c r="C111" t="s">
        <v>35</v>
      </c>
      <c r="D111" t="s">
        <v>66</v>
      </c>
      <c r="E111" t="s">
        <v>67</v>
      </c>
      <c r="F111">
        <v>1000</v>
      </c>
      <c r="G111">
        <v>9</v>
      </c>
      <c r="H111" t="s">
        <v>24</v>
      </c>
      <c r="I111" t="s">
        <v>39</v>
      </c>
      <c r="J111">
        <v>4</v>
      </c>
      <c r="K111" t="s">
        <v>317</v>
      </c>
      <c r="L111" t="s">
        <v>341</v>
      </c>
      <c r="M111" t="s">
        <v>342</v>
      </c>
      <c r="N111" s="2">
        <v>45767</v>
      </c>
      <c r="O111" s="2">
        <v>45776</v>
      </c>
      <c r="P111" t="s">
        <v>29</v>
      </c>
      <c r="Q111" t="s">
        <v>71</v>
      </c>
      <c r="R111" t="s">
        <v>45</v>
      </c>
      <c r="S111" t="s">
        <v>32</v>
      </c>
      <c r="T111" t="s">
        <v>33</v>
      </c>
      <c r="U111" t="s">
        <v>78</v>
      </c>
      <c r="V111" t="str">
        <f>IF(B111&lt;=18,"Children",IF(B111&lt;=35,"Young adult",IF(B111&lt;=60,"Adult", "Senior Citizen")))</f>
        <v>Senior Citizen</v>
      </c>
      <c r="W111" t="str">
        <f t="shared" si="7"/>
        <v>Apr</v>
      </c>
      <c r="X111">
        <f t="shared" si="8"/>
        <v>4</v>
      </c>
      <c r="Y111" t="str">
        <f t="shared" si="9"/>
        <v>Q2</v>
      </c>
      <c r="Z111">
        <f t="shared" si="10"/>
        <v>2025</v>
      </c>
      <c r="AA111" t="str">
        <f t="shared" si="11"/>
        <v>Sunday</v>
      </c>
      <c r="AB111">
        <f t="shared" si="12"/>
        <v>-9</v>
      </c>
      <c r="AC111" t="str">
        <f>IF(OR(D111="Heart Disease",D111="Cancer",D111="Stroke"),"High",IF(OR(D111="Diabetes",D111="Asthma"),"Medium","Low"))</f>
        <v>Low</v>
      </c>
      <c r="AD111" t="str">
        <f t="shared" si="13"/>
        <v>No</v>
      </c>
      <c r="AE111" t="str">
        <f>IF(G111&lt;=2,"Short Stay", IF(G111&lt;=7,"Normal Stay", "Long Stay"))</f>
        <v>Long Stay</v>
      </c>
      <c r="AF111" t="str">
        <f>IF(F111&gt;60000,"Expensive",IF(F111&gt;30000,"Moderate","Affordable"))</f>
        <v>Affordable</v>
      </c>
      <c r="AG111" t="str">
        <f>IF(J111&gt;=4.5,"Excellent",IF(J111&gt;=3.5,"Good",IF(J111&gt;=2.5,"Average","Poor")))</f>
        <v>Good</v>
      </c>
      <c r="AH111" t="str">
        <f>IF(OR(TEXT(N111,"dddd")="Saturday",TEXT(N111,"dddd")="Sunday"),"Weekend","Weekday")</f>
        <v>Weekend</v>
      </c>
    </row>
    <row r="112" spans="1:34" x14ac:dyDescent="0.3">
      <c r="A112">
        <v>112</v>
      </c>
      <c r="B112">
        <v>60</v>
      </c>
      <c r="C112" t="s">
        <v>21</v>
      </c>
      <c r="D112" t="s">
        <v>73</v>
      </c>
      <c r="E112" t="s">
        <v>74</v>
      </c>
      <c r="F112">
        <v>8000</v>
      </c>
      <c r="G112">
        <v>11</v>
      </c>
      <c r="H112" t="s">
        <v>38</v>
      </c>
      <c r="I112" t="s">
        <v>25</v>
      </c>
      <c r="J112">
        <v>3</v>
      </c>
      <c r="K112" t="s">
        <v>197</v>
      </c>
      <c r="L112" t="s">
        <v>343</v>
      </c>
      <c r="M112" t="s">
        <v>344</v>
      </c>
      <c r="N112" s="2">
        <v>45768</v>
      </c>
      <c r="O112" s="2">
        <v>45779</v>
      </c>
      <c r="P112" t="s">
        <v>29</v>
      </c>
      <c r="Q112" t="s">
        <v>52</v>
      </c>
      <c r="R112" t="s">
        <v>45</v>
      </c>
      <c r="S112" t="s">
        <v>72</v>
      </c>
      <c r="T112" t="s">
        <v>33</v>
      </c>
      <c r="U112" t="s">
        <v>46</v>
      </c>
      <c r="V112" t="str">
        <f>IF(B112&lt;=18,"Children",IF(B112&lt;=35,"Young adult",IF(B112&lt;=60,"Adult", "Senior Citizen")))</f>
        <v>Adult</v>
      </c>
      <c r="W112" t="str">
        <f t="shared" si="7"/>
        <v>Apr</v>
      </c>
      <c r="X112">
        <f t="shared" si="8"/>
        <v>4</v>
      </c>
      <c r="Y112" t="str">
        <f t="shared" si="9"/>
        <v>Q2</v>
      </c>
      <c r="Z112">
        <f t="shared" si="10"/>
        <v>2025</v>
      </c>
      <c r="AA112" t="str">
        <f t="shared" si="11"/>
        <v>Monday</v>
      </c>
      <c r="AB112">
        <f t="shared" si="12"/>
        <v>-11</v>
      </c>
      <c r="AC112" t="str">
        <f>IF(OR(D112="Heart Disease",D112="Cancer",D112="Stroke"),"High",IF(OR(D112="Diabetes",D112="Asthma"),"Medium","Low"))</f>
        <v>Low</v>
      </c>
      <c r="AD112" t="str">
        <f t="shared" si="13"/>
        <v>No</v>
      </c>
      <c r="AE112" t="str">
        <f>IF(G112&lt;=2,"Short Stay", IF(G112&lt;=7,"Normal Stay", "Long Stay"))</f>
        <v>Long Stay</v>
      </c>
      <c r="AF112" t="str">
        <f>IF(F112&gt;60000,"Expensive",IF(F112&gt;30000,"Moderate","Affordable"))</f>
        <v>Affordable</v>
      </c>
      <c r="AG112" t="str">
        <f>IF(J112&gt;=4.5,"Excellent",IF(J112&gt;=3.5,"Good",IF(J112&gt;=2.5,"Average","Poor")))</f>
        <v>Average</v>
      </c>
      <c r="AH112" t="str">
        <f>IF(OR(TEXT(N112,"dddd")="Saturday",TEXT(N112,"dddd")="Sunday"),"Weekend","Weekday")</f>
        <v>Weekday</v>
      </c>
    </row>
    <row r="113" spans="1:34" x14ac:dyDescent="0.3">
      <c r="A113">
        <v>113</v>
      </c>
      <c r="B113">
        <v>45</v>
      </c>
      <c r="C113" t="s">
        <v>35</v>
      </c>
      <c r="D113" t="s">
        <v>79</v>
      </c>
      <c r="E113" t="s">
        <v>80</v>
      </c>
      <c r="F113">
        <v>3000</v>
      </c>
      <c r="G113">
        <v>13</v>
      </c>
      <c r="H113" t="s">
        <v>24</v>
      </c>
      <c r="I113" t="s">
        <v>25</v>
      </c>
      <c r="J113">
        <v>4</v>
      </c>
      <c r="K113" t="s">
        <v>345</v>
      </c>
      <c r="L113" t="s">
        <v>346</v>
      </c>
      <c r="M113" t="s">
        <v>347</v>
      </c>
      <c r="N113" s="2">
        <v>45769</v>
      </c>
      <c r="O113" s="2">
        <v>45782</v>
      </c>
      <c r="P113" t="s">
        <v>43</v>
      </c>
      <c r="Q113" t="s">
        <v>139</v>
      </c>
      <c r="R113" t="s">
        <v>45</v>
      </c>
      <c r="S113" t="s">
        <v>72</v>
      </c>
      <c r="T113" t="s">
        <v>33</v>
      </c>
      <c r="U113" t="s">
        <v>46</v>
      </c>
      <c r="V113" t="str">
        <f>IF(B113&lt;=18,"Children",IF(B113&lt;=35,"Young adult",IF(B113&lt;=60,"Adult", "Senior Citizen")))</f>
        <v>Adult</v>
      </c>
      <c r="W113" t="str">
        <f t="shared" si="7"/>
        <v>Apr</v>
      </c>
      <c r="X113">
        <f t="shared" si="8"/>
        <v>4</v>
      </c>
      <c r="Y113" t="str">
        <f t="shared" si="9"/>
        <v>Q2</v>
      </c>
      <c r="Z113">
        <f t="shared" si="10"/>
        <v>2025</v>
      </c>
      <c r="AA113" t="str">
        <f t="shared" si="11"/>
        <v>Tuesday</v>
      </c>
      <c r="AB113">
        <f t="shared" si="12"/>
        <v>-13</v>
      </c>
      <c r="AC113" t="str">
        <f>IF(OR(D113="Heart Disease",D113="Cancer",D113="Stroke"),"High",IF(OR(D113="Diabetes",D113="Asthma"),"Medium","Low"))</f>
        <v>Low</v>
      </c>
      <c r="AD113" t="str">
        <f t="shared" si="13"/>
        <v>No</v>
      </c>
      <c r="AE113" t="str">
        <f>IF(G113&lt;=2,"Short Stay", IF(G113&lt;=7,"Normal Stay", "Long Stay"))</f>
        <v>Long Stay</v>
      </c>
      <c r="AF113" t="str">
        <f>IF(F113&gt;60000,"Expensive",IF(F113&gt;30000,"Moderate","Affordable"))</f>
        <v>Affordable</v>
      </c>
      <c r="AG113" t="str">
        <f>IF(J113&gt;=4.5,"Excellent",IF(J113&gt;=3.5,"Good",IF(J113&gt;=2.5,"Average","Poor")))</f>
        <v>Good</v>
      </c>
      <c r="AH113" t="str">
        <f>IF(OR(TEXT(N113,"dddd")="Saturday",TEXT(N113,"dddd")="Sunday"),"Weekend","Weekday")</f>
        <v>Weekday</v>
      </c>
    </row>
    <row r="114" spans="1:34" x14ac:dyDescent="0.3">
      <c r="A114">
        <v>114</v>
      </c>
      <c r="B114">
        <v>75</v>
      </c>
      <c r="C114" t="s">
        <v>21</v>
      </c>
      <c r="D114" t="s">
        <v>85</v>
      </c>
      <c r="E114" t="s">
        <v>86</v>
      </c>
      <c r="F114">
        <v>18000</v>
      </c>
      <c r="G114">
        <v>15</v>
      </c>
      <c r="H114" t="s">
        <v>38</v>
      </c>
      <c r="I114" t="s">
        <v>39</v>
      </c>
      <c r="J114">
        <v>2</v>
      </c>
      <c r="K114" t="s">
        <v>210</v>
      </c>
      <c r="L114" t="s">
        <v>348</v>
      </c>
      <c r="M114" t="s">
        <v>349</v>
      </c>
      <c r="N114" s="2">
        <v>45770</v>
      </c>
      <c r="O114" s="2">
        <v>45785</v>
      </c>
      <c r="P114" t="s">
        <v>43</v>
      </c>
      <c r="Q114" t="s">
        <v>44</v>
      </c>
      <c r="R114" t="s">
        <v>45</v>
      </c>
      <c r="S114" t="s">
        <v>72</v>
      </c>
      <c r="T114" t="s">
        <v>33</v>
      </c>
      <c r="U114" t="s">
        <v>78</v>
      </c>
      <c r="V114" t="str">
        <f>IF(B114&lt;=18,"Children",IF(B114&lt;=35,"Young adult",IF(B114&lt;=60,"Adult", "Senior Citizen")))</f>
        <v>Senior Citizen</v>
      </c>
      <c r="W114" t="str">
        <f t="shared" si="7"/>
        <v>Apr</v>
      </c>
      <c r="X114">
        <f t="shared" si="8"/>
        <v>4</v>
      </c>
      <c r="Y114" t="str">
        <f t="shared" si="9"/>
        <v>Q2</v>
      </c>
      <c r="Z114">
        <f t="shared" si="10"/>
        <v>2025</v>
      </c>
      <c r="AA114" t="str">
        <f t="shared" si="11"/>
        <v>Wednesday</v>
      </c>
      <c r="AB114">
        <f t="shared" si="12"/>
        <v>-15</v>
      </c>
      <c r="AC114" t="str">
        <f>IF(OR(D114="Heart Disease",D114="Cancer",D114="Stroke"),"High",IF(OR(D114="Diabetes",D114="Asthma"),"Medium","Low"))</f>
        <v>Low</v>
      </c>
      <c r="AD114" t="str">
        <f t="shared" si="13"/>
        <v>No</v>
      </c>
      <c r="AE114" t="str">
        <f>IF(G114&lt;=2,"Short Stay", IF(G114&lt;=7,"Normal Stay", "Long Stay"))</f>
        <v>Long Stay</v>
      </c>
      <c r="AF114" t="str">
        <f>IF(F114&gt;60000,"Expensive",IF(F114&gt;30000,"Moderate","Affordable"))</f>
        <v>Affordable</v>
      </c>
      <c r="AG114" t="str">
        <f>IF(J114&gt;=4.5,"Excellent",IF(J114&gt;=3.5,"Good",IF(J114&gt;=2.5,"Average","Poor")))</f>
        <v>Poor</v>
      </c>
      <c r="AH114" t="str">
        <f>IF(OR(TEXT(N114,"dddd")="Saturday",TEXT(N114,"dddd")="Sunday"),"Weekend","Weekday")</f>
        <v>Weekday</v>
      </c>
    </row>
    <row r="115" spans="1:34" x14ac:dyDescent="0.3">
      <c r="A115">
        <v>115</v>
      </c>
      <c r="B115">
        <v>28</v>
      </c>
      <c r="C115" t="s">
        <v>35</v>
      </c>
      <c r="D115" t="s">
        <v>89</v>
      </c>
      <c r="E115" t="s">
        <v>90</v>
      </c>
      <c r="F115">
        <v>100</v>
      </c>
      <c r="G115">
        <v>8</v>
      </c>
      <c r="H115" t="s">
        <v>24</v>
      </c>
      <c r="I115" t="s">
        <v>25</v>
      </c>
      <c r="J115">
        <v>5</v>
      </c>
      <c r="K115" t="s">
        <v>120</v>
      </c>
      <c r="L115" t="s">
        <v>350</v>
      </c>
      <c r="M115" t="s">
        <v>351</v>
      </c>
      <c r="N115" s="2">
        <v>45771</v>
      </c>
      <c r="O115" s="2">
        <v>45779</v>
      </c>
      <c r="P115" t="s">
        <v>29</v>
      </c>
      <c r="Q115" t="s">
        <v>71</v>
      </c>
      <c r="R115" t="s">
        <v>45</v>
      </c>
      <c r="S115" t="s">
        <v>53</v>
      </c>
      <c r="T115" t="s">
        <v>33</v>
      </c>
      <c r="U115" t="s">
        <v>78</v>
      </c>
      <c r="V115" t="str">
        <f>IF(B115&lt;=18,"Children",IF(B115&lt;=35,"Young adult",IF(B115&lt;=60,"Adult", "Senior Citizen")))</f>
        <v>Young adult</v>
      </c>
      <c r="W115" t="str">
        <f t="shared" si="7"/>
        <v>Apr</v>
      </c>
      <c r="X115">
        <f t="shared" si="8"/>
        <v>4</v>
      </c>
      <c r="Y115" t="str">
        <f t="shared" si="9"/>
        <v>Q2</v>
      </c>
      <c r="Z115">
        <f t="shared" si="10"/>
        <v>2025</v>
      </c>
      <c r="AA115" t="str">
        <f t="shared" si="11"/>
        <v>Thursday</v>
      </c>
      <c r="AB115">
        <f t="shared" si="12"/>
        <v>-8</v>
      </c>
      <c r="AC115" t="str">
        <f>IF(OR(D115="Heart Disease",D115="Cancer",D115="Stroke"),"High",IF(OR(D115="Diabetes",D115="Asthma"),"Medium","Low"))</f>
        <v>Low</v>
      </c>
      <c r="AD115" t="str">
        <f t="shared" si="13"/>
        <v>No</v>
      </c>
      <c r="AE115" t="str">
        <f>IF(G115&lt;=2,"Short Stay", IF(G115&lt;=7,"Normal Stay", "Long Stay"))</f>
        <v>Long Stay</v>
      </c>
      <c r="AF115" t="str">
        <f>IF(F115&gt;60000,"Expensive",IF(F115&gt;30000,"Moderate","Affordable"))</f>
        <v>Affordable</v>
      </c>
      <c r="AG115" t="str">
        <f>IF(J115&gt;=4.5,"Excellent",IF(J115&gt;=3.5,"Good",IF(J115&gt;=2.5,"Average","Poor")))</f>
        <v>Excellent</v>
      </c>
      <c r="AH115" t="str">
        <f>IF(OR(TEXT(N115,"dddd")="Saturday",TEXT(N115,"dddd")="Sunday"),"Weekend","Weekday")</f>
        <v>Weekday</v>
      </c>
    </row>
    <row r="116" spans="1:34" x14ac:dyDescent="0.3">
      <c r="A116">
        <v>116</v>
      </c>
      <c r="B116">
        <v>52</v>
      </c>
      <c r="C116" t="s">
        <v>21</v>
      </c>
      <c r="D116" t="s">
        <v>94</v>
      </c>
      <c r="E116" t="s">
        <v>95</v>
      </c>
      <c r="F116">
        <v>800</v>
      </c>
      <c r="G116">
        <v>9</v>
      </c>
      <c r="H116" t="s">
        <v>24</v>
      </c>
      <c r="I116" t="s">
        <v>39</v>
      </c>
      <c r="J116">
        <v>4</v>
      </c>
      <c r="K116" t="s">
        <v>245</v>
      </c>
      <c r="L116" t="s">
        <v>352</v>
      </c>
      <c r="M116" t="s">
        <v>353</v>
      </c>
      <c r="N116" s="2">
        <v>45772</v>
      </c>
      <c r="O116" s="2">
        <v>45781</v>
      </c>
      <c r="P116" t="s">
        <v>29</v>
      </c>
      <c r="Q116" t="s">
        <v>71</v>
      </c>
      <c r="R116" t="s">
        <v>45</v>
      </c>
      <c r="S116" t="s">
        <v>110</v>
      </c>
      <c r="T116" t="s">
        <v>33</v>
      </c>
      <c r="U116" t="s">
        <v>46</v>
      </c>
      <c r="V116" t="str">
        <f>IF(B116&lt;=18,"Children",IF(B116&lt;=35,"Young adult",IF(B116&lt;=60,"Adult", "Senior Citizen")))</f>
        <v>Adult</v>
      </c>
      <c r="W116" t="str">
        <f t="shared" si="7"/>
        <v>Apr</v>
      </c>
      <c r="X116">
        <f t="shared" si="8"/>
        <v>4</v>
      </c>
      <c r="Y116" t="str">
        <f t="shared" si="9"/>
        <v>Q2</v>
      </c>
      <c r="Z116">
        <f t="shared" si="10"/>
        <v>2025</v>
      </c>
      <c r="AA116" t="str">
        <f t="shared" si="11"/>
        <v>Friday</v>
      </c>
      <c r="AB116">
        <f t="shared" si="12"/>
        <v>-9</v>
      </c>
      <c r="AC116" t="str">
        <f>IF(OR(D116="Heart Disease",D116="Cancer",D116="Stroke"),"High",IF(OR(D116="Diabetes",D116="Asthma"),"Medium","Low"))</f>
        <v>Low</v>
      </c>
      <c r="AD116" t="str">
        <f t="shared" si="13"/>
        <v>No</v>
      </c>
      <c r="AE116" t="str">
        <f>IF(G116&lt;=2,"Short Stay", IF(G116&lt;=7,"Normal Stay", "Long Stay"))</f>
        <v>Long Stay</v>
      </c>
      <c r="AF116" t="str">
        <f>IF(F116&gt;60000,"Expensive",IF(F116&gt;30000,"Moderate","Affordable"))</f>
        <v>Affordable</v>
      </c>
      <c r="AG116" t="str">
        <f>IF(J116&gt;=4.5,"Excellent",IF(J116&gt;=3.5,"Good",IF(J116&gt;=2.5,"Average","Poor")))</f>
        <v>Good</v>
      </c>
      <c r="AH116" t="str">
        <f>IF(OR(TEXT(N116,"dddd")="Saturday",TEXT(N116,"dddd")="Sunday"),"Weekend","Weekday")</f>
        <v>Weekday</v>
      </c>
    </row>
    <row r="117" spans="1:34" x14ac:dyDescent="0.3">
      <c r="A117">
        <v>117</v>
      </c>
      <c r="B117">
        <v>67</v>
      </c>
      <c r="C117" t="s">
        <v>35</v>
      </c>
      <c r="D117" t="s">
        <v>99</v>
      </c>
      <c r="E117" t="s">
        <v>100</v>
      </c>
      <c r="F117">
        <v>20000</v>
      </c>
      <c r="G117">
        <v>16</v>
      </c>
      <c r="H117" t="s">
        <v>24</v>
      </c>
      <c r="I117" t="s">
        <v>25</v>
      </c>
      <c r="J117">
        <v>3</v>
      </c>
      <c r="K117" t="s">
        <v>101</v>
      </c>
      <c r="L117" t="s">
        <v>354</v>
      </c>
      <c r="M117" t="s">
        <v>355</v>
      </c>
      <c r="N117" s="2">
        <v>45773</v>
      </c>
      <c r="O117" s="2">
        <v>45789</v>
      </c>
      <c r="P117" t="s">
        <v>43</v>
      </c>
      <c r="Q117" t="s">
        <v>44</v>
      </c>
      <c r="R117" t="s">
        <v>45</v>
      </c>
      <c r="S117" t="s">
        <v>53</v>
      </c>
      <c r="T117" t="s">
        <v>33</v>
      </c>
      <c r="U117" t="s">
        <v>104</v>
      </c>
      <c r="V117" t="str">
        <f>IF(B117&lt;=18,"Children",IF(B117&lt;=35,"Young adult",IF(B117&lt;=60,"Adult", "Senior Citizen")))</f>
        <v>Senior Citizen</v>
      </c>
      <c r="W117" t="str">
        <f t="shared" si="7"/>
        <v>Apr</v>
      </c>
      <c r="X117">
        <f t="shared" si="8"/>
        <v>4</v>
      </c>
      <c r="Y117" t="str">
        <f t="shared" si="9"/>
        <v>Q2</v>
      </c>
      <c r="Z117">
        <f t="shared" si="10"/>
        <v>2025</v>
      </c>
      <c r="AA117" t="str">
        <f t="shared" si="11"/>
        <v>Saturday</v>
      </c>
      <c r="AB117">
        <f t="shared" si="12"/>
        <v>-16</v>
      </c>
      <c r="AC117" t="str">
        <f>IF(OR(D117="Heart Disease",D117="Cancer",D117="Stroke"),"High",IF(OR(D117="Diabetes",D117="Asthma"),"Medium","Low"))</f>
        <v>Low</v>
      </c>
      <c r="AD117" t="str">
        <f t="shared" si="13"/>
        <v>No</v>
      </c>
      <c r="AE117" t="str">
        <f>IF(G117&lt;=2,"Short Stay", IF(G117&lt;=7,"Normal Stay", "Long Stay"))</f>
        <v>Long Stay</v>
      </c>
      <c r="AF117" t="str">
        <f>IF(F117&gt;60000,"Expensive",IF(F117&gt;30000,"Moderate","Affordable"))</f>
        <v>Affordable</v>
      </c>
      <c r="AG117" t="str">
        <f>IF(J117&gt;=4.5,"Excellent",IF(J117&gt;=3.5,"Good",IF(J117&gt;=2.5,"Average","Poor")))</f>
        <v>Average</v>
      </c>
      <c r="AH117" t="str">
        <f>IF(OR(TEXT(N117,"dddd")="Saturday",TEXT(N117,"dddd")="Sunday"),"Weekend","Weekday")</f>
        <v>Weekend</v>
      </c>
    </row>
    <row r="118" spans="1:34" x14ac:dyDescent="0.3">
      <c r="A118">
        <v>118</v>
      </c>
      <c r="B118">
        <v>35</v>
      </c>
      <c r="C118" t="s">
        <v>21</v>
      </c>
      <c r="D118" t="s">
        <v>105</v>
      </c>
      <c r="E118" t="s">
        <v>106</v>
      </c>
      <c r="F118">
        <v>12000</v>
      </c>
      <c r="G118">
        <v>10</v>
      </c>
      <c r="H118" t="s">
        <v>24</v>
      </c>
      <c r="I118" t="s">
        <v>25</v>
      </c>
      <c r="J118">
        <v>4</v>
      </c>
      <c r="K118" t="s">
        <v>223</v>
      </c>
      <c r="L118" t="s">
        <v>356</v>
      </c>
      <c r="M118" t="s">
        <v>357</v>
      </c>
      <c r="N118" s="2">
        <v>45774</v>
      </c>
      <c r="O118" s="2">
        <v>45784</v>
      </c>
      <c r="P118" t="s">
        <v>43</v>
      </c>
      <c r="Q118" t="s">
        <v>52</v>
      </c>
      <c r="R118" t="s">
        <v>45</v>
      </c>
      <c r="S118" t="s">
        <v>84</v>
      </c>
      <c r="T118" t="s">
        <v>33</v>
      </c>
      <c r="U118" t="s">
        <v>34</v>
      </c>
      <c r="V118" t="str">
        <f>IF(B118&lt;=18,"Children",IF(B118&lt;=35,"Young adult",IF(B118&lt;=60,"Adult", "Senior Citizen")))</f>
        <v>Young adult</v>
      </c>
      <c r="W118" t="str">
        <f t="shared" si="7"/>
        <v>Apr</v>
      </c>
      <c r="X118">
        <f t="shared" si="8"/>
        <v>4</v>
      </c>
      <c r="Y118" t="str">
        <f t="shared" si="9"/>
        <v>Q2</v>
      </c>
      <c r="Z118">
        <f t="shared" si="10"/>
        <v>2025</v>
      </c>
      <c r="AA118" t="str">
        <f t="shared" si="11"/>
        <v>Sunday</v>
      </c>
      <c r="AB118">
        <f t="shared" si="12"/>
        <v>-10</v>
      </c>
      <c r="AC118" t="str">
        <f>IF(OR(D118="Heart Disease",D118="Cancer",D118="Stroke"),"High",IF(OR(D118="Diabetes",D118="Asthma"),"Medium","Low"))</f>
        <v>Low</v>
      </c>
      <c r="AD118" t="str">
        <f t="shared" si="13"/>
        <v>No</v>
      </c>
      <c r="AE118" t="str">
        <f>IF(G118&lt;=2,"Short Stay", IF(G118&lt;=7,"Normal Stay", "Long Stay"))</f>
        <v>Long Stay</v>
      </c>
      <c r="AF118" t="str">
        <f>IF(F118&gt;60000,"Expensive",IF(F118&gt;30000,"Moderate","Affordable"))</f>
        <v>Affordable</v>
      </c>
      <c r="AG118" t="str">
        <f>IF(J118&gt;=4.5,"Excellent",IF(J118&gt;=3.5,"Good",IF(J118&gt;=2.5,"Average","Poor")))</f>
        <v>Good</v>
      </c>
      <c r="AH118" t="str">
        <f>IF(OR(TEXT(N118,"dddd")="Saturday",TEXT(N118,"dddd")="Sunday"),"Weekend","Weekday")</f>
        <v>Weekend</v>
      </c>
    </row>
    <row r="119" spans="1:34" x14ac:dyDescent="0.3">
      <c r="A119">
        <v>119</v>
      </c>
      <c r="B119">
        <v>50</v>
      </c>
      <c r="C119" t="s">
        <v>35</v>
      </c>
      <c r="D119" t="s">
        <v>111</v>
      </c>
      <c r="E119" t="s">
        <v>112</v>
      </c>
      <c r="F119">
        <v>6000</v>
      </c>
      <c r="G119">
        <v>11</v>
      </c>
      <c r="H119" t="s">
        <v>24</v>
      </c>
      <c r="I119" t="s">
        <v>25</v>
      </c>
      <c r="J119">
        <v>3</v>
      </c>
      <c r="K119" t="s">
        <v>113</v>
      </c>
      <c r="L119" t="s">
        <v>358</v>
      </c>
      <c r="M119" t="s">
        <v>359</v>
      </c>
      <c r="N119" s="2">
        <v>45775</v>
      </c>
      <c r="O119" s="2">
        <v>45786</v>
      </c>
      <c r="P119" t="s">
        <v>29</v>
      </c>
      <c r="Q119" t="s">
        <v>139</v>
      </c>
      <c r="R119" t="s">
        <v>45</v>
      </c>
      <c r="S119" t="s">
        <v>84</v>
      </c>
      <c r="T119" t="s">
        <v>33</v>
      </c>
      <c r="U119" t="s">
        <v>104</v>
      </c>
      <c r="V119" t="str">
        <f>IF(B119&lt;=18,"Children",IF(B119&lt;=35,"Young adult",IF(B119&lt;=60,"Adult", "Senior Citizen")))</f>
        <v>Adult</v>
      </c>
      <c r="W119" t="str">
        <f t="shared" si="7"/>
        <v>Apr</v>
      </c>
      <c r="X119">
        <f t="shared" si="8"/>
        <v>4</v>
      </c>
      <c r="Y119" t="str">
        <f t="shared" si="9"/>
        <v>Q2</v>
      </c>
      <c r="Z119">
        <f t="shared" si="10"/>
        <v>2025</v>
      </c>
      <c r="AA119" t="str">
        <f t="shared" si="11"/>
        <v>Monday</v>
      </c>
      <c r="AB119">
        <f t="shared" si="12"/>
        <v>-11</v>
      </c>
      <c r="AC119" t="str">
        <f>IF(OR(D119="Heart Disease",D119="Cancer",D119="Stroke"),"High",IF(OR(D119="Diabetes",D119="Asthma"),"Medium","Low"))</f>
        <v>Low</v>
      </c>
      <c r="AD119" t="str">
        <f t="shared" si="13"/>
        <v>No</v>
      </c>
      <c r="AE119" t="str">
        <f>IF(G119&lt;=2,"Short Stay", IF(G119&lt;=7,"Normal Stay", "Long Stay"))</f>
        <v>Long Stay</v>
      </c>
      <c r="AF119" t="str">
        <f>IF(F119&gt;60000,"Expensive",IF(F119&gt;30000,"Moderate","Affordable"))</f>
        <v>Affordable</v>
      </c>
      <c r="AG119" t="str">
        <f>IF(J119&gt;=4.5,"Excellent",IF(J119&gt;=3.5,"Good",IF(J119&gt;=2.5,"Average","Poor")))</f>
        <v>Average</v>
      </c>
      <c r="AH119" t="str">
        <f>IF(OR(TEXT(N119,"dddd")="Saturday",TEXT(N119,"dddd")="Sunday"),"Weekend","Weekday")</f>
        <v>Weekday</v>
      </c>
    </row>
    <row r="120" spans="1:34" x14ac:dyDescent="0.3">
      <c r="A120">
        <v>120</v>
      </c>
      <c r="B120">
        <v>60</v>
      </c>
      <c r="C120" t="s">
        <v>21</v>
      </c>
      <c r="D120" t="s">
        <v>116</v>
      </c>
      <c r="E120" t="s">
        <v>117</v>
      </c>
      <c r="F120">
        <v>4000</v>
      </c>
      <c r="G120">
        <v>12</v>
      </c>
      <c r="H120" t="s">
        <v>24</v>
      </c>
      <c r="I120" t="s">
        <v>39</v>
      </c>
      <c r="J120">
        <v>4</v>
      </c>
      <c r="K120" t="s">
        <v>91</v>
      </c>
      <c r="L120" t="s">
        <v>360</v>
      </c>
      <c r="M120" t="s">
        <v>361</v>
      </c>
      <c r="N120" s="2">
        <v>45776</v>
      </c>
      <c r="O120" s="2">
        <v>45788</v>
      </c>
      <c r="P120" t="s">
        <v>43</v>
      </c>
      <c r="Q120" t="s">
        <v>52</v>
      </c>
      <c r="R120" t="s">
        <v>45</v>
      </c>
      <c r="S120" t="s">
        <v>53</v>
      </c>
      <c r="T120" t="s">
        <v>33</v>
      </c>
      <c r="U120" t="s">
        <v>34</v>
      </c>
      <c r="V120" t="str">
        <f>IF(B120&lt;=18,"Children",IF(B120&lt;=35,"Young adult",IF(B120&lt;=60,"Adult", "Senior Citizen")))</f>
        <v>Adult</v>
      </c>
      <c r="W120" t="str">
        <f t="shared" si="7"/>
        <v>Apr</v>
      </c>
      <c r="X120">
        <f t="shared" si="8"/>
        <v>4</v>
      </c>
      <c r="Y120" t="str">
        <f t="shared" si="9"/>
        <v>Q2</v>
      </c>
      <c r="Z120">
        <f t="shared" si="10"/>
        <v>2025</v>
      </c>
      <c r="AA120" t="str">
        <f t="shared" si="11"/>
        <v>Tuesday</v>
      </c>
      <c r="AB120">
        <f t="shared" si="12"/>
        <v>-12</v>
      </c>
      <c r="AC120" t="str">
        <f>IF(OR(D120="Heart Disease",D120="Cancer",D120="Stroke"),"High",IF(OR(D120="Diabetes",D120="Asthma"),"Medium","Low"))</f>
        <v>Low</v>
      </c>
      <c r="AD120" t="str">
        <f t="shared" si="13"/>
        <v>No</v>
      </c>
      <c r="AE120" t="str">
        <f>IF(G120&lt;=2,"Short Stay", IF(G120&lt;=7,"Normal Stay", "Long Stay"))</f>
        <v>Long Stay</v>
      </c>
      <c r="AF120" t="str">
        <f>IF(F120&gt;60000,"Expensive",IF(F120&gt;30000,"Moderate","Affordable"))</f>
        <v>Affordable</v>
      </c>
      <c r="AG120" t="str">
        <f>IF(J120&gt;=4.5,"Excellent",IF(J120&gt;=3.5,"Good",IF(J120&gt;=2.5,"Average","Poor")))</f>
        <v>Good</v>
      </c>
      <c r="AH120" t="str">
        <f>IF(OR(TEXT(N120,"dddd")="Saturday",TEXT(N120,"dddd")="Sunday"),"Weekend","Weekday")</f>
        <v>Weekday</v>
      </c>
    </row>
    <row r="121" spans="1:34" x14ac:dyDescent="0.3">
      <c r="A121">
        <v>122</v>
      </c>
      <c r="B121">
        <v>65</v>
      </c>
      <c r="C121" t="s">
        <v>35</v>
      </c>
      <c r="D121" t="s">
        <v>36</v>
      </c>
      <c r="E121" t="s">
        <v>37</v>
      </c>
      <c r="F121">
        <v>2000</v>
      </c>
      <c r="G121">
        <v>11</v>
      </c>
      <c r="H121" t="s">
        <v>24</v>
      </c>
      <c r="I121" t="s">
        <v>39</v>
      </c>
      <c r="J121">
        <v>3</v>
      </c>
      <c r="K121" t="s">
        <v>200</v>
      </c>
      <c r="L121" t="s">
        <v>362</v>
      </c>
      <c r="M121" t="s">
        <v>363</v>
      </c>
      <c r="N121" s="2">
        <v>45777</v>
      </c>
      <c r="O121" s="2">
        <v>45788</v>
      </c>
      <c r="P121" t="s">
        <v>29</v>
      </c>
      <c r="Q121" t="s">
        <v>139</v>
      </c>
      <c r="R121" t="s">
        <v>45</v>
      </c>
      <c r="S121" t="s">
        <v>53</v>
      </c>
      <c r="T121" t="s">
        <v>33</v>
      </c>
      <c r="U121" t="s">
        <v>104</v>
      </c>
      <c r="V121" t="str">
        <f>IF(B121&lt;=18,"Children",IF(B121&lt;=35,"Young adult",IF(B121&lt;=60,"Adult", "Senior Citizen")))</f>
        <v>Senior Citizen</v>
      </c>
      <c r="W121" t="str">
        <f t="shared" si="7"/>
        <v>Apr</v>
      </c>
      <c r="X121">
        <f t="shared" si="8"/>
        <v>4</v>
      </c>
      <c r="Y121" t="str">
        <f t="shared" si="9"/>
        <v>Q2</v>
      </c>
      <c r="Z121">
        <f t="shared" si="10"/>
        <v>2025</v>
      </c>
      <c r="AA121" t="str">
        <f t="shared" si="11"/>
        <v>Wednesday</v>
      </c>
      <c r="AB121">
        <f t="shared" si="12"/>
        <v>-11</v>
      </c>
      <c r="AC121" t="str">
        <f>IF(OR(D121="Heart Disease",D121="Cancer",D121="Stroke"),"High",IF(OR(D121="Diabetes",D121="Asthma"),"Medium","Low"))</f>
        <v>Medium</v>
      </c>
      <c r="AD121" t="str">
        <f t="shared" si="13"/>
        <v>No</v>
      </c>
      <c r="AE121" t="str">
        <f>IF(G121&lt;=2,"Short Stay", IF(G121&lt;=7,"Normal Stay", "Long Stay"))</f>
        <v>Long Stay</v>
      </c>
      <c r="AF121" t="str">
        <f>IF(F121&gt;60000,"Expensive",IF(F121&gt;30000,"Moderate","Affordable"))</f>
        <v>Affordable</v>
      </c>
      <c r="AG121" t="str">
        <f>IF(J121&gt;=4.5,"Excellent",IF(J121&gt;=3.5,"Good",IF(J121&gt;=2.5,"Average","Poor")))</f>
        <v>Average</v>
      </c>
      <c r="AH121" t="str">
        <f>IF(OR(TEXT(N121,"dddd")="Saturday",TEXT(N121,"dddd")="Sunday"),"Weekend","Weekday")</f>
        <v>Weekday</v>
      </c>
    </row>
    <row r="122" spans="1:34" x14ac:dyDescent="0.3">
      <c r="A122">
        <v>123</v>
      </c>
      <c r="B122">
        <v>30</v>
      </c>
      <c r="C122" t="s">
        <v>21</v>
      </c>
      <c r="D122" t="s">
        <v>47</v>
      </c>
      <c r="E122" t="s">
        <v>48</v>
      </c>
      <c r="F122">
        <v>500</v>
      </c>
      <c r="G122">
        <v>9</v>
      </c>
      <c r="H122" t="s">
        <v>24</v>
      </c>
      <c r="I122" t="s">
        <v>25</v>
      </c>
      <c r="J122">
        <v>5</v>
      </c>
      <c r="K122" t="s">
        <v>172</v>
      </c>
      <c r="L122" t="s">
        <v>364</v>
      </c>
      <c r="M122" t="s">
        <v>365</v>
      </c>
      <c r="N122" s="2">
        <v>45778</v>
      </c>
      <c r="O122" s="2">
        <v>45787</v>
      </c>
      <c r="P122" t="s">
        <v>43</v>
      </c>
      <c r="Q122" t="s">
        <v>52</v>
      </c>
      <c r="R122" t="s">
        <v>45</v>
      </c>
      <c r="S122" t="s">
        <v>77</v>
      </c>
      <c r="T122" t="s">
        <v>33</v>
      </c>
      <c r="U122" t="s">
        <v>34</v>
      </c>
      <c r="V122" t="str">
        <f>IF(B122&lt;=18,"Children",IF(B122&lt;=35,"Young adult",IF(B122&lt;=60,"Adult", "Senior Citizen")))</f>
        <v>Young adult</v>
      </c>
      <c r="W122" t="str">
        <f t="shared" si="7"/>
        <v>May</v>
      </c>
      <c r="X122">
        <f t="shared" si="8"/>
        <v>5</v>
      </c>
      <c r="Y122" t="str">
        <f t="shared" si="9"/>
        <v>Q2</v>
      </c>
      <c r="Z122">
        <f t="shared" si="10"/>
        <v>2025</v>
      </c>
      <c r="AA122" t="str">
        <f t="shared" si="11"/>
        <v>Thursday</v>
      </c>
      <c r="AB122">
        <f t="shared" si="12"/>
        <v>-9</v>
      </c>
      <c r="AC122" t="str">
        <f>IF(OR(D122="Heart Disease",D122="Cancer",D122="Stroke"),"High",IF(OR(D122="Diabetes",D122="Asthma"),"Medium","Low"))</f>
        <v>Low</v>
      </c>
      <c r="AD122" t="str">
        <f t="shared" si="13"/>
        <v>No</v>
      </c>
      <c r="AE122" t="str">
        <f>IF(G122&lt;=2,"Short Stay", IF(G122&lt;=7,"Normal Stay", "Long Stay"))</f>
        <v>Long Stay</v>
      </c>
      <c r="AF122" t="str">
        <f>IF(F122&gt;60000,"Expensive",IF(F122&gt;30000,"Moderate","Affordable"))</f>
        <v>Affordable</v>
      </c>
      <c r="AG122" t="str">
        <f>IF(J122&gt;=4.5,"Excellent",IF(J122&gt;=3.5,"Good",IF(J122&gt;=2.5,"Average","Poor")))</f>
        <v>Excellent</v>
      </c>
      <c r="AH122" t="str">
        <f>IF(OR(TEXT(N122,"dddd")="Saturday",TEXT(N122,"dddd")="Sunday"),"Weekend","Weekday")</f>
        <v>Weekday</v>
      </c>
    </row>
    <row r="123" spans="1:34" x14ac:dyDescent="0.3">
      <c r="A123">
        <v>124</v>
      </c>
      <c r="B123">
        <v>70</v>
      </c>
      <c r="C123" t="s">
        <v>35</v>
      </c>
      <c r="D123" t="s">
        <v>54</v>
      </c>
      <c r="E123" t="s">
        <v>55</v>
      </c>
      <c r="F123">
        <v>10000</v>
      </c>
      <c r="G123">
        <v>15</v>
      </c>
      <c r="H123" t="s">
        <v>38</v>
      </c>
      <c r="I123" t="s">
        <v>39</v>
      </c>
      <c r="J123">
        <v>2</v>
      </c>
      <c r="K123" t="s">
        <v>120</v>
      </c>
      <c r="L123" t="s">
        <v>366</v>
      </c>
      <c r="M123" t="s">
        <v>367</v>
      </c>
      <c r="N123" s="2">
        <v>45779</v>
      </c>
      <c r="O123" s="2">
        <v>45794</v>
      </c>
      <c r="P123" t="s">
        <v>43</v>
      </c>
      <c r="Q123" t="s">
        <v>52</v>
      </c>
      <c r="R123" t="s">
        <v>59</v>
      </c>
      <c r="S123" t="s">
        <v>84</v>
      </c>
      <c r="T123" t="s">
        <v>33</v>
      </c>
      <c r="U123" t="s">
        <v>34</v>
      </c>
      <c r="V123" t="str">
        <f>IF(B123&lt;=18,"Children",IF(B123&lt;=35,"Young adult",IF(B123&lt;=60,"Adult", "Senior Citizen")))</f>
        <v>Senior Citizen</v>
      </c>
      <c r="W123" t="str">
        <f t="shared" si="7"/>
        <v>May</v>
      </c>
      <c r="X123">
        <f t="shared" si="8"/>
        <v>5</v>
      </c>
      <c r="Y123" t="str">
        <f t="shared" si="9"/>
        <v>Q2</v>
      </c>
      <c r="Z123">
        <f t="shared" si="10"/>
        <v>2025</v>
      </c>
      <c r="AA123" t="str">
        <f t="shared" si="11"/>
        <v>Friday</v>
      </c>
      <c r="AB123">
        <f t="shared" si="12"/>
        <v>-15</v>
      </c>
      <c r="AC123" t="str">
        <f>IF(OR(D123="Heart Disease",D123="Cancer",D123="Stroke"),"High",IF(OR(D123="Diabetes",D123="Asthma"),"Medium","Low"))</f>
        <v>High</v>
      </c>
      <c r="AD123" t="str">
        <f t="shared" si="13"/>
        <v>Yes</v>
      </c>
      <c r="AE123" t="str">
        <f>IF(G123&lt;=2,"Short Stay", IF(G123&lt;=7,"Normal Stay", "Long Stay"))</f>
        <v>Long Stay</v>
      </c>
      <c r="AF123" t="str">
        <f>IF(F123&gt;60000,"Expensive",IF(F123&gt;30000,"Moderate","Affordable"))</f>
        <v>Affordable</v>
      </c>
      <c r="AG123" t="str">
        <f>IF(J123&gt;=4.5,"Excellent",IF(J123&gt;=3.5,"Good",IF(J123&gt;=2.5,"Average","Poor")))</f>
        <v>Poor</v>
      </c>
      <c r="AH123" t="str">
        <f>IF(OR(TEXT(N123,"dddd")="Saturday",TEXT(N123,"dddd")="Sunday"),"Weekend","Weekday")</f>
        <v>Weekday</v>
      </c>
    </row>
    <row r="124" spans="1:34" x14ac:dyDescent="0.3">
      <c r="A124">
        <v>125</v>
      </c>
      <c r="B124">
        <v>55</v>
      </c>
      <c r="C124" t="s">
        <v>21</v>
      </c>
      <c r="D124" t="s">
        <v>60</v>
      </c>
      <c r="E124" t="s">
        <v>61</v>
      </c>
      <c r="F124">
        <v>25000</v>
      </c>
      <c r="G124">
        <v>18</v>
      </c>
      <c r="H124" t="s">
        <v>24</v>
      </c>
      <c r="I124" t="s">
        <v>25</v>
      </c>
      <c r="J124">
        <v>4</v>
      </c>
      <c r="K124" t="s">
        <v>160</v>
      </c>
      <c r="L124" t="s">
        <v>368</v>
      </c>
      <c r="M124" t="s">
        <v>369</v>
      </c>
      <c r="N124" s="2">
        <v>45780</v>
      </c>
      <c r="O124" s="2">
        <v>45798</v>
      </c>
      <c r="P124" t="s">
        <v>29</v>
      </c>
      <c r="Q124" t="s">
        <v>44</v>
      </c>
      <c r="R124" t="s">
        <v>65</v>
      </c>
      <c r="S124" t="s">
        <v>77</v>
      </c>
      <c r="T124" t="s">
        <v>33</v>
      </c>
      <c r="U124" t="s">
        <v>78</v>
      </c>
      <c r="V124" t="str">
        <f>IF(B124&lt;=18,"Children",IF(B124&lt;=35,"Young adult",IF(B124&lt;=60,"Adult", "Senior Citizen")))</f>
        <v>Adult</v>
      </c>
      <c r="W124" t="str">
        <f t="shared" si="7"/>
        <v>May</v>
      </c>
      <c r="X124">
        <f t="shared" si="8"/>
        <v>5</v>
      </c>
      <c r="Y124" t="str">
        <f t="shared" si="9"/>
        <v>Q2</v>
      </c>
      <c r="Z124">
        <f t="shared" si="10"/>
        <v>2025</v>
      </c>
      <c r="AA124" t="str">
        <f t="shared" si="11"/>
        <v>Saturday</v>
      </c>
      <c r="AB124">
        <f t="shared" si="12"/>
        <v>-18</v>
      </c>
      <c r="AC124" t="str">
        <f>IF(OR(D124="Heart Disease",D124="Cancer",D124="Stroke"),"High",IF(OR(D124="Diabetes",D124="Asthma"),"Medium","Low"))</f>
        <v>High</v>
      </c>
      <c r="AD124" t="str">
        <f t="shared" si="13"/>
        <v>Yes</v>
      </c>
      <c r="AE124" t="str">
        <f>IF(G124&lt;=2,"Short Stay", IF(G124&lt;=7,"Normal Stay", "Long Stay"))</f>
        <v>Long Stay</v>
      </c>
      <c r="AF124" t="str">
        <f>IF(F124&gt;60000,"Expensive",IF(F124&gt;30000,"Moderate","Affordable"))</f>
        <v>Affordable</v>
      </c>
      <c r="AG124" t="str">
        <f>IF(J124&gt;=4.5,"Excellent",IF(J124&gt;=3.5,"Good",IF(J124&gt;=2.5,"Average","Poor")))</f>
        <v>Good</v>
      </c>
      <c r="AH124" t="str">
        <f>IF(OR(TEXT(N124,"dddd")="Saturday",TEXT(N124,"dddd")="Sunday"),"Weekend","Weekday")</f>
        <v>Weekend</v>
      </c>
    </row>
    <row r="125" spans="1:34" x14ac:dyDescent="0.3">
      <c r="A125">
        <v>126</v>
      </c>
      <c r="B125">
        <v>68</v>
      </c>
      <c r="C125" t="s">
        <v>35</v>
      </c>
      <c r="D125" t="s">
        <v>66</v>
      </c>
      <c r="E125" t="s">
        <v>67</v>
      </c>
      <c r="F125">
        <v>1000</v>
      </c>
      <c r="G125">
        <v>10</v>
      </c>
      <c r="H125" t="s">
        <v>24</v>
      </c>
      <c r="I125" t="s">
        <v>39</v>
      </c>
      <c r="J125">
        <v>4</v>
      </c>
      <c r="K125" t="s">
        <v>172</v>
      </c>
      <c r="L125" t="s">
        <v>370</v>
      </c>
      <c r="M125" t="s">
        <v>371</v>
      </c>
      <c r="N125" s="2">
        <v>45781</v>
      </c>
      <c r="O125" s="2">
        <v>45791</v>
      </c>
      <c r="P125" t="s">
        <v>29</v>
      </c>
      <c r="Q125" t="s">
        <v>52</v>
      </c>
      <c r="R125" t="s">
        <v>45</v>
      </c>
      <c r="S125" t="s">
        <v>53</v>
      </c>
      <c r="T125" t="s">
        <v>33</v>
      </c>
      <c r="U125" t="s">
        <v>78</v>
      </c>
      <c r="V125" t="str">
        <f>IF(B125&lt;=18,"Children",IF(B125&lt;=35,"Young adult",IF(B125&lt;=60,"Adult", "Senior Citizen")))</f>
        <v>Senior Citizen</v>
      </c>
      <c r="W125" t="str">
        <f t="shared" si="7"/>
        <v>May</v>
      </c>
      <c r="X125">
        <f t="shared" si="8"/>
        <v>5</v>
      </c>
      <c r="Y125" t="str">
        <f t="shared" si="9"/>
        <v>Q2</v>
      </c>
      <c r="Z125">
        <f t="shared" si="10"/>
        <v>2025</v>
      </c>
      <c r="AA125" t="str">
        <f t="shared" si="11"/>
        <v>Sunday</v>
      </c>
      <c r="AB125">
        <f t="shared" si="12"/>
        <v>-10</v>
      </c>
      <c r="AC125" t="str">
        <f>IF(OR(D125="Heart Disease",D125="Cancer",D125="Stroke"),"High",IF(OR(D125="Diabetes",D125="Asthma"),"Medium","Low"))</f>
        <v>Low</v>
      </c>
      <c r="AD125" t="str">
        <f t="shared" si="13"/>
        <v>No</v>
      </c>
      <c r="AE125" t="str">
        <f>IF(G125&lt;=2,"Short Stay", IF(G125&lt;=7,"Normal Stay", "Long Stay"))</f>
        <v>Long Stay</v>
      </c>
      <c r="AF125" t="str">
        <f>IF(F125&gt;60000,"Expensive",IF(F125&gt;30000,"Moderate","Affordable"))</f>
        <v>Affordable</v>
      </c>
      <c r="AG125" t="str">
        <f>IF(J125&gt;=4.5,"Excellent",IF(J125&gt;=3.5,"Good",IF(J125&gt;=2.5,"Average","Poor")))</f>
        <v>Good</v>
      </c>
      <c r="AH125" t="str">
        <f>IF(OR(TEXT(N125,"dddd")="Saturday",TEXT(N125,"dddd")="Sunday"),"Weekend","Weekday")</f>
        <v>Weekend</v>
      </c>
    </row>
    <row r="126" spans="1:34" x14ac:dyDescent="0.3">
      <c r="A126">
        <v>127</v>
      </c>
      <c r="B126">
        <v>45</v>
      </c>
      <c r="C126" t="s">
        <v>21</v>
      </c>
      <c r="D126" t="s">
        <v>73</v>
      </c>
      <c r="E126" t="s">
        <v>74</v>
      </c>
      <c r="F126">
        <v>8000</v>
      </c>
      <c r="G126">
        <v>12</v>
      </c>
      <c r="H126" t="s">
        <v>24</v>
      </c>
      <c r="I126" t="s">
        <v>25</v>
      </c>
      <c r="J126">
        <v>3</v>
      </c>
      <c r="K126" t="s">
        <v>49</v>
      </c>
      <c r="L126" t="s">
        <v>372</v>
      </c>
      <c r="M126" t="s">
        <v>373</v>
      </c>
      <c r="N126" s="2">
        <v>45782</v>
      </c>
      <c r="O126" s="2">
        <v>45794</v>
      </c>
      <c r="P126" t="s">
        <v>43</v>
      </c>
      <c r="Q126" t="s">
        <v>30</v>
      </c>
      <c r="R126" t="s">
        <v>45</v>
      </c>
      <c r="S126" t="s">
        <v>84</v>
      </c>
      <c r="T126" t="s">
        <v>33</v>
      </c>
      <c r="U126" t="s">
        <v>78</v>
      </c>
      <c r="V126" t="str">
        <f>IF(B126&lt;=18,"Children",IF(B126&lt;=35,"Young adult",IF(B126&lt;=60,"Adult", "Senior Citizen")))</f>
        <v>Adult</v>
      </c>
      <c r="W126" t="str">
        <f t="shared" si="7"/>
        <v>May</v>
      </c>
      <c r="X126">
        <f t="shared" si="8"/>
        <v>5</v>
      </c>
      <c r="Y126" t="str">
        <f t="shared" si="9"/>
        <v>Q2</v>
      </c>
      <c r="Z126">
        <f t="shared" si="10"/>
        <v>2025</v>
      </c>
      <c r="AA126" t="str">
        <f t="shared" si="11"/>
        <v>Monday</v>
      </c>
      <c r="AB126">
        <f t="shared" si="12"/>
        <v>-12</v>
      </c>
      <c r="AC126" t="str">
        <f>IF(OR(D126="Heart Disease",D126="Cancer",D126="Stroke"),"High",IF(OR(D126="Diabetes",D126="Asthma"),"Medium","Low"))</f>
        <v>Low</v>
      </c>
      <c r="AD126" t="str">
        <f t="shared" si="13"/>
        <v>No</v>
      </c>
      <c r="AE126" t="str">
        <f>IF(G126&lt;=2,"Short Stay", IF(G126&lt;=7,"Normal Stay", "Long Stay"))</f>
        <v>Long Stay</v>
      </c>
      <c r="AF126" t="str">
        <f>IF(F126&gt;60000,"Expensive",IF(F126&gt;30000,"Moderate","Affordable"))</f>
        <v>Affordable</v>
      </c>
      <c r="AG126" t="str">
        <f>IF(J126&gt;=4.5,"Excellent",IF(J126&gt;=3.5,"Good",IF(J126&gt;=2.5,"Average","Poor")))</f>
        <v>Average</v>
      </c>
      <c r="AH126" t="str">
        <f>IF(OR(TEXT(N126,"dddd")="Saturday",TEXT(N126,"dddd")="Sunday"),"Weekend","Weekday")</f>
        <v>Weekday</v>
      </c>
    </row>
    <row r="127" spans="1:34" x14ac:dyDescent="0.3">
      <c r="A127">
        <v>128</v>
      </c>
      <c r="B127">
        <v>40</v>
      </c>
      <c r="C127" t="s">
        <v>35</v>
      </c>
      <c r="D127" t="s">
        <v>79</v>
      </c>
      <c r="E127" t="s">
        <v>80</v>
      </c>
      <c r="F127">
        <v>3000</v>
      </c>
      <c r="G127">
        <v>14</v>
      </c>
      <c r="H127" t="s">
        <v>24</v>
      </c>
      <c r="I127" t="s">
        <v>25</v>
      </c>
      <c r="J127">
        <v>4</v>
      </c>
      <c r="K127" t="s">
        <v>294</v>
      </c>
      <c r="L127" t="s">
        <v>374</v>
      </c>
      <c r="M127" t="s">
        <v>375</v>
      </c>
      <c r="N127" s="2">
        <v>45783</v>
      </c>
      <c r="O127" s="2">
        <v>45797</v>
      </c>
      <c r="P127" t="s">
        <v>43</v>
      </c>
      <c r="Q127" t="s">
        <v>52</v>
      </c>
      <c r="R127" t="s">
        <v>45</v>
      </c>
      <c r="S127" t="s">
        <v>110</v>
      </c>
      <c r="T127" t="s">
        <v>33</v>
      </c>
      <c r="U127" t="s">
        <v>78</v>
      </c>
      <c r="V127" t="str">
        <f>IF(B127&lt;=18,"Children",IF(B127&lt;=35,"Young adult",IF(B127&lt;=60,"Adult", "Senior Citizen")))</f>
        <v>Adult</v>
      </c>
      <c r="W127" t="str">
        <f t="shared" si="7"/>
        <v>May</v>
      </c>
      <c r="X127">
        <f t="shared" si="8"/>
        <v>5</v>
      </c>
      <c r="Y127" t="str">
        <f t="shared" si="9"/>
        <v>Q2</v>
      </c>
      <c r="Z127">
        <f t="shared" si="10"/>
        <v>2025</v>
      </c>
      <c r="AA127" t="str">
        <f t="shared" si="11"/>
        <v>Tuesday</v>
      </c>
      <c r="AB127">
        <f t="shared" si="12"/>
        <v>-14</v>
      </c>
      <c r="AC127" t="str">
        <f>IF(OR(D127="Heart Disease",D127="Cancer",D127="Stroke"),"High",IF(OR(D127="Diabetes",D127="Asthma"),"Medium","Low"))</f>
        <v>Low</v>
      </c>
      <c r="AD127" t="str">
        <f t="shared" si="13"/>
        <v>No</v>
      </c>
      <c r="AE127" t="str">
        <f>IF(G127&lt;=2,"Short Stay", IF(G127&lt;=7,"Normal Stay", "Long Stay"))</f>
        <v>Long Stay</v>
      </c>
      <c r="AF127" t="str">
        <f>IF(F127&gt;60000,"Expensive",IF(F127&gt;30000,"Moderate","Affordable"))</f>
        <v>Affordable</v>
      </c>
      <c r="AG127" t="str">
        <f>IF(J127&gt;=4.5,"Excellent",IF(J127&gt;=3.5,"Good",IF(J127&gt;=2.5,"Average","Poor")))</f>
        <v>Good</v>
      </c>
      <c r="AH127" t="str">
        <f>IF(OR(TEXT(N127,"dddd")="Saturday",TEXT(N127,"dddd")="Sunday"),"Weekend","Weekday")</f>
        <v>Weekday</v>
      </c>
    </row>
    <row r="128" spans="1:34" x14ac:dyDescent="0.3">
      <c r="A128">
        <v>129</v>
      </c>
      <c r="B128">
        <v>78</v>
      </c>
      <c r="C128" t="s">
        <v>21</v>
      </c>
      <c r="D128" t="s">
        <v>85</v>
      </c>
      <c r="E128" t="s">
        <v>86</v>
      </c>
      <c r="F128">
        <v>18000</v>
      </c>
      <c r="G128">
        <v>16</v>
      </c>
      <c r="H128" t="s">
        <v>38</v>
      </c>
      <c r="I128" t="s">
        <v>39</v>
      </c>
      <c r="J128">
        <v>2</v>
      </c>
      <c r="K128" t="s">
        <v>223</v>
      </c>
      <c r="L128" t="s">
        <v>376</v>
      </c>
      <c r="M128" t="s">
        <v>377</v>
      </c>
      <c r="N128" s="2">
        <v>45784</v>
      </c>
      <c r="O128" s="2">
        <v>45800</v>
      </c>
      <c r="P128" t="s">
        <v>29</v>
      </c>
      <c r="Q128" t="s">
        <v>52</v>
      </c>
      <c r="R128" t="s">
        <v>45</v>
      </c>
      <c r="S128" t="s">
        <v>72</v>
      </c>
      <c r="T128" t="s">
        <v>33</v>
      </c>
      <c r="U128" t="s">
        <v>46</v>
      </c>
      <c r="V128" t="str">
        <f>IF(B128&lt;=18,"Children",IF(B128&lt;=35,"Young adult",IF(B128&lt;=60,"Adult", "Senior Citizen")))</f>
        <v>Senior Citizen</v>
      </c>
      <c r="W128" t="str">
        <f t="shared" si="7"/>
        <v>May</v>
      </c>
      <c r="X128">
        <f t="shared" si="8"/>
        <v>5</v>
      </c>
      <c r="Y128" t="str">
        <f t="shared" si="9"/>
        <v>Q2</v>
      </c>
      <c r="Z128">
        <f t="shared" si="10"/>
        <v>2025</v>
      </c>
      <c r="AA128" t="str">
        <f t="shared" si="11"/>
        <v>Wednesday</v>
      </c>
      <c r="AB128">
        <f t="shared" si="12"/>
        <v>-16</v>
      </c>
      <c r="AC128" t="str">
        <f>IF(OR(D128="Heart Disease",D128="Cancer",D128="Stroke"),"High",IF(OR(D128="Diabetes",D128="Asthma"),"Medium","Low"))</f>
        <v>Low</v>
      </c>
      <c r="AD128" t="str">
        <f t="shared" si="13"/>
        <v>No</v>
      </c>
      <c r="AE128" t="str">
        <f>IF(G128&lt;=2,"Short Stay", IF(G128&lt;=7,"Normal Stay", "Long Stay"))</f>
        <v>Long Stay</v>
      </c>
      <c r="AF128" t="str">
        <f>IF(F128&gt;60000,"Expensive",IF(F128&gt;30000,"Moderate","Affordable"))</f>
        <v>Affordable</v>
      </c>
      <c r="AG128" t="str">
        <f>IF(J128&gt;=4.5,"Excellent",IF(J128&gt;=3.5,"Good",IF(J128&gt;=2.5,"Average","Poor")))</f>
        <v>Poor</v>
      </c>
      <c r="AH128" t="str">
        <f>IF(OR(TEXT(N128,"dddd")="Saturday",TEXT(N128,"dddd")="Sunday"),"Weekend","Weekday")</f>
        <v>Weekday</v>
      </c>
    </row>
    <row r="129" spans="1:34" x14ac:dyDescent="0.3">
      <c r="A129">
        <v>130</v>
      </c>
      <c r="B129">
        <v>25</v>
      </c>
      <c r="C129" t="s">
        <v>35</v>
      </c>
      <c r="D129" t="s">
        <v>89</v>
      </c>
      <c r="E129" t="s">
        <v>90</v>
      </c>
      <c r="F129">
        <v>100</v>
      </c>
      <c r="G129">
        <v>9</v>
      </c>
      <c r="H129" t="s">
        <v>24</v>
      </c>
      <c r="I129" t="s">
        <v>25</v>
      </c>
      <c r="J129">
        <v>5</v>
      </c>
      <c r="K129" t="s">
        <v>125</v>
      </c>
      <c r="L129" t="s">
        <v>378</v>
      </c>
      <c r="M129" t="s">
        <v>379</v>
      </c>
      <c r="N129" s="2">
        <v>45785</v>
      </c>
      <c r="O129" s="2">
        <v>45794</v>
      </c>
      <c r="P129" t="s">
        <v>29</v>
      </c>
      <c r="Q129" t="s">
        <v>139</v>
      </c>
      <c r="R129" t="s">
        <v>45</v>
      </c>
      <c r="S129" t="s">
        <v>110</v>
      </c>
      <c r="T129" t="s">
        <v>33</v>
      </c>
      <c r="U129" t="s">
        <v>34</v>
      </c>
      <c r="V129" t="str">
        <f>IF(B129&lt;=18,"Children",IF(B129&lt;=35,"Young adult",IF(B129&lt;=60,"Adult", "Senior Citizen")))</f>
        <v>Young adult</v>
      </c>
      <c r="W129" t="str">
        <f t="shared" si="7"/>
        <v>May</v>
      </c>
      <c r="X129">
        <f t="shared" si="8"/>
        <v>5</v>
      </c>
      <c r="Y129" t="str">
        <f t="shared" si="9"/>
        <v>Q2</v>
      </c>
      <c r="Z129">
        <f t="shared" si="10"/>
        <v>2025</v>
      </c>
      <c r="AA129" t="str">
        <f t="shared" si="11"/>
        <v>Thursday</v>
      </c>
      <c r="AB129">
        <f t="shared" si="12"/>
        <v>-9</v>
      </c>
      <c r="AC129" t="str">
        <f>IF(OR(D129="Heart Disease",D129="Cancer",D129="Stroke"),"High",IF(OR(D129="Diabetes",D129="Asthma"),"Medium","Low"))</f>
        <v>Low</v>
      </c>
      <c r="AD129" t="str">
        <f t="shared" si="13"/>
        <v>No</v>
      </c>
      <c r="AE129" t="str">
        <f>IF(G129&lt;=2,"Short Stay", IF(G129&lt;=7,"Normal Stay", "Long Stay"))</f>
        <v>Long Stay</v>
      </c>
      <c r="AF129" t="str">
        <f>IF(F129&gt;60000,"Expensive",IF(F129&gt;30000,"Moderate","Affordable"))</f>
        <v>Affordable</v>
      </c>
      <c r="AG129" t="str">
        <f>IF(J129&gt;=4.5,"Excellent",IF(J129&gt;=3.5,"Good",IF(J129&gt;=2.5,"Average","Poor")))</f>
        <v>Excellent</v>
      </c>
      <c r="AH129" t="str">
        <f>IF(OR(TEXT(N129,"dddd")="Saturday",TEXT(N129,"dddd")="Sunday"),"Weekend","Weekday")</f>
        <v>Weekday</v>
      </c>
    </row>
    <row r="130" spans="1:34" x14ac:dyDescent="0.3">
      <c r="A130">
        <v>131</v>
      </c>
      <c r="B130">
        <v>52</v>
      </c>
      <c r="C130" t="s">
        <v>21</v>
      </c>
      <c r="D130" t="s">
        <v>94</v>
      </c>
      <c r="E130" t="s">
        <v>95</v>
      </c>
      <c r="F130">
        <v>800</v>
      </c>
      <c r="G130">
        <v>10</v>
      </c>
      <c r="H130" t="s">
        <v>24</v>
      </c>
      <c r="I130" t="s">
        <v>39</v>
      </c>
      <c r="J130">
        <v>4</v>
      </c>
      <c r="K130" t="s">
        <v>380</v>
      </c>
      <c r="L130" t="s">
        <v>381</v>
      </c>
      <c r="M130" t="s">
        <v>382</v>
      </c>
      <c r="N130" s="2">
        <v>45786</v>
      </c>
      <c r="O130" s="2">
        <v>45796</v>
      </c>
      <c r="P130" t="s">
        <v>43</v>
      </c>
      <c r="Q130" t="s">
        <v>139</v>
      </c>
      <c r="R130" t="s">
        <v>45</v>
      </c>
      <c r="S130" t="s">
        <v>53</v>
      </c>
      <c r="T130" t="s">
        <v>33</v>
      </c>
      <c r="U130" t="s">
        <v>46</v>
      </c>
      <c r="V130" t="str">
        <f>IF(B130&lt;=18,"Children",IF(B130&lt;=35,"Young adult",IF(B130&lt;=60,"Adult", "Senior Citizen")))</f>
        <v>Adult</v>
      </c>
      <c r="W130" t="str">
        <f t="shared" si="7"/>
        <v>May</v>
      </c>
      <c r="X130">
        <f t="shared" si="8"/>
        <v>5</v>
      </c>
      <c r="Y130" t="str">
        <f t="shared" si="9"/>
        <v>Q2</v>
      </c>
      <c r="Z130">
        <f t="shared" si="10"/>
        <v>2025</v>
      </c>
      <c r="AA130" t="str">
        <f t="shared" si="11"/>
        <v>Friday</v>
      </c>
      <c r="AB130">
        <f t="shared" si="12"/>
        <v>-10</v>
      </c>
      <c r="AC130" t="str">
        <f>IF(OR(D130="Heart Disease",D130="Cancer",D130="Stroke"),"High",IF(OR(D130="Diabetes",D130="Asthma"),"Medium","Low"))</f>
        <v>Low</v>
      </c>
      <c r="AD130" t="str">
        <f t="shared" si="13"/>
        <v>No</v>
      </c>
      <c r="AE130" t="str">
        <f>IF(G130&lt;=2,"Short Stay", IF(G130&lt;=7,"Normal Stay", "Long Stay"))</f>
        <v>Long Stay</v>
      </c>
      <c r="AF130" t="str">
        <f>IF(F130&gt;60000,"Expensive",IF(F130&gt;30000,"Moderate","Affordable"))</f>
        <v>Affordable</v>
      </c>
      <c r="AG130" t="str">
        <f>IF(J130&gt;=4.5,"Excellent",IF(J130&gt;=3.5,"Good",IF(J130&gt;=2.5,"Average","Poor")))</f>
        <v>Good</v>
      </c>
      <c r="AH130" t="str">
        <f>IF(OR(TEXT(N130,"dddd")="Saturday",TEXT(N130,"dddd")="Sunday"),"Weekend","Weekday")</f>
        <v>Weekday</v>
      </c>
    </row>
    <row r="131" spans="1:34" x14ac:dyDescent="0.3">
      <c r="A131">
        <v>132</v>
      </c>
      <c r="B131">
        <v>58</v>
      </c>
      <c r="C131" t="s">
        <v>35</v>
      </c>
      <c r="D131" t="s">
        <v>99</v>
      </c>
      <c r="E131" t="s">
        <v>100</v>
      </c>
      <c r="F131">
        <v>20000</v>
      </c>
      <c r="G131">
        <v>17</v>
      </c>
      <c r="H131" t="s">
        <v>24</v>
      </c>
      <c r="I131" t="s">
        <v>25</v>
      </c>
      <c r="J131">
        <v>3</v>
      </c>
      <c r="K131" t="s">
        <v>96</v>
      </c>
      <c r="L131" t="s">
        <v>383</v>
      </c>
      <c r="M131" t="s">
        <v>384</v>
      </c>
      <c r="N131" s="2">
        <v>45787</v>
      </c>
      <c r="O131" s="2">
        <v>45804</v>
      </c>
      <c r="P131" t="s">
        <v>43</v>
      </c>
      <c r="Q131" t="s">
        <v>52</v>
      </c>
      <c r="R131" t="s">
        <v>45</v>
      </c>
      <c r="S131" t="s">
        <v>110</v>
      </c>
      <c r="T131" t="s">
        <v>33</v>
      </c>
      <c r="U131" t="s">
        <v>46</v>
      </c>
      <c r="V131" t="str">
        <f>IF(B131&lt;=18,"Children",IF(B131&lt;=35,"Young adult",IF(B131&lt;=60,"Adult", "Senior Citizen")))</f>
        <v>Adult</v>
      </c>
      <c r="W131" t="str">
        <f t="shared" ref="W131:W194" si="14">TEXT(N131,"MMM")</f>
        <v>May</v>
      </c>
      <c r="X131">
        <f t="shared" ref="X131:X194" si="15">MONTH(N131)</f>
        <v>5</v>
      </c>
      <c r="Y131" t="str">
        <f t="shared" ref="Y131:Y194" si="16">"Q"&amp;ROUNDUP(MONTH(N131)/3,0)</f>
        <v>Q2</v>
      </c>
      <c r="Z131">
        <f t="shared" ref="Z131:Z194" si="17">YEAR(N131)</f>
        <v>2025</v>
      </c>
      <c r="AA131" t="str">
        <f t="shared" ref="AA131:AA194" si="18">TEXT(N131, "dddd")</f>
        <v>Saturday</v>
      </c>
      <c r="AB131">
        <f t="shared" ref="AB131:AB194" si="19">N131-O131</f>
        <v>-17</v>
      </c>
      <c r="AC131" t="str">
        <f>IF(OR(D131="Heart Disease",D131="Cancer",D131="Stroke"),"High",IF(OR(D131="Diabetes",D131="Asthma"),"Medium","Low"))</f>
        <v>Low</v>
      </c>
      <c r="AD131" t="str">
        <f t="shared" ref="AD131:AD194" si="20">IF(AC131="High","Yes","No")</f>
        <v>No</v>
      </c>
      <c r="AE131" t="str">
        <f>IF(G131&lt;=2,"Short Stay", IF(G131&lt;=7,"Normal Stay", "Long Stay"))</f>
        <v>Long Stay</v>
      </c>
      <c r="AF131" t="str">
        <f>IF(F131&gt;60000,"Expensive",IF(F131&gt;30000,"Moderate","Affordable"))</f>
        <v>Affordable</v>
      </c>
      <c r="AG131" t="str">
        <f>IF(J131&gt;=4.5,"Excellent",IF(J131&gt;=3.5,"Good",IF(J131&gt;=2.5,"Average","Poor")))</f>
        <v>Average</v>
      </c>
      <c r="AH131" t="str">
        <f>IF(OR(TEXT(N131,"dddd")="Saturday",TEXT(N131,"dddd")="Sunday"),"Weekend","Weekday")</f>
        <v>Weekend</v>
      </c>
    </row>
    <row r="132" spans="1:34" x14ac:dyDescent="0.3">
      <c r="A132">
        <v>133</v>
      </c>
      <c r="B132">
        <v>32</v>
      </c>
      <c r="C132" t="s">
        <v>21</v>
      </c>
      <c r="D132" t="s">
        <v>105</v>
      </c>
      <c r="E132" t="s">
        <v>106</v>
      </c>
      <c r="F132">
        <v>12000</v>
      </c>
      <c r="G132">
        <v>11</v>
      </c>
      <c r="H132" t="s">
        <v>24</v>
      </c>
      <c r="I132" t="s">
        <v>25</v>
      </c>
      <c r="J132">
        <v>4</v>
      </c>
      <c r="K132" t="s">
        <v>149</v>
      </c>
      <c r="L132" t="s">
        <v>385</v>
      </c>
      <c r="M132" t="s">
        <v>386</v>
      </c>
      <c r="N132" s="2">
        <v>45788</v>
      </c>
      <c r="O132" s="2">
        <v>45799</v>
      </c>
      <c r="P132" t="s">
        <v>43</v>
      </c>
      <c r="Q132" t="s">
        <v>30</v>
      </c>
      <c r="R132" t="s">
        <v>45</v>
      </c>
      <c r="S132" t="s">
        <v>72</v>
      </c>
      <c r="T132" t="s">
        <v>33</v>
      </c>
      <c r="U132" t="s">
        <v>104</v>
      </c>
      <c r="V132" t="str">
        <f>IF(B132&lt;=18,"Children",IF(B132&lt;=35,"Young adult",IF(B132&lt;=60,"Adult", "Senior Citizen")))</f>
        <v>Young adult</v>
      </c>
      <c r="W132" t="str">
        <f t="shared" si="14"/>
        <v>May</v>
      </c>
      <c r="X132">
        <f t="shared" si="15"/>
        <v>5</v>
      </c>
      <c r="Y132" t="str">
        <f t="shared" si="16"/>
        <v>Q2</v>
      </c>
      <c r="Z132">
        <f t="shared" si="17"/>
        <v>2025</v>
      </c>
      <c r="AA132" t="str">
        <f t="shared" si="18"/>
        <v>Sunday</v>
      </c>
      <c r="AB132">
        <f t="shared" si="19"/>
        <v>-11</v>
      </c>
      <c r="AC132" t="str">
        <f>IF(OR(D132="Heart Disease",D132="Cancer",D132="Stroke"),"High",IF(OR(D132="Diabetes",D132="Asthma"),"Medium","Low"))</f>
        <v>Low</v>
      </c>
      <c r="AD132" t="str">
        <f t="shared" si="20"/>
        <v>No</v>
      </c>
      <c r="AE132" t="str">
        <f>IF(G132&lt;=2,"Short Stay", IF(G132&lt;=7,"Normal Stay", "Long Stay"))</f>
        <v>Long Stay</v>
      </c>
      <c r="AF132" t="str">
        <f>IF(F132&gt;60000,"Expensive",IF(F132&gt;30000,"Moderate","Affordable"))</f>
        <v>Affordable</v>
      </c>
      <c r="AG132" t="str">
        <f>IF(J132&gt;=4.5,"Excellent",IF(J132&gt;=3.5,"Good",IF(J132&gt;=2.5,"Average","Poor")))</f>
        <v>Good</v>
      </c>
      <c r="AH132" t="str">
        <f>IF(OR(TEXT(N132,"dddd")="Saturday",TEXT(N132,"dddd")="Sunday"),"Weekend","Weekday")</f>
        <v>Weekend</v>
      </c>
    </row>
    <row r="133" spans="1:34" x14ac:dyDescent="0.3">
      <c r="A133">
        <v>134</v>
      </c>
      <c r="B133">
        <v>55</v>
      </c>
      <c r="C133" t="s">
        <v>35</v>
      </c>
      <c r="D133" t="s">
        <v>111</v>
      </c>
      <c r="E133" t="s">
        <v>112</v>
      </c>
      <c r="F133">
        <v>6000</v>
      </c>
      <c r="G133">
        <v>12</v>
      </c>
      <c r="H133" t="s">
        <v>24</v>
      </c>
      <c r="I133" t="s">
        <v>25</v>
      </c>
      <c r="J133">
        <v>3</v>
      </c>
      <c r="K133" t="s">
        <v>194</v>
      </c>
      <c r="L133" t="s">
        <v>387</v>
      </c>
      <c r="M133" t="s">
        <v>388</v>
      </c>
      <c r="N133" s="2">
        <v>45789</v>
      </c>
      <c r="O133" s="2">
        <v>45801</v>
      </c>
      <c r="P133" t="s">
        <v>43</v>
      </c>
      <c r="Q133" t="s">
        <v>44</v>
      </c>
      <c r="R133" t="s">
        <v>45</v>
      </c>
      <c r="S133" t="s">
        <v>110</v>
      </c>
      <c r="T133" t="s">
        <v>33</v>
      </c>
      <c r="U133" t="s">
        <v>78</v>
      </c>
      <c r="V133" t="str">
        <f>IF(B133&lt;=18,"Children",IF(B133&lt;=35,"Young adult",IF(B133&lt;=60,"Adult", "Senior Citizen")))</f>
        <v>Adult</v>
      </c>
      <c r="W133" t="str">
        <f t="shared" si="14"/>
        <v>May</v>
      </c>
      <c r="X133">
        <f t="shared" si="15"/>
        <v>5</v>
      </c>
      <c r="Y133" t="str">
        <f t="shared" si="16"/>
        <v>Q2</v>
      </c>
      <c r="Z133">
        <f t="shared" si="17"/>
        <v>2025</v>
      </c>
      <c r="AA133" t="str">
        <f t="shared" si="18"/>
        <v>Monday</v>
      </c>
      <c r="AB133">
        <f t="shared" si="19"/>
        <v>-12</v>
      </c>
      <c r="AC133" t="str">
        <f>IF(OR(D133="Heart Disease",D133="Cancer",D133="Stroke"),"High",IF(OR(D133="Diabetes",D133="Asthma"),"Medium","Low"))</f>
        <v>Low</v>
      </c>
      <c r="AD133" t="str">
        <f t="shared" si="20"/>
        <v>No</v>
      </c>
      <c r="AE133" t="str">
        <f>IF(G133&lt;=2,"Short Stay", IF(G133&lt;=7,"Normal Stay", "Long Stay"))</f>
        <v>Long Stay</v>
      </c>
      <c r="AF133" t="str">
        <f>IF(F133&gt;60000,"Expensive",IF(F133&gt;30000,"Moderate","Affordable"))</f>
        <v>Affordable</v>
      </c>
      <c r="AG133" t="str">
        <f>IF(J133&gt;=4.5,"Excellent",IF(J133&gt;=3.5,"Good",IF(J133&gt;=2.5,"Average","Poor")))</f>
        <v>Average</v>
      </c>
      <c r="AH133" t="str">
        <f>IF(OR(TEXT(N133,"dddd")="Saturday",TEXT(N133,"dddd")="Sunday"),"Weekend","Weekday")</f>
        <v>Weekday</v>
      </c>
    </row>
    <row r="134" spans="1:34" x14ac:dyDescent="0.3">
      <c r="A134">
        <v>135</v>
      </c>
      <c r="B134">
        <v>65</v>
      </c>
      <c r="C134" t="s">
        <v>21</v>
      </c>
      <c r="D134" t="s">
        <v>116</v>
      </c>
      <c r="E134" t="s">
        <v>117</v>
      </c>
      <c r="F134">
        <v>4000</v>
      </c>
      <c r="G134">
        <v>13</v>
      </c>
      <c r="H134" t="s">
        <v>24</v>
      </c>
      <c r="I134" t="s">
        <v>39</v>
      </c>
      <c r="J134">
        <v>4</v>
      </c>
      <c r="K134" t="s">
        <v>317</v>
      </c>
      <c r="L134" t="s">
        <v>389</v>
      </c>
      <c r="M134" t="s">
        <v>390</v>
      </c>
      <c r="N134" s="2">
        <v>45790</v>
      </c>
      <c r="O134" s="2">
        <v>45803</v>
      </c>
      <c r="P134" t="s">
        <v>29</v>
      </c>
      <c r="Q134" t="s">
        <v>139</v>
      </c>
      <c r="R134" t="s">
        <v>45</v>
      </c>
      <c r="S134" t="s">
        <v>53</v>
      </c>
      <c r="T134" t="s">
        <v>33</v>
      </c>
      <c r="U134" t="s">
        <v>46</v>
      </c>
      <c r="V134" t="str">
        <f>IF(B134&lt;=18,"Children",IF(B134&lt;=35,"Young adult",IF(B134&lt;=60,"Adult", "Senior Citizen")))</f>
        <v>Senior Citizen</v>
      </c>
      <c r="W134" t="str">
        <f t="shared" si="14"/>
        <v>May</v>
      </c>
      <c r="X134">
        <f t="shared" si="15"/>
        <v>5</v>
      </c>
      <c r="Y134" t="str">
        <f t="shared" si="16"/>
        <v>Q2</v>
      </c>
      <c r="Z134">
        <f t="shared" si="17"/>
        <v>2025</v>
      </c>
      <c r="AA134" t="str">
        <f t="shared" si="18"/>
        <v>Tuesday</v>
      </c>
      <c r="AB134">
        <f t="shared" si="19"/>
        <v>-13</v>
      </c>
      <c r="AC134" t="str">
        <f>IF(OR(D134="Heart Disease",D134="Cancer",D134="Stroke"),"High",IF(OR(D134="Diabetes",D134="Asthma"),"Medium","Low"))</f>
        <v>Low</v>
      </c>
      <c r="AD134" t="str">
        <f t="shared" si="20"/>
        <v>No</v>
      </c>
      <c r="AE134" t="str">
        <f>IF(G134&lt;=2,"Short Stay", IF(G134&lt;=7,"Normal Stay", "Long Stay"))</f>
        <v>Long Stay</v>
      </c>
      <c r="AF134" t="str">
        <f>IF(F134&gt;60000,"Expensive",IF(F134&gt;30000,"Moderate","Affordable"))</f>
        <v>Affordable</v>
      </c>
      <c r="AG134" t="str">
        <f>IF(J134&gt;=4.5,"Excellent",IF(J134&gt;=3.5,"Good",IF(J134&gt;=2.5,"Average","Poor")))</f>
        <v>Good</v>
      </c>
      <c r="AH134" t="str">
        <f>IF(OR(TEXT(N134,"dddd")="Saturday",TEXT(N134,"dddd")="Sunday"),"Weekend","Weekday")</f>
        <v>Weekday</v>
      </c>
    </row>
    <row r="135" spans="1:34" x14ac:dyDescent="0.3">
      <c r="A135">
        <v>136</v>
      </c>
      <c r="B135">
        <v>55</v>
      </c>
      <c r="C135" t="s">
        <v>21</v>
      </c>
      <c r="D135" t="s">
        <v>22</v>
      </c>
      <c r="E135" t="s">
        <v>23</v>
      </c>
      <c r="F135">
        <v>15000</v>
      </c>
      <c r="G135">
        <v>14</v>
      </c>
      <c r="H135" t="s">
        <v>38</v>
      </c>
      <c r="I135" t="s">
        <v>25</v>
      </c>
      <c r="J135">
        <v>3</v>
      </c>
      <c r="K135" t="s">
        <v>197</v>
      </c>
      <c r="L135" t="s">
        <v>391</v>
      </c>
      <c r="M135" t="s">
        <v>392</v>
      </c>
      <c r="N135" s="2">
        <v>45791</v>
      </c>
      <c r="O135" s="2">
        <v>45805</v>
      </c>
      <c r="P135" t="s">
        <v>43</v>
      </c>
      <c r="Q135" t="s">
        <v>30</v>
      </c>
      <c r="R135" t="s">
        <v>31</v>
      </c>
      <c r="S135" t="s">
        <v>72</v>
      </c>
      <c r="T135" t="s">
        <v>33</v>
      </c>
      <c r="U135" t="s">
        <v>104</v>
      </c>
      <c r="V135" t="str">
        <f>IF(B135&lt;=18,"Children",IF(B135&lt;=35,"Young adult",IF(B135&lt;=60,"Adult", "Senior Citizen")))</f>
        <v>Adult</v>
      </c>
      <c r="W135" t="str">
        <f t="shared" si="14"/>
        <v>May</v>
      </c>
      <c r="X135">
        <f t="shared" si="15"/>
        <v>5</v>
      </c>
      <c r="Y135" t="str">
        <f t="shared" si="16"/>
        <v>Q2</v>
      </c>
      <c r="Z135">
        <f t="shared" si="17"/>
        <v>2025</v>
      </c>
      <c r="AA135" t="str">
        <f t="shared" si="18"/>
        <v>Wednesday</v>
      </c>
      <c r="AB135">
        <f t="shared" si="19"/>
        <v>-14</v>
      </c>
      <c r="AC135" t="str">
        <f>IF(OR(D135="Heart Disease",D135="Cancer",D135="Stroke"),"High",IF(OR(D135="Diabetes",D135="Asthma"),"Medium","Low"))</f>
        <v>High</v>
      </c>
      <c r="AD135" t="str">
        <f t="shared" si="20"/>
        <v>Yes</v>
      </c>
      <c r="AE135" t="str">
        <f>IF(G135&lt;=2,"Short Stay", IF(G135&lt;=7,"Normal Stay", "Long Stay"))</f>
        <v>Long Stay</v>
      </c>
      <c r="AF135" t="str">
        <f>IF(F135&gt;60000,"Expensive",IF(F135&gt;30000,"Moderate","Affordable"))</f>
        <v>Affordable</v>
      </c>
      <c r="AG135" t="str">
        <f>IF(J135&gt;=4.5,"Excellent",IF(J135&gt;=3.5,"Good",IF(J135&gt;=2.5,"Average","Poor")))</f>
        <v>Average</v>
      </c>
      <c r="AH135" t="str">
        <f>IF(OR(TEXT(N135,"dddd")="Saturday",TEXT(N135,"dddd")="Sunday"),"Weekend","Weekday")</f>
        <v>Weekday</v>
      </c>
    </row>
    <row r="136" spans="1:34" x14ac:dyDescent="0.3">
      <c r="A136">
        <v>137</v>
      </c>
      <c r="B136">
        <v>62</v>
      </c>
      <c r="C136" t="s">
        <v>35</v>
      </c>
      <c r="D136" t="s">
        <v>36</v>
      </c>
      <c r="E136" t="s">
        <v>37</v>
      </c>
      <c r="F136">
        <v>2000</v>
      </c>
      <c r="G136">
        <v>12</v>
      </c>
      <c r="H136" t="s">
        <v>24</v>
      </c>
      <c r="I136" t="s">
        <v>39</v>
      </c>
      <c r="J136">
        <v>4</v>
      </c>
      <c r="K136" t="s">
        <v>107</v>
      </c>
      <c r="L136" t="s">
        <v>393</v>
      </c>
      <c r="M136" t="s">
        <v>394</v>
      </c>
      <c r="N136" s="2">
        <v>45792</v>
      </c>
      <c r="O136" s="2">
        <v>45804</v>
      </c>
      <c r="P136" t="s">
        <v>29</v>
      </c>
      <c r="Q136" t="s">
        <v>139</v>
      </c>
      <c r="R136" t="s">
        <v>45</v>
      </c>
      <c r="S136" t="s">
        <v>110</v>
      </c>
      <c r="T136" t="s">
        <v>33</v>
      </c>
      <c r="U136" t="s">
        <v>104</v>
      </c>
      <c r="V136" t="str">
        <f>IF(B136&lt;=18,"Children",IF(B136&lt;=35,"Young adult",IF(B136&lt;=60,"Adult", "Senior Citizen")))</f>
        <v>Senior Citizen</v>
      </c>
      <c r="W136" t="str">
        <f t="shared" si="14"/>
        <v>May</v>
      </c>
      <c r="X136">
        <f t="shared" si="15"/>
        <v>5</v>
      </c>
      <c r="Y136" t="str">
        <f t="shared" si="16"/>
        <v>Q2</v>
      </c>
      <c r="Z136">
        <f t="shared" si="17"/>
        <v>2025</v>
      </c>
      <c r="AA136" t="str">
        <f t="shared" si="18"/>
        <v>Thursday</v>
      </c>
      <c r="AB136">
        <f t="shared" si="19"/>
        <v>-12</v>
      </c>
      <c r="AC136" t="str">
        <f>IF(OR(D136="Heart Disease",D136="Cancer",D136="Stroke"),"High",IF(OR(D136="Diabetes",D136="Asthma"),"Medium","Low"))</f>
        <v>Medium</v>
      </c>
      <c r="AD136" t="str">
        <f t="shared" si="20"/>
        <v>No</v>
      </c>
      <c r="AE136" t="str">
        <f>IF(G136&lt;=2,"Short Stay", IF(G136&lt;=7,"Normal Stay", "Long Stay"))</f>
        <v>Long Stay</v>
      </c>
      <c r="AF136" t="str">
        <f>IF(F136&gt;60000,"Expensive",IF(F136&gt;30000,"Moderate","Affordable"))</f>
        <v>Affordable</v>
      </c>
      <c r="AG136" t="str">
        <f>IF(J136&gt;=4.5,"Excellent",IF(J136&gt;=3.5,"Good",IF(J136&gt;=2.5,"Average","Poor")))</f>
        <v>Good</v>
      </c>
      <c r="AH136" t="str">
        <f>IF(OR(TEXT(N136,"dddd")="Saturday",TEXT(N136,"dddd")="Sunday"),"Weekend","Weekday")</f>
        <v>Weekday</v>
      </c>
    </row>
    <row r="137" spans="1:34" x14ac:dyDescent="0.3">
      <c r="A137">
        <v>138</v>
      </c>
      <c r="B137">
        <v>35</v>
      </c>
      <c r="C137" t="s">
        <v>21</v>
      </c>
      <c r="D137" t="s">
        <v>47</v>
      </c>
      <c r="E137" t="s">
        <v>48</v>
      </c>
      <c r="F137">
        <v>500</v>
      </c>
      <c r="G137">
        <v>10</v>
      </c>
      <c r="H137" t="s">
        <v>38</v>
      </c>
      <c r="I137" t="s">
        <v>25</v>
      </c>
      <c r="J137">
        <v>5</v>
      </c>
      <c r="K137" t="s">
        <v>149</v>
      </c>
      <c r="L137" t="s">
        <v>395</v>
      </c>
      <c r="M137" t="s">
        <v>396</v>
      </c>
      <c r="N137" s="2">
        <v>45793</v>
      </c>
      <c r="O137" s="2">
        <v>45803</v>
      </c>
      <c r="P137" t="s">
        <v>29</v>
      </c>
      <c r="Q137" t="s">
        <v>52</v>
      </c>
      <c r="R137" t="s">
        <v>45</v>
      </c>
      <c r="S137" t="s">
        <v>72</v>
      </c>
      <c r="T137" t="s">
        <v>33</v>
      </c>
      <c r="U137" t="s">
        <v>46</v>
      </c>
      <c r="V137" t="str">
        <f>IF(B137&lt;=18,"Children",IF(B137&lt;=35,"Young adult",IF(B137&lt;=60,"Adult", "Senior Citizen")))</f>
        <v>Young adult</v>
      </c>
      <c r="W137" t="str">
        <f t="shared" si="14"/>
        <v>May</v>
      </c>
      <c r="X137">
        <f t="shared" si="15"/>
        <v>5</v>
      </c>
      <c r="Y137" t="str">
        <f t="shared" si="16"/>
        <v>Q2</v>
      </c>
      <c r="Z137">
        <f t="shared" si="17"/>
        <v>2025</v>
      </c>
      <c r="AA137" t="str">
        <f t="shared" si="18"/>
        <v>Friday</v>
      </c>
      <c r="AB137">
        <f t="shared" si="19"/>
        <v>-10</v>
      </c>
      <c r="AC137" t="str">
        <f>IF(OR(D137="Heart Disease",D137="Cancer",D137="Stroke"),"High",IF(OR(D137="Diabetes",D137="Asthma"),"Medium","Low"))</f>
        <v>Low</v>
      </c>
      <c r="AD137" t="str">
        <f t="shared" si="20"/>
        <v>No</v>
      </c>
      <c r="AE137" t="str">
        <f>IF(G137&lt;=2,"Short Stay", IF(G137&lt;=7,"Normal Stay", "Long Stay"))</f>
        <v>Long Stay</v>
      </c>
      <c r="AF137" t="str">
        <f>IF(F137&gt;60000,"Expensive",IF(F137&gt;30000,"Moderate","Affordable"))</f>
        <v>Affordable</v>
      </c>
      <c r="AG137" t="str">
        <f>IF(J137&gt;=4.5,"Excellent",IF(J137&gt;=3.5,"Good",IF(J137&gt;=2.5,"Average","Poor")))</f>
        <v>Excellent</v>
      </c>
      <c r="AH137" t="str">
        <f>IF(OR(TEXT(N137,"dddd")="Saturday",TEXT(N137,"dddd")="Sunday"),"Weekend","Weekday")</f>
        <v>Weekday</v>
      </c>
    </row>
    <row r="138" spans="1:34" x14ac:dyDescent="0.3">
      <c r="A138">
        <v>139</v>
      </c>
      <c r="B138">
        <v>78</v>
      </c>
      <c r="C138" t="s">
        <v>35</v>
      </c>
      <c r="D138" t="s">
        <v>54</v>
      </c>
      <c r="E138" t="s">
        <v>55</v>
      </c>
      <c r="F138">
        <v>10000</v>
      </c>
      <c r="G138">
        <v>16</v>
      </c>
      <c r="H138" t="s">
        <v>24</v>
      </c>
      <c r="I138" t="s">
        <v>39</v>
      </c>
      <c r="J138">
        <v>2</v>
      </c>
      <c r="K138" t="s">
        <v>49</v>
      </c>
      <c r="L138" t="s">
        <v>397</v>
      </c>
      <c r="M138" t="s">
        <v>398</v>
      </c>
      <c r="N138" s="2">
        <v>45794</v>
      </c>
      <c r="O138" s="2">
        <v>45810</v>
      </c>
      <c r="P138" t="s">
        <v>43</v>
      </c>
      <c r="Q138" t="s">
        <v>30</v>
      </c>
      <c r="R138" t="s">
        <v>59</v>
      </c>
      <c r="S138" t="s">
        <v>53</v>
      </c>
      <c r="T138" t="s">
        <v>33</v>
      </c>
      <c r="U138" t="s">
        <v>46</v>
      </c>
      <c r="V138" t="str">
        <f>IF(B138&lt;=18,"Children",IF(B138&lt;=35,"Young adult",IF(B138&lt;=60,"Adult", "Senior Citizen")))</f>
        <v>Senior Citizen</v>
      </c>
      <c r="W138" t="str">
        <f t="shared" si="14"/>
        <v>May</v>
      </c>
      <c r="X138">
        <f t="shared" si="15"/>
        <v>5</v>
      </c>
      <c r="Y138" t="str">
        <f t="shared" si="16"/>
        <v>Q2</v>
      </c>
      <c r="Z138">
        <f t="shared" si="17"/>
        <v>2025</v>
      </c>
      <c r="AA138" t="str">
        <f t="shared" si="18"/>
        <v>Saturday</v>
      </c>
      <c r="AB138">
        <f t="shared" si="19"/>
        <v>-16</v>
      </c>
      <c r="AC138" t="str">
        <f>IF(OR(D138="Heart Disease",D138="Cancer",D138="Stroke"),"High",IF(OR(D138="Diabetes",D138="Asthma"),"Medium","Low"))</f>
        <v>High</v>
      </c>
      <c r="AD138" t="str">
        <f t="shared" si="20"/>
        <v>Yes</v>
      </c>
      <c r="AE138" t="str">
        <f>IF(G138&lt;=2,"Short Stay", IF(G138&lt;=7,"Normal Stay", "Long Stay"))</f>
        <v>Long Stay</v>
      </c>
      <c r="AF138" t="str">
        <f>IF(F138&gt;60000,"Expensive",IF(F138&gt;30000,"Moderate","Affordable"))</f>
        <v>Affordable</v>
      </c>
      <c r="AG138" t="str">
        <f>IF(J138&gt;=4.5,"Excellent",IF(J138&gt;=3.5,"Good",IF(J138&gt;=2.5,"Average","Poor")))</f>
        <v>Poor</v>
      </c>
      <c r="AH138" t="str">
        <f>IF(OR(TEXT(N138,"dddd")="Saturday",TEXT(N138,"dddd")="Sunday"),"Weekend","Weekday")</f>
        <v>Weekend</v>
      </c>
    </row>
    <row r="139" spans="1:34" x14ac:dyDescent="0.3">
      <c r="A139">
        <v>140</v>
      </c>
      <c r="B139">
        <v>53</v>
      </c>
      <c r="C139" t="s">
        <v>21</v>
      </c>
      <c r="D139" t="s">
        <v>60</v>
      </c>
      <c r="E139" t="s">
        <v>61</v>
      </c>
      <c r="F139">
        <v>25000</v>
      </c>
      <c r="G139">
        <v>19</v>
      </c>
      <c r="H139" t="s">
        <v>38</v>
      </c>
      <c r="I139" t="s">
        <v>25</v>
      </c>
      <c r="J139">
        <v>4</v>
      </c>
      <c r="K139" t="s">
        <v>160</v>
      </c>
      <c r="L139" t="s">
        <v>399</v>
      </c>
      <c r="M139" t="s">
        <v>400</v>
      </c>
      <c r="N139" s="2">
        <v>45795</v>
      </c>
      <c r="O139" s="2">
        <v>45814</v>
      </c>
      <c r="P139" t="s">
        <v>29</v>
      </c>
      <c r="Q139" t="s">
        <v>30</v>
      </c>
      <c r="R139" t="s">
        <v>65</v>
      </c>
      <c r="S139" t="s">
        <v>110</v>
      </c>
      <c r="T139" t="s">
        <v>33</v>
      </c>
      <c r="U139" t="s">
        <v>34</v>
      </c>
      <c r="V139" t="str">
        <f>IF(B139&lt;=18,"Children",IF(B139&lt;=35,"Young adult",IF(B139&lt;=60,"Adult", "Senior Citizen")))</f>
        <v>Adult</v>
      </c>
      <c r="W139" t="str">
        <f t="shared" si="14"/>
        <v>May</v>
      </c>
      <c r="X139">
        <f t="shared" si="15"/>
        <v>5</v>
      </c>
      <c r="Y139" t="str">
        <f t="shared" si="16"/>
        <v>Q2</v>
      </c>
      <c r="Z139">
        <f t="shared" si="17"/>
        <v>2025</v>
      </c>
      <c r="AA139" t="str">
        <f t="shared" si="18"/>
        <v>Sunday</v>
      </c>
      <c r="AB139">
        <f t="shared" si="19"/>
        <v>-19</v>
      </c>
      <c r="AC139" t="str">
        <f>IF(OR(D139="Heart Disease",D139="Cancer",D139="Stroke"),"High",IF(OR(D139="Diabetes",D139="Asthma"),"Medium","Low"))</f>
        <v>High</v>
      </c>
      <c r="AD139" t="str">
        <f t="shared" si="20"/>
        <v>Yes</v>
      </c>
      <c r="AE139" t="str">
        <f>IF(G139&lt;=2,"Short Stay", IF(G139&lt;=7,"Normal Stay", "Long Stay"))</f>
        <v>Long Stay</v>
      </c>
      <c r="AF139" t="str">
        <f>IF(F139&gt;60000,"Expensive",IF(F139&gt;30000,"Moderate","Affordable"))</f>
        <v>Affordable</v>
      </c>
      <c r="AG139" t="str">
        <f>IF(J139&gt;=4.5,"Excellent",IF(J139&gt;=3.5,"Good",IF(J139&gt;=2.5,"Average","Poor")))</f>
        <v>Good</v>
      </c>
      <c r="AH139" t="str">
        <f>IF(OR(TEXT(N139,"dddd")="Saturday",TEXT(N139,"dddd")="Sunday"),"Weekend","Weekday")</f>
        <v>Weekend</v>
      </c>
    </row>
    <row r="140" spans="1:34" x14ac:dyDescent="0.3">
      <c r="A140">
        <v>141</v>
      </c>
      <c r="B140">
        <v>72</v>
      </c>
      <c r="C140" t="s">
        <v>35</v>
      </c>
      <c r="D140" t="s">
        <v>66</v>
      </c>
      <c r="E140" t="s">
        <v>67</v>
      </c>
      <c r="F140">
        <v>1000</v>
      </c>
      <c r="G140">
        <v>11</v>
      </c>
      <c r="H140" t="s">
        <v>24</v>
      </c>
      <c r="I140" t="s">
        <v>39</v>
      </c>
      <c r="J140">
        <v>4</v>
      </c>
      <c r="K140" t="s">
        <v>49</v>
      </c>
      <c r="L140" t="s">
        <v>401</v>
      </c>
      <c r="M140" t="s">
        <v>402</v>
      </c>
      <c r="N140" s="2">
        <v>45796</v>
      </c>
      <c r="O140" s="2">
        <v>45807</v>
      </c>
      <c r="P140" t="s">
        <v>43</v>
      </c>
      <c r="Q140" t="s">
        <v>30</v>
      </c>
      <c r="R140" t="s">
        <v>45</v>
      </c>
      <c r="S140" t="s">
        <v>110</v>
      </c>
      <c r="T140" t="s">
        <v>33</v>
      </c>
      <c r="U140" t="s">
        <v>104</v>
      </c>
      <c r="V140" t="str">
        <f>IF(B140&lt;=18,"Children",IF(B140&lt;=35,"Young adult",IF(B140&lt;=60,"Adult", "Senior Citizen")))</f>
        <v>Senior Citizen</v>
      </c>
      <c r="W140" t="str">
        <f t="shared" si="14"/>
        <v>May</v>
      </c>
      <c r="X140">
        <f t="shared" si="15"/>
        <v>5</v>
      </c>
      <c r="Y140" t="str">
        <f t="shared" si="16"/>
        <v>Q2</v>
      </c>
      <c r="Z140">
        <f t="shared" si="17"/>
        <v>2025</v>
      </c>
      <c r="AA140" t="str">
        <f t="shared" si="18"/>
        <v>Monday</v>
      </c>
      <c r="AB140">
        <f t="shared" si="19"/>
        <v>-11</v>
      </c>
      <c r="AC140" t="str">
        <f>IF(OR(D140="Heart Disease",D140="Cancer",D140="Stroke"),"High",IF(OR(D140="Diabetes",D140="Asthma"),"Medium","Low"))</f>
        <v>Low</v>
      </c>
      <c r="AD140" t="str">
        <f t="shared" si="20"/>
        <v>No</v>
      </c>
      <c r="AE140" t="str">
        <f>IF(G140&lt;=2,"Short Stay", IF(G140&lt;=7,"Normal Stay", "Long Stay"))</f>
        <v>Long Stay</v>
      </c>
      <c r="AF140" t="str">
        <f>IF(F140&gt;60000,"Expensive",IF(F140&gt;30000,"Moderate","Affordable"))</f>
        <v>Affordable</v>
      </c>
      <c r="AG140" t="str">
        <f>IF(J140&gt;=4.5,"Excellent",IF(J140&gt;=3.5,"Good",IF(J140&gt;=2.5,"Average","Poor")))</f>
        <v>Good</v>
      </c>
      <c r="AH140" t="str">
        <f>IF(OR(TEXT(N140,"dddd")="Saturday",TEXT(N140,"dddd")="Sunday"),"Weekend","Weekday")</f>
        <v>Weekday</v>
      </c>
    </row>
    <row r="141" spans="1:34" x14ac:dyDescent="0.3">
      <c r="A141">
        <v>142</v>
      </c>
      <c r="B141">
        <v>60</v>
      </c>
      <c r="C141" t="s">
        <v>21</v>
      </c>
      <c r="D141" t="s">
        <v>73</v>
      </c>
      <c r="E141" t="s">
        <v>74</v>
      </c>
      <c r="F141">
        <v>8000</v>
      </c>
      <c r="G141">
        <v>13</v>
      </c>
      <c r="H141" t="s">
        <v>38</v>
      </c>
      <c r="I141" t="s">
        <v>25</v>
      </c>
      <c r="J141">
        <v>3</v>
      </c>
      <c r="K141" t="s">
        <v>49</v>
      </c>
      <c r="L141" t="s">
        <v>403</v>
      </c>
      <c r="M141" t="s">
        <v>404</v>
      </c>
      <c r="N141" s="2">
        <v>45797</v>
      </c>
      <c r="O141" s="2">
        <v>45810</v>
      </c>
      <c r="P141" t="s">
        <v>43</v>
      </c>
      <c r="Q141" t="s">
        <v>139</v>
      </c>
      <c r="R141" t="s">
        <v>45</v>
      </c>
      <c r="S141" t="s">
        <v>110</v>
      </c>
      <c r="T141" t="s">
        <v>33</v>
      </c>
      <c r="U141" t="s">
        <v>46</v>
      </c>
      <c r="V141" t="str">
        <f>IF(B141&lt;=18,"Children",IF(B141&lt;=35,"Young adult",IF(B141&lt;=60,"Adult", "Senior Citizen")))</f>
        <v>Adult</v>
      </c>
      <c r="W141" t="str">
        <f t="shared" si="14"/>
        <v>May</v>
      </c>
      <c r="X141">
        <f t="shared" si="15"/>
        <v>5</v>
      </c>
      <c r="Y141" t="str">
        <f t="shared" si="16"/>
        <v>Q2</v>
      </c>
      <c r="Z141">
        <f t="shared" si="17"/>
        <v>2025</v>
      </c>
      <c r="AA141" t="str">
        <f t="shared" si="18"/>
        <v>Tuesday</v>
      </c>
      <c r="AB141">
        <f t="shared" si="19"/>
        <v>-13</v>
      </c>
      <c r="AC141" t="str">
        <f>IF(OR(D141="Heart Disease",D141="Cancer",D141="Stroke"),"High",IF(OR(D141="Diabetes",D141="Asthma"),"Medium","Low"))</f>
        <v>Low</v>
      </c>
      <c r="AD141" t="str">
        <f t="shared" si="20"/>
        <v>No</v>
      </c>
      <c r="AE141" t="str">
        <f>IF(G141&lt;=2,"Short Stay", IF(G141&lt;=7,"Normal Stay", "Long Stay"))</f>
        <v>Long Stay</v>
      </c>
      <c r="AF141" t="str">
        <f>IF(F141&gt;60000,"Expensive",IF(F141&gt;30000,"Moderate","Affordable"))</f>
        <v>Affordable</v>
      </c>
      <c r="AG141" t="str">
        <f>IF(J141&gt;=4.5,"Excellent",IF(J141&gt;=3.5,"Good",IF(J141&gt;=2.5,"Average","Poor")))</f>
        <v>Average</v>
      </c>
      <c r="AH141" t="str">
        <f>IF(OR(TEXT(N141,"dddd")="Saturday",TEXT(N141,"dddd")="Sunday"),"Weekend","Weekday")</f>
        <v>Weekday</v>
      </c>
    </row>
    <row r="142" spans="1:34" x14ac:dyDescent="0.3">
      <c r="A142">
        <v>143</v>
      </c>
      <c r="B142">
        <v>45</v>
      </c>
      <c r="C142" t="s">
        <v>35</v>
      </c>
      <c r="D142" t="s">
        <v>79</v>
      </c>
      <c r="E142" t="s">
        <v>80</v>
      </c>
      <c r="F142">
        <v>3000</v>
      </c>
      <c r="G142">
        <v>15</v>
      </c>
      <c r="H142" t="s">
        <v>24</v>
      </c>
      <c r="I142" t="s">
        <v>25</v>
      </c>
      <c r="J142">
        <v>4</v>
      </c>
      <c r="K142" t="s">
        <v>175</v>
      </c>
      <c r="L142" t="s">
        <v>405</v>
      </c>
      <c r="M142" t="s">
        <v>406</v>
      </c>
      <c r="N142" s="2">
        <v>45798</v>
      </c>
      <c r="O142" s="2">
        <v>45813</v>
      </c>
      <c r="P142" t="s">
        <v>29</v>
      </c>
      <c r="Q142" t="s">
        <v>52</v>
      </c>
      <c r="R142" t="s">
        <v>45</v>
      </c>
      <c r="S142" t="s">
        <v>84</v>
      </c>
      <c r="T142" t="s">
        <v>33</v>
      </c>
      <c r="U142" t="s">
        <v>34</v>
      </c>
      <c r="V142" t="str">
        <f>IF(B142&lt;=18,"Children",IF(B142&lt;=35,"Young adult",IF(B142&lt;=60,"Adult", "Senior Citizen")))</f>
        <v>Adult</v>
      </c>
      <c r="W142" t="str">
        <f t="shared" si="14"/>
        <v>May</v>
      </c>
      <c r="X142">
        <f t="shared" si="15"/>
        <v>5</v>
      </c>
      <c r="Y142" t="str">
        <f t="shared" si="16"/>
        <v>Q2</v>
      </c>
      <c r="Z142">
        <f t="shared" si="17"/>
        <v>2025</v>
      </c>
      <c r="AA142" t="str">
        <f t="shared" si="18"/>
        <v>Wednesday</v>
      </c>
      <c r="AB142">
        <f t="shared" si="19"/>
        <v>-15</v>
      </c>
      <c r="AC142" t="str">
        <f>IF(OR(D142="Heart Disease",D142="Cancer",D142="Stroke"),"High",IF(OR(D142="Diabetes",D142="Asthma"),"Medium","Low"))</f>
        <v>Low</v>
      </c>
      <c r="AD142" t="str">
        <f t="shared" si="20"/>
        <v>No</v>
      </c>
      <c r="AE142" t="str">
        <f>IF(G142&lt;=2,"Short Stay", IF(G142&lt;=7,"Normal Stay", "Long Stay"))</f>
        <v>Long Stay</v>
      </c>
      <c r="AF142" t="str">
        <f>IF(F142&gt;60000,"Expensive",IF(F142&gt;30000,"Moderate","Affordable"))</f>
        <v>Affordable</v>
      </c>
      <c r="AG142" t="str">
        <f>IF(J142&gt;=4.5,"Excellent",IF(J142&gt;=3.5,"Good",IF(J142&gt;=2.5,"Average","Poor")))</f>
        <v>Good</v>
      </c>
      <c r="AH142" t="str">
        <f>IF(OR(TEXT(N142,"dddd")="Saturday",TEXT(N142,"dddd")="Sunday"),"Weekend","Weekday")</f>
        <v>Weekday</v>
      </c>
    </row>
    <row r="143" spans="1:34" x14ac:dyDescent="0.3">
      <c r="A143">
        <v>144</v>
      </c>
      <c r="B143">
        <v>75</v>
      </c>
      <c r="C143" t="s">
        <v>21</v>
      </c>
      <c r="D143" t="s">
        <v>85</v>
      </c>
      <c r="E143" t="s">
        <v>86</v>
      </c>
      <c r="F143">
        <v>18000</v>
      </c>
      <c r="G143">
        <v>17</v>
      </c>
      <c r="H143" t="s">
        <v>38</v>
      </c>
      <c r="I143" t="s">
        <v>39</v>
      </c>
      <c r="J143">
        <v>2</v>
      </c>
      <c r="K143" t="s">
        <v>120</v>
      </c>
      <c r="L143" t="s">
        <v>407</v>
      </c>
      <c r="M143" t="s">
        <v>408</v>
      </c>
      <c r="N143" s="2">
        <v>45799</v>
      </c>
      <c r="O143" s="2">
        <v>45816</v>
      </c>
      <c r="P143" t="s">
        <v>29</v>
      </c>
      <c r="Q143" t="s">
        <v>71</v>
      </c>
      <c r="R143" t="s">
        <v>45</v>
      </c>
      <c r="S143" t="s">
        <v>72</v>
      </c>
      <c r="T143" t="s">
        <v>33</v>
      </c>
      <c r="U143" t="s">
        <v>104</v>
      </c>
      <c r="V143" t="str">
        <f>IF(B143&lt;=18,"Children",IF(B143&lt;=35,"Young adult",IF(B143&lt;=60,"Adult", "Senior Citizen")))</f>
        <v>Senior Citizen</v>
      </c>
      <c r="W143" t="str">
        <f t="shared" si="14"/>
        <v>May</v>
      </c>
      <c r="X143">
        <f t="shared" si="15"/>
        <v>5</v>
      </c>
      <c r="Y143" t="str">
        <f t="shared" si="16"/>
        <v>Q2</v>
      </c>
      <c r="Z143">
        <f t="shared" si="17"/>
        <v>2025</v>
      </c>
      <c r="AA143" t="str">
        <f t="shared" si="18"/>
        <v>Thursday</v>
      </c>
      <c r="AB143">
        <f t="shared" si="19"/>
        <v>-17</v>
      </c>
      <c r="AC143" t="str">
        <f>IF(OR(D143="Heart Disease",D143="Cancer",D143="Stroke"),"High",IF(OR(D143="Diabetes",D143="Asthma"),"Medium","Low"))</f>
        <v>Low</v>
      </c>
      <c r="AD143" t="str">
        <f t="shared" si="20"/>
        <v>No</v>
      </c>
      <c r="AE143" t="str">
        <f>IF(G143&lt;=2,"Short Stay", IF(G143&lt;=7,"Normal Stay", "Long Stay"))</f>
        <v>Long Stay</v>
      </c>
      <c r="AF143" t="str">
        <f>IF(F143&gt;60000,"Expensive",IF(F143&gt;30000,"Moderate","Affordable"))</f>
        <v>Affordable</v>
      </c>
      <c r="AG143" t="str">
        <f>IF(J143&gt;=4.5,"Excellent",IF(J143&gt;=3.5,"Good",IF(J143&gt;=2.5,"Average","Poor")))</f>
        <v>Poor</v>
      </c>
      <c r="AH143" t="str">
        <f>IF(OR(TEXT(N143,"dddd")="Saturday",TEXT(N143,"dddd")="Sunday"),"Weekend","Weekday")</f>
        <v>Weekday</v>
      </c>
    </row>
    <row r="144" spans="1:34" x14ac:dyDescent="0.3">
      <c r="A144">
        <v>145</v>
      </c>
      <c r="B144">
        <v>28</v>
      </c>
      <c r="C144" t="s">
        <v>35</v>
      </c>
      <c r="D144" t="s">
        <v>89</v>
      </c>
      <c r="E144" t="s">
        <v>90</v>
      </c>
      <c r="F144">
        <v>100</v>
      </c>
      <c r="G144">
        <v>10</v>
      </c>
      <c r="H144" t="s">
        <v>24</v>
      </c>
      <c r="I144" t="s">
        <v>25</v>
      </c>
      <c r="J144">
        <v>5</v>
      </c>
      <c r="K144" t="s">
        <v>210</v>
      </c>
      <c r="L144" t="s">
        <v>409</v>
      </c>
      <c r="M144" t="s">
        <v>410</v>
      </c>
      <c r="N144" s="2">
        <v>45800</v>
      </c>
      <c r="O144" s="2">
        <v>45810</v>
      </c>
      <c r="P144" t="s">
        <v>43</v>
      </c>
      <c r="Q144" t="s">
        <v>30</v>
      </c>
      <c r="R144" t="s">
        <v>45</v>
      </c>
      <c r="S144" t="s">
        <v>53</v>
      </c>
      <c r="T144" t="s">
        <v>33</v>
      </c>
      <c r="U144" t="s">
        <v>78</v>
      </c>
      <c r="V144" t="str">
        <f>IF(B144&lt;=18,"Children",IF(B144&lt;=35,"Young adult",IF(B144&lt;=60,"Adult", "Senior Citizen")))</f>
        <v>Young adult</v>
      </c>
      <c r="W144" t="str">
        <f t="shared" si="14"/>
        <v>May</v>
      </c>
      <c r="X144">
        <f t="shared" si="15"/>
        <v>5</v>
      </c>
      <c r="Y144" t="str">
        <f t="shared" si="16"/>
        <v>Q2</v>
      </c>
      <c r="Z144">
        <f t="shared" si="17"/>
        <v>2025</v>
      </c>
      <c r="AA144" t="str">
        <f t="shared" si="18"/>
        <v>Friday</v>
      </c>
      <c r="AB144">
        <f t="shared" si="19"/>
        <v>-10</v>
      </c>
      <c r="AC144" t="str">
        <f>IF(OR(D144="Heart Disease",D144="Cancer",D144="Stroke"),"High",IF(OR(D144="Diabetes",D144="Asthma"),"Medium","Low"))</f>
        <v>Low</v>
      </c>
      <c r="AD144" t="str">
        <f t="shared" si="20"/>
        <v>No</v>
      </c>
      <c r="AE144" t="str">
        <f>IF(G144&lt;=2,"Short Stay", IF(G144&lt;=7,"Normal Stay", "Long Stay"))</f>
        <v>Long Stay</v>
      </c>
      <c r="AF144" t="str">
        <f>IF(F144&gt;60000,"Expensive",IF(F144&gt;30000,"Moderate","Affordable"))</f>
        <v>Affordable</v>
      </c>
      <c r="AG144" t="str">
        <f>IF(J144&gt;=4.5,"Excellent",IF(J144&gt;=3.5,"Good",IF(J144&gt;=2.5,"Average","Poor")))</f>
        <v>Excellent</v>
      </c>
      <c r="AH144" t="str">
        <f>IF(OR(TEXT(N144,"dddd")="Saturday",TEXT(N144,"dddd")="Sunday"),"Weekend","Weekday")</f>
        <v>Weekday</v>
      </c>
    </row>
    <row r="145" spans="1:34" x14ac:dyDescent="0.3">
      <c r="A145">
        <v>146</v>
      </c>
      <c r="B145">
        <v>52</v>
      </c>
      <c r="C145" t="s">
        <v>21</v>
      </c>
      <c r="D145" t="s">
        <v>94</v>
      </c>
      <c r="E145" t="s">
        <v>95</v>
      </c>
      <c r="F145">
        <v>800</v>
      </c>
      <c r="G145">
        <v>11</v>
      </c>
      <c r="H145" t="s">
        <v>24</v>
      </c>
      <c r="I145" t="s">
        <v>39</v>
      </c>
      <c r="J145">
        <v>4</v>
      </c>
      <c r="K145" t="s">
        <v>329</v>
      </c>
      <c r="L145" t="s">
        <v>411</v>
      </c>
      <c r="M145" t="s">
        <v>412</v>
      </c>
      <c r="N145" s="2">
        <v>45801</v>
      </c>
      <c r="O145" s="2">
        <v>45812</v>
      </c>
      <c r="P145" t="s">
        <v>43</v>
      </c>
      <c r="Q145" t="s">
        <v>44</v>
      </c>
      <c r="R145" t="s">
        <v>45</v>
      </c>
      <c r="S145" t="s">
        <v>53</v>
      </c>
      <c r="T145" t="s">
        <v>33</v>
      </c>
      <c r="U145" t="s">
        <v>78</v>
      </c>
      <c r="V145" t="str">
        <f>IF(B145&lt;=18,"Children",IF(B145&lt;=35,"Young adult",IF(B145&lt;=60,"Adult", "Senior Citizen")))</f>
        <v>Adult</v>
      </c>
      <c r="W145" t="str">
        <f t="shared" si="14"/>
        <v>May</v>
      </c>
      <c r="X145">
        <f t="shared" si="15"/>
        <v>5</v>
      </c>
      <c r="Y145" t="str">
        <f t="shared" si="16"/>
        <v>Q2</v>
      </c>
      <c r="Z145">
        <f t="shared" si="17"/>
        <v>2025</v>
      </c>
      <c r="AA145" t="str">
        <f t="shared" si="18"/>
        <v>Saturday</v>
      </c>
      <c r="AB145">
        <f t="shared" si="19"/>
        <v>-11</v>
      </c>
      <c r="AC145" t="str">
        <f>IF(OR(D145="Heart Disease",D145="Cancer",D145="Stroke"),"High",IF(OR(D145="Diabetes",D145="Asthma"),"Medium","Low"))</f>
        <v>Low</v>
      </c>
      <c r="AD145" t="str">
        <f t="shared" si="20"/>
        <v>No</v>
      </c>
      <c r="AE145" t="str">
        <f>IF(G145&lt;=2,"Short Stay", IF(G145&lt;=7,"Normal Stay", "Long Stay"))</f>
        <v>Long Stay</v>
      </c>
      <c r="AF145" t="str">
        <f>IF(F145&gt;60000,"Expensive",IF(F145&gt;30000,"Moderate","Affordable"))</f>
        <v>Affordable</v>
      </c>
      <c r="AG145" t="str">
        <f>IF(J145&gt;=4.5,"Excellent",IF(J145&gt;=3.5,"Good",IF(J145&gt;=2.5,"Average","Poor")))</f>
        <v>Good</v>
      </c>
      <c r="AH145" t="str">
        <f>IF(OR(TEXT(N145,"dddd")="Saturday",TEXT(N145,"dddd")="Sunday"),"Weekend","Weekday")</f>
        <v>Weekend</v>
      </c>
    </row>
    <row r="146" spans="1:34" x14ac:dyDescent="0.3">
      <c r="A146">
        <v>147</v>
      </c>
      <c r="B146">
        <v>67</v>
      </c>
      <c r="C146" t="s">
        <v>35</v>
      </c>
      <c r="D146" t="s">
        <v>99</v>
      </c>
      <c r="E146" t="s">
        <v>100</v>
      </c>
      <c r="F146">
        <v>20000</v>
      </c>
      <c r="G146">
        <v>18</v>
      </c>
      <c r="H146" t="s">
        <v>24</v>
      </c>
      <c r="I146" t="s">
        <v>25</v>
      </c>
      <c r="J146">
        <v>3</v>
      </c>
      <c r="K146" t="s">
        <v>133</v>
      </c>
      <c r="L146" t="s">
        <v>413</v>
      </c>
      <c r="M146" t="s">
        <v>414</v>
      </c>
      <c r="N146" s="2">
        <v>45802</v>
      </c>
      <c r="O146" s="2">
        <v>45820</v>
      </c>
      <c r="P146" t="s">
        <v>29</v>
      </c>
      <c r="Q146" t="s">
        <v>139</v>
      </c>
      <c r="R146" t="s">
        <v>45</v>
      </c>
      <c r="S146" t="s">
        <v>72</v>
      </c>
      <c r="T146" t="s">
        <v>33</v>
      </c>
      <c r="U146" t="s">
        <v>104</v>
      </c>
      <c r="V146" t="str">
        <f>IF(B146&lt;=18,"Children",IF(B146&lt;=35,"Young adult",IF(B146&lt;=60,"Adult", "Senior Citizen")))</f>
        <v>Senior Citizen</v>
      </c>
      <c r="W146" t="str">
        <f t="shared" si="14"/>
        <v>May</v>
      </c>
      <c r="X146">
        <f t="shared" si="15"/>
        <v>5</v>
      </c>
      <c r="Y146" t="str">
        <f t="shared" si="16"/>
        <v>Q2</v>
      </c>
      <c r="Z146">
        <f t="shared" si="17"/>
        <v>2025</v>
      </c>
      <c r="AA146" t="str">
        <f t="shared" si="18"/>
        <v>Sunday</v>
      </c>
      <c r="AB146">
        <f t="shared" si="19"/>
        <v>-18</v>
      </c>
      <c r="AC146" t="str">
        <f>IF(OR(D146="Heart Disease",D146="Cancer",D146="Stroke"),"High",IF(OR(D146="Diabetes",D146="Asthma"),"Medium","Low"))</f>
        <v>Low</v>
      </c>
      <c r="AD146" t="str">
        <f t="shared" si="20"/>
        <v>No</v>
      </c>
      <c r="AE146" t="str">
        <f>IF(G146&lt;=2,"Short Stay", IF(G146&lt;=7,"Normal Stay", "Long Stay"))</f>
        <v>Long Stay</v>
      </c>
      <c r="AF146" t="str">
        <f>IF(F146&gt;60000,"Expensive",IF(F146&gt;30000,"Moderate","Affordable"))</f>
        <v>Affordable</v>
      </c>
      <c r="AG146" t="str">
        <f>IF(J146&gt;=4.5,"Excellent",IF(J146&gt;=3.5,"Good",IF(J146&gt;=2.5,"Average","Poor")))</f>
        <v>Average</v>
      </c>
      <c r="AH146" t="str">
        <f>IF(OR(TEXT(N146,"dddd")="Saturday",TEXT(N146,"dddd")="Sunday"),"Weekend","Weekday")</f>
        <v>Weekend</v>
      </c>
    </row>
    <row r="147" spans="1:34" x14ac:dyDescent="0.3">
      <c r="A147">
        <v>148</v>
      </c>
      <c r="B147">
        <v>35</v>
      </c>
      <c r="C147" t="s">
        <v>21</v>
      </c>
      <c r="D147" t="s">
        <v>105</v>
      </c>
      <c r="E147" t="s">
        <v>106</v>
      </c>
      <c r="F147">
        <v>12000</v>
      </c>
      <c r="G147">
        <v>12</v>
      </c>
      <c r="H147" t="s">
        <v>24</v>
      </c>
      <c r="I147" t="s">
        <v>25</v>
      </c>
      <c r="J147">
        <v>4</v>
      </c>
      <c r="K147" t="s">
        <v>215</v>
      </c>
      <c r="L147" t="s">
        <v>415</v>
      </c>
      <c r="M147" t="s">
        <v>416</v>
      </c>
      <c r="N147" s="2">
        <v>45803</v>
      </c>
      <c r="O147" s="2">
        <v>45815</v>
      </c>
      <c r="P147" t="s">
        <v>29</v>
      </c>
      <c r="Q147" t="s">
        <v>71</v>
      </c>
      <c r="R147" t="s">
        <v>45</v>
      </c>
      <c r="S147" t="s">
        <v>110</v>
      </c>
      <c r="T147" t="s">
        <v>33</v>
      </c>
      <c r="U147" t="s">
        <v>34</v>
      </c>
      <c r="V147" t="str">
        <f>IF(B147&lt;=18,"Children",IF(B147&lt;=35,"Young adult",IF(B147&lt;=60,"Adult", "Senior Citizen")))</f>
        <v>Young adult</v>
      </c>
      <c r="W147" t="str">
        <f t="shared" si="14"/>
        <v>May</v>
      </c>
      <c r="X147">
        <f t="shared" si="15"/>
        <v>5</v>
      </c>
      <c r="Y147" t="str">
        <f t="shared" si="16"/>
        <v>Q2</v>
      </c>
      <c r="Z147">
        <f t="shared" si="17"/>
        <v>2025</v>
      </c>
      <c r="AA147" t="str">
        <f t="shared" si="18"/>
        <v>Monday</v>
      </c>
      <c r="AB147">
        <f t="shared" si="19"/>
        <v>-12</v>
      </c>
      <c r="AC147" t="str">
        <f>IF(OR(D147="Heart Disease",D147="Cancer",D147="Stroke"),"High",IF(OR(D147="Diabetes",D147="Asthma"),"Medium","Low"))</f>
        <v>Low</v>
      </c>
      <c r="AD147" t="str">
        <f t="shared" si="20"/>
        <v>No</v>
      </c>
      <c r="AE147" t="str">
        <f>IF(G147&lt;=2,"Short Stay", IF(G147&lt;=7,"Normal Stay", "Long Stay"))</f>
        <v>Long Stay</v>
      </c>
      <c r="AF147" t="str">
        <f>IF(F147&gt;60000,"Expensive",IF(F147&gt;30000,"Moderate","Affordable"))</f>
        <v>Affordable</v>
      </c>
      <c r="AG147" t="str">
        <f>IF(J147&gt;=4.5,"Excellent",IF(J147&gt;=3.5,"Good",IF(J147&gt;=2.5,"Average","Poor")))</f>
        <v>Good</v>
      </c>
      <c r="AH147" t="str">
        <f>IF(OR(TEXT(N147,"dddd")="Saturday",TEXT(N147,"dddd")="Sunday"),"Weekend","Weekday")</f>
        <v>Weekday</v>
      </c>
    </row>
    <row r="148" spans="1:34" x14ac:dyDescent="0.3">
      <c r="A148">
        <v>149</v>
      </c>
      <c r="B148">
        <v>50</v>
      </c>
      <c r="C148" t="s">
        <v>35</v>
      </c>
      <c r="D148" t="s">
        <v>111</v>
      </c>
      <c r="E148" t="s">
        <v>112</v>
      </c>
      <c r="F148">
        <v>6000</v>
      </c>
      <c r="G148">
        <v>13</v>
      </c>
      <c r="H148" t="s">
        <v>24</v>
      </c>
      <c r="I148" t="s">
        <v>25</v>
      </c>
      <c r="J148">
        <v>3</v>
      </c>
      <c r="K148" t="s">
        <v>113</v>
      </c>
      <c r="L148" t="s">
        <v>417</v>
      </c>
      <c r="M148" t="s">
        <v>418</v>
      </c>
      <c r="N148" s="2">
        <v>45804</v>
      </c>
      <c r="O148" s="2">
        <v>45817</v>
      </c>
      <c r="P148" t="s">
        <v>29</v>
      </c>
      <c r="Q148" t="s">
        <v>71</v>
      </c>
      <c r="R148" t="s">
        <v>45</v>
      </c>
      <c r="S148" t="s">
        <v>110</v>
      </c>
      <c r="T148" t="s">
        <v>33</v>
      </c>
      <c r="U148" t="s">
        <v>34</v>
      </c>
      <c r="V148" t="str">
        <f>IF(B148&lt;=18,"Children",IF(B148&lt;=35,"Young adult",IF(B148&lt;=60,"Adult", "Senior Citizen")))</f>
        <v>Adult</v>
      </c>
      <c r="W148" t="str">
        <f t="shared" si="14"/>
        <v>May</v>
      </c>
      <c r="X148">
        <f t="shared" si="15"/>
        <v>5</v>
      </c>
      <c r="Y148" t="str">
        <f t="shared" si="16"/>
        <v>Q2</v>
      </c>
      <c r="Z148">
        <f t="shared" si="17"/>
        <v>2025</v>
      </c>
      <c r="AA148" t="str">
        <f t="shared" si="18"/>
        <v>Tuesday</v>
      </c>
      <c r="AB148">
        <f t="shared" si="19"/>
        <v>-13</v>
      </c>
      <c r="AC148" t="str">
        <f>IF(OR(D148="Heart Disease",D148="Cancer",D148="Stroke"),"High",IF(OR(D148="Diabetes",D148="Asthma"),"Medium","Low"))</f>
        <v>Low</v>
      </c>
      <c r="AD148" t="str">
        <f t="shared" si="20"/>
        <v>No</v>
      </c>
      <c r="AE148" t="str">
        <f>IF(G148&lt;=2,"Short Stay", IF(G148&lt;=7,"Normal Stay", "Long Stay"))</f>
        <v>Long Stay</v>
      </c>
      <c r="AF148" t="str">
        <f>IF(F148&gt;60000,"Expensive",IF(F148&gt;30000,"Moderate","Affordable"))</f>
        <v>Affordable</v>
      </c>
      <c r="AG148" t="str">
        <f>IF(J148&gt;=4.5,"Excellent",IF(J148&gt;=3.5,"Good",IF(J148&gt;=2.5,"Average","Poor")))</f>
        <v>Average</v>
      </c>
      <c r="AH148" t="str">
        <f>IF(OR(TEXT(N148,"dddd")="Saturday",TEXT(N148,"dddd")="Sunday"),"Weekend","Weekday")</f>
        <v>Weekday</v>
      </c>
    </row>
    <row r="149" spans="1:34" x14ac:dyDescent="0.3">
      <c r="A149">
        <v>150</v>
      </c>
      <c r="B149">
        <v>60</v>
      </c>
      <c r="C149" t="s">
        <v>21</v>
      </c>
      <c r="D149" t="s">
        <v>116</v>
      </c>
      <c r="E149" t="s">
        <v>117</v>
      </c>
      <c r="F149">
        <v>4000</v>
      </c>
      <c r="G149">
        <v>14</v>
      </c>
      <c r="H149" t="s">
        <v>24</v>
      </c>
      <c r="I149" t="s">
        <v>39</v>
      </c>
      <c r="J149">
        <v>4</v>
      </c>
      <c r="K149" t="s">
        <v>157</v>
      </c>
      <c r="L149" t="s">
        <v>419</v>
      </c>
      <c r="M149" t="s">
        <v>420</v>
      </c>
      <c r="N149" s="2">
        <v>45805</v>
      </c>
      <c r="O149" s="2">
        <v>45819</v>
      </c>
      <c r="P149" t="s">
        <v>29</v>
      </c>
      <c r="Q149" t="s">
        <v>52</v>
      </c>
      <c r="R149" t="s">
        <v>45</v>
      </c>
      <c r="S149" t="s">
        <v>84</v>
      </c>
      <c r="T149" t="s">
        <v>33</v>
      </c>
      <c r="U149" t="s">
        <v>46</v>
      </c>
      <c r="V149" t="str">
        <f>IF(B149&lt;=18,"Children",IF(B149&lt;=35,"Young adult",IF(B149&lt;=60,"Adult", "Senior Citizen")))</f>
        <v>Adult</v>
      </c>
      <c r="W149" t="str">
        <f t="shared" si="14"/>
        <v>May</v>
      </c>
      <c r="X149">
        <f t="shared" si="15"/>
        <v>5</v>
      </c>
      <c r="Y149" t="str">
        <f t="shared" si="16"/>
        <v>Q2</v>
      </c>
      <c r="Z149">
        <f t="shared" si="17"/>
        <v>2025</v>
      </c>
      <c r="AA149" t="str">
        <f t="shared" si="18"/>
        <v>Wednesday</v>
      </c>
      <c r="AB149">
        <f t="shared" si="19"/>
        <v>-14</v>
      </c>
      <c r="AC149" t="str">
        <f>IF(OR(D149="Heart Disease",D149="Cancer",D149="Stroke"),"High",IF(OR(D149="Diabetes",D149="Asthma"),"Medium","Low"))</f>
        <v>Low</v>
      </c>
      <c r="AD149" t="str">
        <f t="shared" si="20"/>
        <v>No</v>
      </c>
      <c r="AE149" t="str">
        <f>IF(G149&lt;=2,"Short Stay", IF(G149&lt;=7,"Normal Stay", "Long Stay"))</f>
        <v>Long Stay</v>
      </c>
      <c r="AF149" t="str">
        <f>IF(F149&gt;60000,"Expensive",IF(F149&gt;30000,"Moderate","Affordable"))</f>
        <v>Affordable</v>
      </c>
      <c r="AG149" t="str">
        <f>IF(J149&gt;=4.5,"Excellent",IF(J149&gt;=3.5,"Good",IF(J149&gt;=2.5,"Average","Poor")))</f>
        <v>Good</v>
      </c>
      <c r="AH149" t="str">
        <f>IF(OR(TEXT(N149,"dddd")="Saturday",TEXT(N149,"dddd")="Sunday"),"Weekend","Weekday")</f>
        <v>Weekday</v>
      </c>
    </row>
    <row r="150" spans="1:34" x14ac:dyDescent="0.3">
      <c r="A150">
        <v>151</v>
      </c>
      <c r="B150">
        <v>48</v>
      </c>
      <c r="C150" t="s">
        <v>21</v>
      </c>
      <c r="D150" t="s">
        <v>22</v>
      </c>
      <c r="E150" t="s">
        <v>23</v>
      </c>
      <c r="F150">
        <v>15000</v>
      </c>
      <c r="G150">
        <v>15</v>
      </c>
      <c r="H150" t="s">
        <v>38</v>
      </c>
      <c r="I150" t="s">
        <v>25</v>
      </c>
      <c r="J150">
        <v>4</v>
      </c>
      <c r="K150" t="s">
        <v>169</v>
      </c>
      <c r="L150" t="s">
        <v>421</v>
      </c>
      <c r="M150" t="s">
        <v>422</v>
      </c>
      <c r="N150" s="2">
        <v>45806</v>
      </c>
      <c r="O150" s="2">
        <v>45821</v>
      </c>
      <c r="P150" t="s">
        <v>43</v>
      </c>
      <c r="Q150" t="s">
        <v>44</v>
      </c>
      <c r="R150" t="s">
        <v>31</v>
      </c>
      <c r="S150" t="s">
        <v>84</v>
      </c>
      <c r="T150" t="s">
        <v>33</v>
      </c>
      <c r="U150" t="s">
        <v>46</v>
      </c>
      <c r="V150" t="str">
        <f>IF(B150&lt;=18,"Children",IF(B150&lt;=35,"Young adult",IF(B150&lt;=60,"Adult", "Senior Citizen")))</f>
        <v>Adult</v>
      </c>
      <c r="W150" t="str">
        <f t="shared" si="14"/>
        <v>May</v>
      </c>
      <c r="X150">
        <f t="shared" si="15"/>
        <v>5</v>
      </c>
      <c r="Y150" t="str">
        <f t="shared" si="16"/>
        <v>Q2</v>
      </c>
      <c r="Z150">
        <f t="shared" si="17"/>
        <v>2025</v>
      </c>
      <c r="AA150" t="str">
        <f t="shared" si="18"/>
        <v>Thursday</v>
      </c>
      <c r="AB150">
        <f t="shared" si="19"/>
        <v>-15</v>
      </c>
      <c r="AC150" t="str">
        <f>IF(OR(D150="Heart Disease",D150="Cancer",D150="Stroke"),"High",IF(OR(D150="Diabetes",D150="Asthma"),"Medium","Low"))</f>
        <v>High</v>
      </c>
      <c r="AD150" t="str">
        <f t="shared" si="20"/>
        <v>Yes</v>
      </c>
      <c r="AE150" t="str">
        <f>IF(G150&lt;=2,"Short Stay", IF(G150&lt;=7,"Normal Stay", "Long Stay"))</f>
        <v>Long Stay</v>
      </c>
      <c r="AF150" t="str">
        <f>IF(F150&gt;60000,"Expensive",IF(F150&gt;30000,"Moderate","Affordable"))</f>
        <v>Affordable</v>
      </c>
      <c r="AG150" t="str">
        <f>IF(J150&gt;=4.5,"Excellent",IF(J150&gt;=3.5,"Good",IF(J150&gt;=2.5,"Average","Poor")))</f>
        <v>Good</v>
      </c>
      <c r="AH150" t="str">
        <f>IF(OR(TEXT(N150,"dddd")="Saturday",TEXT(N150,"dddd")="Sunday"),"Weekend","Weekday")</f>
        <v>Weekday</v>
      </c>
    </row>
    <row r="151" spans="1:34" x14ac:dyDescent="0.3">
      <c r="A151">
        <v>152</v>
      </c>
      <c r="B151">
        <v>65</v>
      </c>
      <c r="C151" t="s">
        <v>35</v>
      </c>
      <c r="D151" t="s">
        <v>36</v>
      </c>
      <c r="E151" t="s">
        <v>37</v>
      </c>
      <c r="F151">
        <v>2000</v>
      </c>
      <c r="G151">
        <v>13</v>
      </c>
      <c r="H151" t="s">
        <v>24</v>
      </c>
      <c r="I151" t="s">
        <v>39</v>
      </c>
      <c r="J151">
        <v>3</v>
      </c>
      <c r="K151" t="s">
        <v>26</v>
      </c>
      <c r="L151" t="s">
        <v>423</v>
      </c>
      <c r="M151" t="s">
        <v>424</v>
      </c>
      <c r="N151" s="2">
        <v>45807</v>
      </c>
      <c r="O151" s="2">
        <v>45820</v>
      </c>
      <c r="P151" t="s">
        <v>29</v>
      </c>
      <c r="Q151" t="s">
        <v>139</v>
      </c>
      <c r="R151" t="s">
        <v>45</v>
      </c>
      <c r="S151" t="s">
        <v>77</v>
      </c>
      <c r="T151" t="s">
        <v>33</v>
      </c>
      <c r="U151" t="s">
        <v>46</v>
      </c>
      <c r="V151" t="str">
        <f>IF(B151&lt;=18,"Children",IF(B151&lt;=35,"Young adult",IF(B151&lt;=60,"Adult", "Senior Citizen")))</f>
        <v>Senior Citizen</v>
      </c>
      <c r="W151" t="str">
        <f t="shared" si="14"/>
        <v>May</v>
      </c>
      <c r="X151">
        <f t="shared" si="15"/>
        <v>5</v>
      </c>
      <c r="Y151" t="str">
        <f t="shared" si="16"/>
        <v>Q2</v>
      </c>
      <c r="Z151">
        <f t="shared" si="17"/>
        <v>2025</v>
      </c>
      <c r="AA151" t="str">
        <f t="shared" si="18"/>
        <v>Friday</v>
      </c>
      <c r="AB151">
        <f t="shared" si="19"/>
        <v>-13</v>
      </c>
      <c r="AC151" t="str">
        <f>IF(OR(D151="Heart Disease",D151="Cancer",D151="Stroke"),"High",IF(OR(D151="Diabetes",D151="Asthma"),"Medium","Low"))</f>
        <v>Medium</v>
      </c>
      <c r="AD151" t="str">
        <f t="shared" si="20"/>
        <v>No</v>
      </c>
      <c r="AE151" t="str">
        <f>IF(G151&lt;=2,"Short Stay", IF(G151&lt;=7,"Normal Stay", "Long Stay"))</f>
        <v>Long Stay</v>
      </c>
      <c r="AF151" t="str">
        <f>IF(F151&gt;60000,"Expensive",IF(F151&gt;30000,"Moderate","Affordable"))</f>
        <v>Affordable</v>
      </c>
      <c r="AG151" t="str">
        <f>IF(J151&gt;=4.5,"Excellent",IF(J151&gt;=3.5,"Good",IF(J151&gt;=2.5,"Average","Poor")))</f>
        <v>Average</v>
      </c>
      <c r="AH151" t="str">
        <f>IF(OR(TEXT(N151,"dddd")="Saturday",TEXT(N151,"dddd")="Sunday"),"Weekend","Weekday")</f>
        <v>Weekday</v>
      </c>
    </row>
    <row r="152" spans="1:34" x14ac:dyDescent="0.3">
      <c r="A152">
        <v>153</v>
      </c>
      <c r="B152">
        <v>30</v>
      </c>
      <c r="C152" t="s">
        <v>21</v>
      </c>
      <c r="D152" t="s">
        <v>47</v>
      </c>
      <c r="E152" t="s">
        <v>48</v>
      </c>
      <c r="F152">
        <v>500</v>
      </c>
      <c r="G152">
        <v>11</v>
      </c>
      <c r="H152" t="s">
        <v>24</v>
      </c>
      <c r="I152" t="s">
        <v>25</v>
      </c>
      <c r="J152">
        <v>5</v>
      </c>
      <c r="K152" t="s">
        <v>281</v>
      </c>
      <c r="L152" t="s">
        <v>425</v>
      </c>
      <c r="M152" t="s">
        <v>426</v>
      </c>
      <c r="N152" s="2">
        <v>45808</v>
      </c>
      <c r="O152" s="2">
        <v>45819</v>
      </c>
      <c r="P152" t="s">
        <v>29</v>
      </c>
      <c r="Q152" t="s">
        <v>44</v>
      </c>
      <c r="R152" t="s">
        <v>45</v>
      </c>
      <c r="S152" t="s">
        <v>77</v>
      </c>
      <c r="T152" t="s">
        <v>33</v>
      </c>
      <c r="U152" t="s">
        <v>104</v>
      </c>
      <c r="V152" t="str">
        <f>IF(B152&lt;=18,"Children",IF(B152&lt;=35,"Young adult",IF(B152&lt;=60,"Adult", "Senior Citizen")))</f>
        <v>Young adult</v>
      </c>
      <c r="W152" t="str">
        <f t="shared" si="14"/>
        <v>May</v>
      </c>
      <c r="X152">
        <f t="shared" si="15"/>
        <v>5</v>
      </c>
      <c r="Y152" t="str">
        <f t="shared" si="16"/>
        <v>Q2</v>
      </c>
      <c r="Z152">
        <f t="shared" si="17"/>
        <v>2025</v>
      </c>
      <c r="AA152" t="str">
        <f t="shared" si="18"/>
        <v>Saturday</v>
      </c>
      <c r="AB152">
        <f t="shared" si="19"/>
        <v>-11</v>
      </c>
      <c r="AC152" t="str">
        <f>IF(OR(D152="Heart Disease",D152="Cancer",D152="Stroke"),"High",IF(OR(D152="Diabetes",D152="Asthma"),"Medium","Low"))</f>
        <v>Low</v>
      </c>
      <c r="AD152" t="str">
        <f t="shared" si="20"/>
        <v>No</v>
      </c>
      <c r="AE152" t="str">
        <f>IF(G152&lt;=2,"Short Stay", IF(G152&lt;=7,"Normal Stay", "Long Stay"))</f>
        <v>Long Stay</v>
      </c>
      <c r="AF152" t="str">
        <f>IF(F152&gt;60000,"Expensive",IF(F152&gt;30000,"Moderate","Affordable"))</f>
        <v>Affordable</v>
      </c>
      <c r="AG152" t="str">
        <f>IF(J152&gt;=4.5,"Excellent",IF(J152&gt;=3.5,"Good",IF(J152&gt;=2.5,"Average","Poor")))</f>
        <v>Excellent</v>
      </c>
      <c r="AH152" t="str">
        <f>IF(OR(TEXT(N152,"dddd")="Saturday",TEXT(N152,"dddd")="Sunday"),"Weekend","Weekday")</f>
        <v>Weekend</v>
      </c>
    </row>
    <row r="153" spans="1:34" x14ac:dyDescent="0.3">
      <c r="A153">
        <v>154</v>
      </c>
      <c r="B153">
        <v>70</v>
      </c>
      <c r="C153" t="s">
        <v>35</v>
      </c>
      <c r="D153" t="s">
        <v>54</v>
      </c>
      <c r="E153" t="s">
        <v>55</v>
      </c>
      <c r="F153">
        <v>10000</v>
      </c>
      <c r="G153">
        <v>17</v>
      </c>
      <c r="H153" t="s">
        <v>38</v>
      </c>
      <c r="I153" t="s">
        <v>39</v>
      </c>
      <c r="J153">
        <v>2</v>
      </c>
      <c r="K153" t="s">
        <v>172</v>
      </c>
      <c r="L153" t="s">
        <v>427</v>
      </c>
      <c r="M153" t="s">
        <v>428</v>
      </c>
      <c r="N153" s="2">
        <v>45809</v>
      </c>
      <c r="O153" s="2">
        <v>45826</v>
      </c>
      <c r="P153" t="s">
        <v>29</v>
      </c>
      <c r="Q153" t="s">
        <v>30</v>
      </c>
      <c r="R153" t="s">
        <v>59</v>
      </c>
      <c r="S153" t="s">
        <v>84</v>
      </c>
      <c r="T153" t="s">
        <v>33</v>
      </c>
      <c r="U153" t="s">
        <v>78</v>
      </c>
      <c r="V153" t="str">
        <f>IF(B153&lt;=18,"Children",IF(B153&lt;=35,"Young adult",IF(B153&lt;=60,"Adult", "Senior Citizen")))</f>
        <v>Senior Citizen</v>
      </c>
      <c r="W153" t="str">
        <f t="shared" si="14"/>
        <v>Jun</v>
      </c>
      <c r="X153">
        <f t="shared" si="15"/>
        <v>6</v>
      </c>
      <c r="Y153" t="str">
        <f t="shared" si="16"/>
        <v>Q2</v>
      </c>
      <c r="Z153">
        <f t="shared" si="17"/>
        <v>2025</v>
      </c>
      <c r="AA153" t="str">
        <f t="shared" si="18"/>
        <v>Sunday</v>
      </c>
      <c r="AB153">
        <f t="shared" si="19"/>
        <v>-17</v>
      </c>
      <c r="AC153" t="str">
        <f>IF(OR(D153="Heart Disease",D153="Cancer",D153="Stroke"),"High",IF(OR(D153="Diabetes",D153="Asthma"),"Medium","Low"))</f>
        <v>High</v>
      </c>
      <c r="AD153" t="str">
        <f t="shared" si="20"/>
        <v>Yes</v>
      </c>
      <c r="AE153" t="str">
        <f>IF(G153&lt;=2,"Short Stay", IF(G153&lt;=7,"Normal Stay", "Long Stay"))</f>
        <v>Long Stay</v>
      </c>
      <c r="AF153" t="str">
        <f>IF(F153&gt;60000,"Expensive",IF(F153&gt;30000,"Moderate","Affordable"))</f>
        <v>Affordable</v>
      </c>
      <c r="AG153" t="str">
        <f>IF(J153&gt;=4.5,"Excellent",IF(J153&gt;=3.5,"Good",IF(J153&gt;=2.5,"Average","Poor")))</f>
        <v>Poor</v>
      </c>
      <c r="AH153" t="str">
        <f>IF(OR(TEXT(N153,"dddd")="Saturday",TEXT(N153,"dddd")="Sunday"),"Weekend","Weekday")</f>
        <v>Weekend</v>
      </c>
    </row>
    <row r="154" spans="1:34" x14ac:dyDescent="0.3">
      <c r="A154">
        <v>155</v>
      </c>
      <c r="B154">
        <v>55</v>
      </c>
      <c r="C154" t="s">
        <v>21</v>
      </c>
      <c r="D154" t="s">
        <v>60</v>
      </c>
      <c r="E154" t="s">
        <v>61</v>
      </c>
      <c r="F154">
        <v>25000</v>
      </c>
      <c r="G154">
        <v>20</v>
      </c>
      <c r="H154" t="s">
        <v>24</v>
      </c>
      <c r="I154" t="s">
        <v>25</v>
      </c>
      <c r="J154">
        <v>4</v>
      </c>
      <c r="K154" t="s">
        <v>429</v>
      </c>
      <c r="L154" t="s">
        <v>430</v>
      </c>
      <c r="M154" t="s">
        <v>431</v>
      </c>
      <c r="N154" s="2">
        <v>45810</v>
      </c>
      <c r="O154" s="2">
        <v>45830</v>
      </c>
      <c r="P154" t="s">
        <v>29</v>
      </c>
      <c r="Q154" t="s">
        <v>52</v>
      </c>
      <c r="R154" t="s">
        <v>65</v>
      </c>
      <c r="S154" t="s">
        <v>53</v>
      </c>
      <c r="T154" t="s">
        <v>33</v>
      </c>
      <c r="U154" t="s">
        <v>78</v>
      </c>
      <c r="V154" t="str">
        <f>IF(B154&lt;=18,"Children",IF(B154&lt;=35,"Young adult",IF(B154&lt;=60,"Adult", "Senior Citizen")))</f>
        <v>Adult</v>
      </c>
      <c r="W154" t="str">
        <f t="shared" si="14"/>
        <v>Jun</v>
      </c>
      <c r="X154">
        <f t="shared" si="15"/>
        <v>6</v>
      </c>
      <c r="Y154" t="str">
        <f t="shared" si="16"/>
        <v>Q2</v>
      </c>
      <c r="Z154">
        <f t="shared" si="17"/>
        <v>2025</v>
      </c>
      <c r="AA154" t="str">
        <f t="shared" si="18"/>
        <v>Monday</v>
      </c>
      <c r="AB154">
        <f t="shared" si="19"/>
        <v>-20</v>
      </c>
      <c r="AC154" t="str">
        <f>IF(OR(D154="Heart Disease",D154="Cancer",D154="Stroke"),"High",IF(OR(D154="Diabetes",D154="Asthma"),"Medium","Low"))</f>
        <v>High</v>
      </c>
      <c r="AD154" t="str">
        <f t="shared" si="20"/>
        <v>Yes</v>
      </c>
      <c r="AE154" t="str">
        <f>IF(G154&lt;=2,"Short Stay", IF(G154&lt;=7,"Normal Stay", "Long Stay"))</f>
        <v>Long Stay</v>
      </c>
      <c r="AF154" t="str">
        <f>IF(F154&gt;60000,"Expensive",IF(F154&gt;30000,"Moderate","Affordable"))</f>
        <v>Affordable</v>
      </c>
      <c r="AG154" t="str">
        <f>IF(J154&gt;=4.5,"Excellent",IF(J154&gt;=3.5,"Good",IF(J154&gt;=2.5,"Average","Poor")))</f>
        <v>Good</v>
      </c>
      <c r="AH154" t="str">
        <f>IF(OR(TEXT(N154,"dddd")="Saturday",TEXT(N154,"dddd")="Sunday"),"Weekend","Weekday")</f>
        <v>Weekday</v>
      </c>
    </row>
    <row r="155" spans="1:34" x14ac:dyDescent="0.3">
      <c r="A155">
        <v>156</v>
      </c>
      <c r="B155">
        <v>68</v>
      </c>
      <c r="C155" t="s">
        <v>35</v>
      </c>
      <c r="D155" t="s">
        <v>66</v>
      </c>
      <c r="E155" t="s">
        <v>67</v>
      </c>
      <c r="F155">
        <v>1000</v>
      </c>
      <c r="G155">
        <v>12</v>
      </c>
      <c r="H155" t="s">
        <v>24</v>
      </c>
      <c r="I155" t="s">
        <v>39</v>
      </c>
      <c r="J155">
        <v>4</v>
      </c>
      <c r="K155" t="s">
        <v>218</v>
      </c>
      <c r="L155" t="s">
        <v>432</v>
      </c>
      <c r="M155" t="s">
        <v>433</v>
      </c>
      <c r="N155" s="2">
        <v>45811</v>
      </c>
      <c r="O155" s="2">
        <v>45823</v>
      </c>
      <c r="P155" t="s">
        <v>29</v>
      </c>
      <c r="Q155" t="s">
        <v>71</v>
      </c>
      <c r="R155" t="s">
        <v>45</v>
      </c>
      <c r="S155" t="s">
        <v>77</v>
      </c>
      <c r="T155" t="s">
        <v>33</v>
      </c>
      <c r="U155" t="s">
        <v>46</v>
      </c>
      <c r="V155" t="str">
        <f>IF(B155&lt;=18,"Children",IF(B155&lt;=35,"Young adult",IF(B155&lt;=60,"Adult", "Senior Citizen")))</f>
        <v>Senior Citizen</v>
      </c>
      <c r="W155" t="str">
        <f t="shared" si="14"/>
        <v>Jun</v>
      </c>
      <c r="X155">
        <f t="shared" si="15"/>
        <v>6</v>
      </c>
      <c r="Y155" t="str">
        <f t="shared" si="16"/>
        <v>Q2</v>
      </c>
      <c r="Z155">
        <f t="shared" si="17"/>
        <v>2025</v>
      </c>
      <c r="AA155" t="str">
        <f t="shared" si="18"/>
        <v>Tuesday</v>
      </c>
      <c r="AB155">
        <f t="shared" si="19"/>
        <v>-12</v>
      </c>
      <c r="AC155" t="str">
        <f>IF(OR(D155="Heart Disease",D155="Cancer",D155="Stroke"),"High",IF(OR(D155="Diabetes",D155="Asthma"),"Medium","Low"))</f>
        <v>Low</v>
      </c>
      <c r="AD155" t="str">
        <f t="shared" si="20"/>
        <v>No</v>
      </c>
      <c r="AE155" t="str">
        <f>IF(G155&lt;=2,"Short Stay", IF(G155&lt;=7,"Normal Stay", "Long Stay"))</f>
        <v>Long Stay</v>
      </c>
      <c r="AF155" t="str">
        <f>IF(F155&gt;60000,"Expensive",IF(F155&gt;30000,"Moderate","Affordable"))</f>
        <v>Affordable</v>
      </c>
      <c r="AG155" t="str">
        <f>IF(J155&gt;=4.5,"Excellent",IF(J155&gt;=3.5,"Good",IF(J155&gt;=2.5,"Average","Poor")))</f>
        <v>Good</v>
      </c>
      <c r="AH155" t="str">
        <f>IF(OR(TEXT(N155,"dddd")="Saturday",TEXT(N155,"dddd")="Sunday"),"Weekend","Weekday")</f>
        <v>Weekday</v>
      </c>
    </row>
    <row r="156" spans="1:34" x14ac:dyDescent="0.3">
      <c r="A156">
        <v>157</v>
      </c>
      <c r="B156">
        <v>45</v>
      </c>
      <c r="C156" t="s">
        <v>21</v>
      </c>
      <c r="D156" t="s">
        <v>73</v>
      </c>
      <c r="E156" t="s">
        <v>74</v>
      </c>
      <c r="F156">
        <v>8000</v>
      </c>
      <c r="G156">
        <v>14</v>
      </c>
      <c r="H156" t="s">
        <v>24</v>
      </c>
      <c r="I156" t="s">
        <v>25</v>
      </c>
      <c r="J156">
        <v>3</v>
      </c>
      <c r="K156" t="s">
        <v>40</v>
      </c>
      <c r="L156" t="s">
        <v>434</v>
      </c>
      <c r="M156" t="s">
        <v>435</v>
      </c>
      <c r="N156" s="2">
        <v>45812</v>
      </c>
      <c r="O156" s="2">
        <v>45826</v>
      </c>
      <c r="P156" t="s">
        <v>29</v>
      </c>
      <c r="Q156" t="s">
        <v>30</v>
      </c>
      <c r="R156" t="s">
        <v>45</v>
      </c>
      <c r="S156" t="s">
        <v>77</v>
      </c>
      <c r="T156" t="s">
        <v>33</v>
      </c>
      <c r="U156" t="s">
        <v>78</v>
      </c>
      <c r="V156" t="str">
        <f>IF(B156&lt;=18,"Children",IF(B156&lt;=35,"Young adult",IF(B156&lt;=60,"Adult", "Senior Citizen")))</f>
        <v>Adult</v>
      </c>
      <c r="W156" t="str">
        <f t="shared" si="14"/>
        <v>Jun</v>
      </c>
      <c r="X156">
        <f t="shared" si="15"/>
        <v>6</v>
      </c>
      <c r="Y156" t="str">
        <f t="shared" si="16"/>
        <v>Q2</v>
      </c>
      <c r="Z156">
        <f t="shared" si="17"/>
        <v>2025</v>
      </c>
      <c r="AA156" t="str">
        <f t="shared" si="18"/>
        <v>Wednesday</v>
      </c>
      <c r="AB156">
        <f t="shared" si="19"/>
        <v>-14</v>
      </c>
      <c r="AC156" t="str">
        <f>IF(OR(D156="Heart Disease",D156="Cancer",D156="Stroke"),"High",IF(OR(D156="Diabetes",D156="Asthma"),"Medium","Low"))</f>
        <v>Low</v>
      </c>
      <c r="AD156" t="str">
        <f t="shared" si="20"/>
        <v>No</v>
      </c>
      <c r="AE156" t="str">
        <f>IF(G156&lt;=2,"Short Stay", IF(G156&lt;=7,"Normal Stay", "Long Stay"))</f>
        <v>Long Stay</v>
      </c>
      <c r="AF156" t="str">
        <f>IF(F156&gt;60000,"Expensive",IF(F156&gt;30000,"Moderate","Affordable"))</f>
        <v>Affordable</v>
      </c>
      <c r="AG156" t="str">
        <f>IF(J156&gt;=4.5,"Excellent",IF(J156&gt;=3.5,"Good",IF(J156&gt;=2.5,"Average","Poor")))</f>
        <v>Average</v>
      </c>
      <c r="AH156" t="str">
        <f>IF(OR(TEXT(N156,"dddd")="Saturday",TEXT(N156,"dddd")="Sunday"),"Weekend","Weekday")</f>
        <v>Weekday</v>
      </c>
    </row>
    <row r="157" spans="1:34" x14ac:dyDescent="0.3">
      <c r="A157">
        <v>158</v>
      </c>
      <c r="B157">
        <v>40</v>
      </c>
      <c r="C157" t="s">
        <v>35</v>
      </c>
      <c r="D157" t="s">
        <v>79</v>
      </c>
      <c r="E157" t="s">
        <v>80</v>
      </c>
      <c r="F157">
        <v>3000</v>
      </c>
      <c r="G157">
        <v>16</v>
      </c>
      <c r="H157" t="s">
        <v>24</v>
      </c>
      <c r="I157" t="s">
        <v>25</v>
      </c>
      <c r="J157">
        <v>4</v>
      </c>
      <c r="K157" t="s">
        <v>144</v>
      </c>
      <c r="L157" t="s">
        <v>436</v>
      </c>
      <c r="M157" t="s">
        <v>437</v>
      </c>
      <c r="N157" s="2">
        <v>45813</v>
      </c>
      <c r="O157" s="2">
        <v>45829</v>
      </c>
      <c r="P157" t="s">
        <v>43</v>
      </c>
      <c r="Q157" t="s">
        <v>139</v>
      </c>
      <c r="R157" t="s">
        <v>45</v>
      </c>
      <c r="S157" t="s">
        <v>32</v>
      </c>
      <c r="T157" t="s">
        <v>33</v>
      </c>
      <c r="U157" t="s">
        <v>78</v>
      </c>
      <c r="V157" t="str">
        <f>IF(B157&lt;=18,"Children",IF(B157&lt;=35,"Young adult",IF(B157&lt;=60,"Adult", "Senior Citizen")))</f>
        <v>Adult</v>
      </c>
      <c r="W157" t="str">
        <f t="shared" si="14"/>
        <v>Jun</v>
      </c>
      <c r="X157">
        <f t="shared" si="15"/>
        <v>6</v>
      </c>
      <c r="Y157" t="str">
        <f t="shared" si="16"/>
        <v>Q2</v>
      </c>
      <c r="Z157">
        <f t="shared" si="17"/>
        <v>2025</v>
      </c>
      <c r="AA157" t="str">
        <f t="shared" si="18"/>
        <v>Thursday</v>
      </c>
      <c r="AB157">
        <f t="shared" si="19"/>
        <v>-16</v>
      </c>
      <c r="AC157" t="str">
        <f>IF(OR(D157="Heart Disease",D157="Cancer",D157="Stroke"),"High",IF(OR(D157="Diabetes",D157="Asthma"),"Medium","Low"))</f>
        <v>Low</v>
      </c>
      <c r="AD157" t="str">
        <f t="shared" si="20"/>
        <v>No</v>
      </c>
      <c r="AE157" t="str">
        <f>IF(G157&lt;=2,"Short Stay", IF(G157&lt;=7,"Normal Stay", "Long Stay"))</f>
        <v>Long Stay</v>
      </c>
      <c r="AF157" t="str">
        <f>IF(F157&gt;60000,"Expensive",IF(F157&gt;30000,"Moderate","Affordable"))</f>
        <v>Affordable</v>
      </c>
      <c r="AG157" t="str">
        <f>IF(J157&gt;=4.5,"Excellent",IF(J157&gt;=3.5,"Good",IF(J157&gt;=2.5,"Average","Poor")))</f>
        <v>Good</v>
      </c>
      <c r="AH157" t="str">
        <f>IF(OR(TEXT(N157,"dddd")="Saturday",TEXT(N157,"dddd")="Sunday"),"Weekend","Weekday")</f>
        <v>Weekday</v>
      </c>
    </row>
    <row r="158" spans="1:34" x14ac:dyDescent="0.3">
      <c r="A158">
        <v>159</v>
      </c>
      <c r="B158">
        <v>78</v>
      </c>
      <c r="C158" t="s">
        <v>21</v>
      </c>
      <c r="D158" t="s">
        <v>85</v>
      </c>
      <c r="E158" t="s">
        <v>86</v>
      </c>
      <c r="F158">
        <v>18000</v>
      </c>
      <c r="G158">
        <v>18</v>
      </c>
      <c r="H158" t="s">
        <v>38</v>
      </c>
      <c r="I158" t="s">
        <v>39</v>
      </c>
      <c r="J158">
        <v>2</v>
      </c>
      <c r="K158" t="s">
        <v>203</v>
      </c>
      <c r="L158" t="s">
        <v>438</v>
      </c>
      <c r="M158" t="s">
        <v>439</v>
      </c>
      <c r="N158" s="2">
        <v>45814</v>
      </c>
      <c r="O158" s="2">
        <v>45832</v>
      </c>
      <c r="P158" t="s">
        <v>29</v>
      </c>
      <c r="Q158" t="s">
        <v>139</v>
      </c>
      <c r="R158" t="s">
        <v>45</v>
      </c>
      <c r="S158" t="s">
        <v>84</v>
      </c>
      <c r="T158" t="s">
        <v>33</v>
      </c>
      <c r="U158" t="s">
        <v>34</v>
      </c>
      <c r="V158" t="str">
        <f>IF(B158&lt;=18,"Children",IF(B158&lt;=35,"Young adult",IF(B158&lt;=60,"Adult", "Senior Citizen")))</f>
        <v>Senior Citizen</v>
      </c>
      <c r="W158" t="str">
        <f t="shared" si="14"/>
        <v>Jun</v>
      </c>
      <c r="X158">
        <f t="shared" si="15"/>
        <v>6</v>
      </c>
      <c r="Y158" t="str">
        <f t="shared" si="16"/>
        <v>Q2</v>
      </c>
      <c r="Z158">
        <f t="shared" si="17"/>
        <v>2025</v>
      </c>
      <c r="AA158" t="str">
        <f t="shared" si="18"/>
        <v>Friday</v>
      </c>
      <c r="AB158">
        <f t="shared" si="19"/>
        <v>-18</v>
      </c>
      <c r="AC158" t="str">
        <f>IF(OR(D158="Heart Disease",D158="Cancer",D158="Stroke"),"High",IF(OR(D158="Diabetes",D158="Asthma"),"Medium","Low"))</f>
        <v>Low</v>
      </c>
      <c r="AD158" t="str">
        <f t="shared" si="20"/>
        <v>No</v>
      </c>
      <c r="AE158" t="str">
        <f>IF(G158&lt;=2,"Short Stay", IF(G158&lt;=7,"Normal Stay", "Long Stay"))</f>
        <v>Long Stay</v>
      </c>
      <c r="AF158" t="str">
        <f>IF(F158&gt;60000,"Expensive",IF(F158&gt;30000,"Moderate","Affordable"))</f>
        <v>Affordable</v>
      </c>
      <c r="AG158" t="str">
        <f>IF(J158&gt;=4.5,"Excellent",IF(J158&gt;=3.5,"Good",IF(J158&gt;=2.5,"Average","Poor")))</f>
        <v>Poor</v>
      </c>
      <c r="AH158" t="str">
        <f>IF(OR(TEXT(N158,"dddd")="Saturday",TEXT(N158,"dddd")="Sunday"),"Weekend","Weekday")</f>
        <v>Weekday</v>
      </c>
    </row>
    <row r="159" spans="1:34" x14ac:dyDescent="0.3">
      <c r="A159">
        <v>160</v>
      </c>
      <c r="B159">
        <v>25</v>
      </c>
      <c r="C159" t="s">
        <v>35</v>
      </c>
      <c r="D159" t="s">
        <v>89</v>
      </c>
      <c r="E159" t="s">
        <v>90</v>
      </c>
      <c r="F159">
        <v>100</v>
      </c>
      <c r="G159">
        <v>11</v>
      </c>
      <c r="H159" t="s">
        <v>24</v>
      </c>
      <c r="I159" t="s">
        <v>25</v>
      </c>
      <c r="J159">
        <v>5</v>
      </c>
      <c r="K159" t="s">
        <v>49</v>
      </c>
      <c r="L159" t="s">
        <v>440</v>
      </c>
      <c r="M159" t="s">
        <v>441</v>
      </c>
      <c r="N159" s="2">
        <v>45815</v>
      </c>
      <c r="O159" s="2">
        <v>45826</v>
      </c>
      <c r="P159" t="s">
        <v>29</v>
      </c>
      <c r="Q159" t="s">
        <v>139</v>
      </c>
      <c r="R159" t="s">
        <v>45</v>
      </c>
      <c r="S159" t="s">
        <v>53</v>
      </c>
      <c r="T159" t="s">
        <v>33</v>
      </c>
      <c r="U159" t="s">
        <v>34</v>
      </c>
      <c r="V159" t="str">
        <f>IF(B159&lt;=18,"Children",IF(B159&lt;=35,"Young adult",IF(B159&lt;=60,"Adult", "Senior Citizen")))</f>
        <v>Young adult</v>
      </c>
      <c r="W159" t="str">
        <f t="shared" si="14"/>
        <v>Jun</v>
      </c>
      <c r="X159">
        <f t="shared" si="15"/>
        <v>6</v>
      </c>
      <c r="Y159" t="str">
        <f t="shared" si="16"/>
        <v>Q2</v>
      </c>
      <c r="Z159">
        <f t="shared" si="17"/>
        <v>2025</v>
      </c>
      <c r="AA159" t="str">
        <f t="shared" si="18"/>
        <v>Saturday</v>
      </c>
      <c r="AB159">
        <f t="shared" si="19"/>
        <v>-11</v>
      </c>
      <c r="AC159" t="str">
        <f>IF(OR(D159="Heart Disease",D159="Cancer",D159="Stroke"),"High",IF(OR(D159="Diabetes",D159="Asthma"),"Medium","Low"))</f>
        <v>Low</v>
      </c>
      <c r="AD159" t="str">
        <f t="shared" si="20"/>
        <v>No</v>
      </c>
      <c r="AE159" t="str">
        <f>IF(G159&lt;=2,"Short Stay", IF(G159&lt;=7,"Normal Stay", "Long Stay"))</f>
        <v>Long Stay</v>
      </c>
      <c r="AF159" t="str">
        <f>IF(F159&gt;60000,"Expensive",IF(F159&gt;30000,"Moderate","Affordable"))</f>
        <v>Affordable</v>
      </c>
      <c r="AG159" t="str">
        <f>IF(J159&gt;=4.5,"Excellent",IF(J159&gt;=3.5,"Good",IF(J159&gt;=2.5,"Average","Poor")))</f>
        <v>Excellent</v>
      </c>
      <c r="AH159" t="str">
        <f>IF(OR(TEXT(N159,"dddd")="Saturday",TEXT(N159,"dddd")="Sunday"),"Weekend","Weekday")</f>
        <v>Weekend</v>
      </c>
    </row>
    <row r="160" spans="1:34" x14ac:dyDescent="0.3">
      <c r="A160">
        <v>161</v>
      </c>
      <c r="B160">
        <v>52</v>
      </c>
      <c r="C160" t="s">
        <v>21</v>
      </c>
      <c r="D160" t="s">
        <v>94</v>
      </c>
      <c r="E160" t="s">
        <v>95</v>
      </c>
      <c r="F160">
        <v>800</v>
      </c>
      <c r="G160">
        <v>12</v>
      </c>
      <c r="H160" t="s">
        <v>24</v>
      </c>
      <c r="I160" t="s">
        <v>39</v>
      </c>
      <c r="J160">
        <v>4</v>
      </c>
      <c r="K160" t="s">
        <v>169</v>
      </c>
      <c r="L160" t="s">
        <v>442</v>
      </c>
      <c r="M160" t="s">
        <v>443</v>
      </c>
      <c r="N160" s="2">
        <v>45816</v>
      </c>
      <c r="O160" s="2">
        <v>45828</v>
      </c>
      <c r="P160" t="s">
        <v>29</v>
      </c>
      <c r="Q160" t="s">
        <v>71</v>
      </c>
      <c r="R160" t="s">
        <v>45</v>
      </c>
      <c r="S160" t="s">
        <v>77</v>
      </c>
      <c r="T160" t="s">
        <v>33</v>
      </c>
      <c r="U160" t="s">
        <v>104</v>
      </c>
      <c r="V160" t="str">
        <f>IF(B160&lt;=18,"Children",IF(B160&lt;=35,"Young adult",IF(B160&lt;=60,"Adult", "Senior Citizen")))</f>
        <v>Adult</v>
      </c>
      <c r="W160" t="str">
        <f t="shared" si="14"/>
        <v>Jun</v>
      </c>
      <c r="X160">
        <f t="shared" si="15"/>
        <v>6</v>
      </c>
      <c r="Y160" t="str">
        <f t="shared" si="16"/>
        <v>Q2</v>
      </c>
      <c r="Z160">
        <f t="shared" si="17"/>
        <v>2025</v>
      </c>
      <c r="AA160" t="str">
        <f t="shared" si="18"/>
        <v>Sunday</v>
      </c>
      <c r="AB160">
        <f t="shared" si="19"/>
        <v>-12</v>
      </c>
      <c r="AC160" t="str">
        <f>IF(OR(D160="Heart Disease",D160="Cancer",D160="Stroke"),"High",IF(OR(D160="Diabetes",D160="Asthma"),"Medium","Low"))</f>
        <v>Low</v>
      </c>
      <c r="AD160" t="str">
        <f t="shared" si="20"/>
        <v>No</v>
      </c>
      <c r="AE160" t="str">
        <f>IF(G160&lt;=2,"Short Stay", IF(G160&lt;=7,"Normal Stay", "Long Stay"))</f>
        <v>Long Stay</v>
      </c>
      <c r="AF160" t="str">
        <f>IF(F160&gt;60000,"Expensive",IF(F160&gt;30000,"Moderate","Affordable"))</f>
        <v>Affordable</v>
      </c>
      <c r="AG160" t="str">
        <f>IF(J160&gt;=4.5,"Excellent",IF(J160&gt;=3.5,"Good",IF(J160&gt;=2.5,"Average","Poor")))</f>
        <v>Good</v>
      </c>
      <c r="AH160" t="str">
        <f>IF(OR(TEXT(N160,"dddd")="Saturday",TEXT(N160,"dddd")="Sunday"),"Weekend","Weekday")</f>
        <v>Weekend</v>
      </c>
    </row>
    <row r="161" spans="1:34" x14ac:dyDescent="0.3">
      <c r="A161">
        <v>162</v>
      </c>
      <c r="B161">
        <v>58</v>
      </c>
      <c r="C161" t="s">
        <v>35</v>
      </c>
      <c r="D161" t="s">
        <v>99</v>
      </c>
      <c r="E161" t="s">
        <v>100</v>
      </c>
      <c r="F161">
        <v>20000</v>
      </c>
      <c r="G161">
        <v>19</v>
      </c>
      <c r="H161" t="s">
        <v>24</v>
      </c>
      <c r="I161" t="s">
        <v>25</v>
      </c>
      <c r="J161">
        <v>3</v>
      </c>
      <c r="K161" t="s">
        <v>81</v>
      </c>
      <c r="L161" t="s">
        <v>444</v>
      </c>
      <c r="M161" t="s">
        <v>445</v>
      </c>
      <c r="N161" s="2">
        <v>45817</v>
      </c>
      <c r="O161" s="2">
        <v>45836</v>
      </c>
      <c r="P161" t="s">
        <v>29</v>
      </c>
      <c r="Q161" t="s">
        <v>30</v>
      </c>
      <c r="R161" t="s">
        <v>45</v>
      </c>
      <c r="S161" t="s">
        <v>53</v>
      </c>
      <c r="T161" t="s">
        <v>33</v>
      </c>
      <c r="U161" t="s">
        <v>46</v>
      </c>
      <c r="V161" t="str">
        <f>IF(B161&lt;=18,"Children",IF(B161&lt;=35,"Young adult",IF(B161&lt;=60,"Adult", "Senior Citizen")))</f>
        <v>Adult</v>
      </c>
      <c r="W161" t="str">
        <f t="shared" si="14"/>
        <v>Jun</v>
      </c>
      <c r="X161">
        <f t="shared" si="15"/>
        <v>6</v>
      </c>
      <c r="Y161" t="str">
        <f t="shared" si="16"/>
        <v>Q2</v>
      </c>
      <c r="Z161">
        <f t="shared" si="17"/>
        <v>2025</v>
      </c>
      <c r="AA161" t="str">
        <f t="shared" si="18"/>
        <v>Monday</v>
      </c>
      <c r="AB161">
        <f t="shared" si="19"/>
        <v>-19</v>
      </c>
      <c r="AC161" t="str">
        <f>IF(OR(D161="Heart Disease",D161="Cancer",D161="Stroke"),"High",IF(OR(D161="Diabetes",D161="Asthma"),"Medium","Low"))</f>
        <v>Low</v>
      </c>
      <c r="AD161" t="str">
        <f t="shared" si="20"/>
        <v>No</v>
      </c>
      <c r="AE161" t="str">
        <f>IF(G161&lt;=2,"Short Stay", IF(G161&lt;=7,"Normal Stay", "Long Stay"))</f>
        <v>Long Stay</v>
      </c>
      <c r="AF161" t="str">
        <f>IF(F161&gt;60000,"Expensive",IF(F161&gt;30000,"Moderate","Affordable"))</f>
        <v>Affordable</v>
      </c>
      <c r="AG161" t="str">
        <f>IF(J161&gt;=4.5,"Excellent",IF(J161&gt;=3.5,"Good",IF(J161&gt;=2.5,"Average","Poor")))</f>
        <v>Average</v>
      </c>
      <c r="AH161" t="str">
        <f>IF(OR(TEXT(N161,"dddd")="Saturday",TEXT(N161,"dddd")="Sunday"),"Weekend","Weekday")</f>
        <v>Weekday</v>
      </c>
    </row>
    <row r="162" spans="1:34" x14ac:dyDescent="0.3">
      <c r="A162">
        <v>163</v>
      </c>
      <c r="B162">
        <v>32</v>
      </c>
      <c r="C162" t="s">
        <v>21</v>
      </c>
      <c r="D162" t="s">
        <v>105</v>
      </c>
      <c r="E162" t="s">
        <v>106</v>
      </c>
      <c r="F162">
        <v>12000</v>
      </c>
      <c r="G162">
        <v>13</v>
      </c>
      <c r="H162" t="s">
        <v>24</v>
      </c>
      <c r="I162" t="s">
        <v>25</v>
      </c>
      <c r="J162">
        <v>4</v>
      </c>
      <c r="K162" t="s">
        <v>380</v>
      </c>
      <c r="L162" t="s">
        <v>446</v>
      </c>
      <c r="M162" t="s">
        <v>447</v>
      </c>
      <c r="N162" s="2">
        <v>45818</v>
      </c>
      <c r="O162" s="2">
        <v>45831</v>
      </c>
      <c r="P162" t="s">
        <v>29</v>
      </c>
      <c r="Q162" t="s">
        <v>30</v>
      </c>
      <c r="R162" t="s">
        <v>45</v>
      </c>
      <c r="S162" t="s">
        <v>77</v>
      </c>
      <c r="T162" t="s">
        <v>33</v>
      </c>
      <c r="U162" t="s">
        <v>78</v>
      </c>
      <c r="V162" t="str">
        <f>IF(B162&lt;=18,"Children",IF(B162&lt;=35,"Young adult",IF(B162&lt;=60,"Adult", "Senior Citizen")))</f>
        <v>Young adult</v>
      </c>
      <c r="W162" t="str">
        <f t="shared" si="14"/>
        <v>Jun</v>
      </c>
      <c r="X162">
        <f t="shared" si="15"/>
        <v>6</v>
      </c>
      <c r="Y162" t="str">
        <f t="shared" si="16"/>
        <v>Q2</v>
      </c>
      <c r="Z162">
        <f t="shared" si="17"/>
        <v>2025</v>
      </c>
      <c r="AA162" t="str">
        <f t="shared" si="18"/>
        <v>Tuesday</v>
      </c>
      <c r="AB162">
        <f t="shared" si="19"/>
        <v>-13</v>
      </c>
      <c r="AC162" t="str">
        <f>IF(OR(D162="Heart Disease",D162="Cancer",D162="Stroke"),"High",IF(OR(D162="Diabetes",D162="Asthma"),"Medium","Low"))</f>
        <v>Low</v>
      </c>
      <c r="AD162" t="str">
        <f t="shared" si="20"/>
        <v>No</v>
      </c>
      <c r="AE162" t="str">
        <f>IF(G162&lt;=2,"Short Stay", IF(G162&lt;=7,"Normal Stay", "Long Stay"))</f>
        <v>Long Stay</v>
      </c>
      <c r="AF162" t="str">
        <f>IF(F162&gt;60000,"Expensive",IF(F162&gt;30000,"Moderate","Affordable"))</f>
        <v>Affordable</v>
      </c>
      <c r="AG162" t="str">
        <f>IF(J162&gt;=4.5,"Excellent",IF(J162&gt;=3.5,"Good",IF(J162&gt;=2.5,"Average","Poor")))</f>
        <v>Good</v>
      </c>
      <c r="AH162" t="str">
        <f>IF(OR(TEXT(N162,"dddd")="Saturday",TEXT(N162,"dddd")="Sunday"),"Weekend","Weekday")</f>
        <v>Weekday</v>
      </c>
    </row>
    <row r="163" spans="1:34" x14ac:dyDescent="0.3">
      <c r="A163">
        <v>164</v>
      </c>
      <c r="B163">
        <v>55</v>
      </c>
      <c r="C163" t="s">
        <v>35</v>
      </c>
      <c r="D163" t="s">
        <v>111</v>
      </c>
      <c r="E163" t="s">
        <v>112</v>
      </c>
      <c r="F163">
        <v>6000</v>
      </c>
      <c r="G163">
        <v>14</v>
      </c>
      <c r="H163" t="s">
        <v>24</v>
      </c>
      <c r="I163" t="s">
        <v>25</v>
      </c>
      <c r="J163">
        <v>3</v>
      </c>
      <c r="K163" t="s">
        <v>113</v>
      </c>
      <c r="L163" t="s">
        <v>448</v>
      </c>
      <c r="M163" t="s">
        <v>449</v>
      </c>
      <c r="N163" s="2">
        <v>45819</v>
      </c>
      <c r="O163" s="2">
        <v>45833</v>
      </c>
      <c r="P163" t="s">
        <v>43</v>
      </c>
      <c r="Q163" t="s">
        <v>71</v>
      </c>
      <c r="R163" t="s">
        <v>45</v>
      </c>
      <c r="S163" t="s">
        <v>77</v>
      </c>
      <c r="T163" t="s">
        <v>33</v>
      </c>
      <c r="U163" t="s">
        <v>46</v>
      </c>
      <c r="V163" t="str">
        <f>IF(B163&lt;=18,"Children",IF(B163&lt;=35,"Young adult",IF(B163&lt;=60,"Adult", "Senior Citizen")))</f>
        <v>Adult</v>
      </c>
      <c r="W163" t="str">
        <f t="shared" si="14"/>
        <v>Jun</v>
      </c>
      <c r="X163">
        <f t="shared" si="15"/>
        <v>6</v>
      </c>
      <c r="Y163" t="str">
        <f t="shared" si="16"/>
        <v>Q2</v>
      </c>
      <c r="Z163">
        <f t="shared" si="17"/>
        <v>2025</v>
      </c>
      <c r="AA163" t="str">
        <f t="shared" si="18"/>
        <v>Wednesday</v>
      </c>
      <c r="AB163">
        <f t="shared" si="19"/>
        <v>-14</v>
      </c>
      <c r="AC163" t="str">
        <f>IF(OR(D163="Heart Disease",D163="Cancer",D163="Stroke"),"High",IF(OR(D163="Diabetes",D163="Asthma"),"Medium","Low"))</f>
        <v>Low</v>
      </c>
      <c r="AD163" t="str">
        <f t="shared" si="20"/>
        <v>No</v>
      </c>
      <c r="AE163" t="str">
        <f>IF(G163&lt;=2,"Short Stay", IF(G163&lt;=7,"Normal Stay", "Long Stay"))</f>
        <v>Long Stay</v>
      </c>
      <c r="AF163" t="str">
        <f>IF(F163&gt;60000,"Expensive",IF(F163&gt;30000,"Moderate","Affordable"))</f>
        <v>Affordable</v>
      </c>
      <c r="AG163" t="str">
        <f>IF(J163&gt;=4.5,"Excellent",IF(J163&gt;=3.5,"Good",IF(J163&gt;=2.5,"Average","Poor")))</f>
        <v>Average</v>
      </c>
      <c r="AH163" t="str">
        <f>IF(OR(TEXT(N163,"dddd")="Saturday",TEXT(N163,"dddd")="Sunday"),"Weekend","Weekday")</f>
        <v>Weekday</v>
      </c>
    </row>
    <row r="164" spans="1:34" x14ac:dyDescent="0.3">
      <c r="A164">
        <v>165</v>
      </c>
      <c r="B164">
        <v>65</v>
      </c>
      <c r="C164" t="s">
        <v>21</v>
      </c>
      <c r="D164" t="s">
        <v>116</v>
      </c>
      <c r="E164" t="s">
        <v>117</v>
      </c>
      <c r="F164">
        <v>4000</v>
      </c>
      <c r="G164">
        <v>15</v>
      </c>
      <c r="H164" t="s">
        <v>24</v>
      </c>
      <c r="I164" t="s">
        <v>39</v>
      </c>
      <c r="J164">
        <v>4</v>
      </c>
      <c r="K164" t="s">
        <v>157</v>
      </c>
      <c r="L164" t="s">
        <v>450</v>
      </c>
      <c r="M164" t="s">
        <v>451</v>
      </c>
      <c r="N164" s="2">
        <v>45820</v>
      </c>
      <c r="O164" s="2">
        <v>45835</v>
      </c>
      <c r="P164" t="s">
        <v>43</v>
      </c>
      <c r="Q164" t="s">
        <v>44</v>
      </c>
      <c r="R164" t="s">
        <v>45</v>
      </c>
      <c r="S164" t="s">
        <v>53</v>
      </c>
      <c r="T164" t="s">
        <v>33</v>
      </c>
      <c r="U164" t="s">
        <v>78</v>
      </c>
      <c r="V164" t="str">
        <f>IF(B164&lt;=18,"Children",IF(B164&lt;=35,"Young adult",IF(B164&lt;=60,"Adult", "Senior Citizen")))</f>
        <v>Senior Citizen</v>
      </c>
      <c r="W164" t="str">
        <f t="shared" si="14"/>
        <v>Jun</v>
      </c>
      <c r="X164">
        <f t="shared" si="15"/>
        <v>6</v>
      </c>
      <c r="Y164" t="str">
        <f t="shared" si="16"/>
        <v>Q2</v>
      </c>
      <c r="Z164">
        <f t="shared" si="17"/>
        <v>2025</v>
      </c>
      <c r="AA164" t="str">
        <f t="shared" si="18"/>
        <v>Thursday</v>
      </c>
      <c r="AB164">
        <f t="shared" si="19"/>
        <v>-15</v>
      </c>
      <c r="AC164" t="str">
        <f>IF(OR(D164="Heart Disease",D164="Cancer",D164="Stroke"),"High",IF(OR(D164="Diabetes",D164="Asthma"),"Medium","Low"))</f>
        <v>Low</v>
      </c>
      <c r="AD164" t="str">
        <f t="shared" si="20"/>
        <v>No</v>
      </c>
      <c r="AE164" t="str">
        <f>IF(G164&lt;=2,"Short Stay", IF(G164&lt;=7,"Normal Stay", "Long Stay"))</f>
        <v>Long Stay</v>
      </c>
      <c r="AF164" t="str">
        <f>IF(F164&gt;60000,"Expensive",IF(F164&gt;30000,"Moderate","Affordable"))</f>
        <v>Affordable</v>
      </c>
      <c r="AG164" t="str">
        <f>IF(J164&gt;=4.5,"Excellent",IF(J164&gt;=3.5,"Good",IF(J164&gt;=2.5,"Average","Poor")))</f>
        <v>Good</v>
      </c>
      <c r="AH164" t="str">
        <f>IF(OR(TEXT(N164,"dddd")="Saturday",TEXT(N164,"dddd")="Sunday"),"Weekend","Weekday")</f>
        <v>Weekday</v>
      </c>
    </row>
    <row r="165" spans="1:34" x14ac:dyDescent="0.3">
      <c r="A165">
        <v>166</v>
      </c>
      <c r="B165">
        <v>55</v>
      </c>
      <c r="C165" t="s">
        <v>21</v>
      </c>
      <c r="D165" t="s">
        <v>22</v>
      </c>
      <c r="E165" t="s">
        <v>23</v>
      </c>
      <c r="F165">
        <v>15000</v>
      </c>
      <c r="G165">
        <v>16</v>
      </c>
      <c r="H165" t="s">
        <v>38</v>
      </c>
      <c r="I165" t="s">
        <v>25</v>
      </c>
      <c r="J165">
        <v>3</v>
      </c>
      <c r="K165" t="s">
        <v>324</v>
      </c>
      <c r="L165" t="s">
        <v>452</v>
      </c>
      <c r="M165" t="s">
        <v>453</v>
      </c>
      <c r="N165" s="2">
        <v>45821</v>
      </c>
      <c r="O165" s="2">
        <v>45837</v>
      </c>
      <c r="P165" t="s">
        <v>43</v>
      </c>
      <c r="Q165" t="s">
        <v>71</v>
      </c>
      <c r="R165" t="s">
        <v>31</v>
      </c>
      <c r="S165" t="s">
        <v>72</v>
      </c>
      <c r="T165" t="s">
        <v>33</v>
      </c>
      <c r="U165" t="s">
        <v>46</v>
      </c>
      <c r="V165" t="str">
        <f>IF(B165&lt;=18,"Children",IF(B165&lt;=35,"Young adult",IF(B165&lt;=60,"Adult", "Senior Citizen")))</f>
        <v>Adult</v>
      </c>
      <c r="W165" t="str">
        <f t="shared" si="14"/>
        <v>Jun</v>
      </c>
      <c r="X165">
        <f t="shared" si="15"/>
        <v>6</v>
      </c>
      <c r="Y165" t="str">
        <f t="shared" si="16"/>
        <v>Q2</v>
      </c>
      <c r="Z165">
        <f t="shared" si="17"/>
        <v>2025</v>
      </c>
      <c r="AA165" t="str">
        <f t="shared" si="18"/>
        <v>Friday</v>
      </c>
      <c r="AB165">
        <f t="shared" si="19"/>
        <v>-16</v>
      </c>
      <c r="AC165" t="str">
        <f>IF(OR(D165="Heart Disease",D165="Cancer",D165="Stroke"),"High",IF(OR(D165="Diabetes",D165="Asthma"),"Medium","Low"))</f>
        <v>High</v>
      </c>
      <c r="AD165" t="str">
        <f t="shared" si="20"/>
        <v>Yes</v>
      </c>
      <c r="AE165" t="str">
        <f>IF(G165&lt;=2,"Short Stay", IF(G165&lt;=7,"Normal Stay", "Long Stay"))</f>
        <v>Long Stay</v>
      </c>
      <c r="AF165" t="str">
        <f>IF(F165&gt;60000,"Expensive",IF(F165&gt;30000,"Moderate","Affordable"))</f>
        <v>Affordable</v>
      </c>
      <c r="AG165" t="str">
        <f>IF(J165&gt;=4.5,"Excellent",IF(J165&gt;=3.5,"Good",IF(J165&gt;=2.5,"Average","Poor")))</f>
        <v>Average</v>
      </c>
      <c r="AH165" t="str">
        <f>IF(OR(TEXT(N165,"dddd")="Saturday",TEXT(N165,"dddd")="Sunday"),"Weekend","Weekday")</f>
        <v>Weekday</v>
      </c>
    </row>
    <row r="166" spans="1:34" x14ac:dyDescent="0.3">
      <c r="A166">
        <v>167</v>
      </c>
      <c r="B166">
        <v>62</v>
      </c>
      <c r="C166" t="s">
        <v>35</v>
      </c>
      <c r="D166" t="s">
        <v>36</v>
      </c>
      <c r="E166" t="s">
        <v>37</v>
      </c>
      <c r="F166">
        <v>2000</v>
      </c>
      <c r="G166">
        <v>14</v>
      </c>
      <c r="H166" t="s">
        <v>24</v>
      </c>
      <c r="I166" t="s">
        <v>39</v>
      </c>
      <c r="J166">
        <v>4</v>
      </c>
      <c r="K166" t="s">
        <v>245</v>
      </c>
      <c r="L166" t="s">
        <v>454</v>
      </c>
      <c r="M166" t="s">
        <v>455</v>
      </c>
      <c r="N166" s="2">
        <v>45822</v>
      </c>
      <c r="O166" s="2">
        <v>45836</v>
      </c>
      <c r="P166" t="s">
        <v>29</v>
      </c>
      <c r="Q166" t="s">
        <v>139</v>
      </c>
      <c r="R166" t="s">
        <v>45</v>
      </c>
      <c r="S166" t="s">
        <v>110</v>
      </c>
      <c r="T166" t="s">
        <v>33</v>
      </c>
      <c r="U166" t="s">
        <v>46</v>
      </c>
      <c r="V166" t="str">
        <f>IF(B166&lt;=18,"Children",IF(B166&lt;=35,"Young adult",IF(B166&lt;=60,"Adult", "Senior Citizen")))</f>
        <v>Senior Citizen</v>
      </c>
      <c r="W166" t="str">
        <f t="shared" si="14"/>
        <v>Jun</v>
      </c>
      <c r="X166">
        <f t="shared" si="15"/>
        <v>6</v>
      </c>
      <c r="Y166" t="str">
        <f t="shared" si="16"/>
        <v>Q2</v>
      </c>
      <c r="Z166">
        <f t="shared" si="17"/>
        <v>2025</v>
      </c>
      <c r="AA166" t="str">
        <f t="shared" si="18"/>
        <v>Saturday</v>
      </c>
      <c r="AB166">
        <f t="shared" si="19"/>
        <v>-14</v>
      </c>
      <c r="AC166" t="str">
        <f>IF(OR(D166="Heart Disease",D166="Cancer",D166="Stroke"),"High",IF(OR(D166="Diabetes",D166="Asthma"),"Medium","Low"))</f>
        <v>Medium</v>
      </c>
      <c r="AD166" t="str">
        <f t="shared" si="20"/>
        <v>No</v>
      </c>
      <c r="AE166" t="str">
        <f>IF(G166&lt;=2,"Short Stay", IF(G166&lt;=7,"Normal Stay", "Long Stay"))</f>
        <v>Long Stay</v>
      </c>
      <c r="AF166" t="str">
        <f>IF(F166&gt;60000,"Expensive",IF(F166&gt;30000,"Moderate","Affordable"))</f>
        <v>Affordable</v>
      </c>
      <c r="AG166" t="str">
        <f>IF(J166&gt;=4.5,"Excellent",IF(J166&gt;=3.5,"Good",IF(J166&gt;=2.5,"Average","Poor")))</f>
        <v>Good</v>
      </c>
      <c r="AH166" t="str">
        <f>IF(OR(TEXT(N166,"dddd")="Saturday",TEXT(N166,"dddd")="Sunday"),"Weekend","Weekday")</f>
        <v>Weekend</v>
      </c>
    </row>
    <row r="167" spans="1:34" x14ac:dyDescent="0.3">
      <c r="A167">
        <v>168</v>
      </c>
      <c r="B167">
        <v>35</v>
      </c>
      <c r="C167" t="s">
        <v>21</v>
      </c>
      <c r="D167" t="s">
        <v>47</v>
      </c>
      <c r="E167" t="s">
        <v>48</v>
      </c>
      <c r="F167">
        <v>500</v>
      </c>
      <c r="G167">
        <v>12</v>
      </c>
      <c r="H167" t="s">
        <v>38</v>
      </c>
      <c r="I167" t="s">
        <v>25</v>
      </c>
      <c r="J167">
        <v>5</v>
      </c>
      <c r="K167" t="s">
        <v>91</v>
      </c>
      <c r="L167" t="s">
        <v>456</v>
      </c>
      <c r="M167" t="s">
        <v>457</v>
      </c>
      <c r="N167" s="2">
        <v>45823</v>
      </c>
      <c r="O167" s="2">
        <v>45835</v>
      </c>
      <c r="P167" t="s">
        <v>43</v>
      </c>
      <c r="Q167" t="s">
        <v>71</v>
      </c>
      <c r="R167" t="s">
        <v>45</v>
      </c>
      <c r="S167" t="s">
        <v>32</v>
      </c>
      <c r="T167" t="s">
        <v>33</v>
      </c>
      <c r="U167" t="s">
        <v>104</v>
      </c>
      <c r="V167" t="str">
        <f>IF(B167&lt;=18,"Children",IF(B167&lt;=35,"Young adult",IF(B167&lt;=60,"Adult", "Senior Citizen")))</f>
        <v>Young adult</v>
      </c>
      <c r="W167" t="str">
        <f t="shared" si="14"/>
        <v>Jun</v>
      </c>
      <c r="X167">
        <f t="shared" si="15"/>
        <v>6</v>
      </c>
      <c r="Y167" t="str">
        <f t="shared" si="16"/>
        <v>Q2</v>
      </c>
      <c r="Z167">
        <f t="shared" si="17"/>
        <v>2025</v>
      </c>
      <c r="AA167" t="str">
        <f t="shared" si="18"/>
        <v>Sunday</v>
      </c>
      <c r="AB167">
        <f t="shared" si="19"/>
        <v>-12</v>
      </c>
      <c r="AC167" t="str">
        <f>IF(OR(D167="Heart Disease",D167="Cancer",D167="Stroke"),"High",IF(OR(D167="Diabetes",D167="Asthma"),"Medium","Low"))</f>
        <v>Low</v>
      </c>
      <c r="AD167" t="str">
        <f t="shared" si="20"/>
        <v>No</v>
      </c>
      <c r="AE167" t="str">
        <f>IF(G167&lt;=2,"Short Stay", IF(G167&lt;=7,"Normal Stay", "Long Stay"))</f>
        <v>Long Stay</v>
      </c>
      <c r="AF167" t="str">
        <f>IF(F167&gt;60000,"Expensive",IF(F167&gt;30000,"Moderate","Affordable"))</f>
        <v>Affordable</v>
      </c>
      <c r="AG167" t="str">
        <f>IF(J167&gt;=4.5,"Excellent",IF(J167&gt;=3.5,"Good",IF(J167&gt;=2.5,"Average","Poor")))</f>
        <v>Excellent</v>
      </c>
      <c r="AH167" t="str">
        <f>IF(OR(TEXT(N167,"dddd")="Saturday",TEXT(N167,"dddd")="Sunday"),"Weekend","Weekday")</f>
        <v>Weekend</v>
      </c>
    </row>
    <row r="168" spans="1:34" x14ac:dyDescent="0.3">
      <c r="A168">
        <v>169</v>
      </c>
      <c r="B168">
        <v>78</v>
      </c>
      <c r="C168" t="s">
        <v>35</v>
      </c>
      <c r="D168" t="s">
        <v>54</v>
      </c>
      <c r="E168" t="s">
        <v>55</v>
      </c>
      <c r="F168">
        <v>10000</v>
      </c>
      <c r="G168">
        <v>18</v>
      </c>
      <c r="H168" t="s">
        <v>24</v>
      </c>
      <c r="I168" t="s">
        <v>39</v>
      </c>
      <c r="J168">
        <v>2</v>
      </c>
      <c r="K168" t="s">
        <v>329</v>
      </c>
      <c r="L168" t="s">
        <v>458</v>
      </c>
      <c r="M168" t="s">
        <v>459</v>
      </c>
      <c r="N168" s="2">
        <v>45824</v>
      </c>
      <c r="O168" s="2">
        <v>45842</v>
      </c>
      <c r="P168" t="s">
        <v>43</v>
      </c>
      <c r="Q168" t="s">
        <v>44</v>
      </c>
      <c r="R168" t="s">
        <v>59</v>
      </c>
      <c r="S168" t="s">
        <v>53</v>
      </c>
      <c r="T168" t="s">
        <v>33</v>
      </c>
      <c r="U168" t="s">
        <v>78</v>
      </c>
      <c r="V168" t="str">
        <f>IF(B168&lt;=18,"Children",IF(B168&lt;=35,"Young adult",IF(B168&lt;=60,"Adult", "Senior Citizen")))</f>
        <v>Senior Citizen</v>
      </c>
      <c r="W168" t="str">
        <f t="shared" si="14"/>
        <v>Jun</v>
      </c>
      <c r="X168">
        <f t="shared" si="15"/>
        <v>6</v>
      </c>
      <c r="Y168" t="str">
        <f t="shared" si="16"/>
        <v>Q2</v>
      </c>
      <c r="Z168">
        <f t="shared" si="17"/>
        <v>2025</v>
      </c>
      <c r="AA168" t="str">
        <f t="shared" si="18"/>
        <v>Monday</v>
      </c>
      <c r="AB168">
        <f t="shared" si="19"/>
        <v>-18</v>
      </c>
      <c r="AC168" t="str">
        <f>IF(OR(D168="Heart Disease",D168="Cancer",D168="Stroke"),"High",IF(OR(D168="Diabetes",D168="Asthma"),"Medium","Low"))</f>
        <v>High</v>
      </c>
      <c r="AD168" t="str">
        <f t="shared" si="20"/>
        <v>Yes</v>
      </c>
      <c r="AE168" t="str">
        <f>IF(G168&lt;=2,"Short Stay", IF(G168&lt;=7,"Normal Stay", "Long Stay"))</f>
        <v>Long Stay</v>
      </c>
      <c r="AF168" t="str">
        <f>IF(F168&gt;60000,"Expensive",IF(F168&gt;30000,"Moderate","Affordable"))</f>
        <v>Affordable</v>
      </c>
      <c r="AG168" t="str">
        <f>IF(J168&gt;=4.5,"Excellent",IF(J168&gt;=3.5,"Good",IF(J168&gt;=2.5,"Average","Poor")))</f>
        <v>Poor</v>
      </c>
      <c r="AH168" t="str">
        <f>IF(OR(TEXT(N168,"dddd")="Saturday",TEXT(N168,"dddd")="Sunday"),"Weekend","Weekday")</f>
        <v>Weekday</v>
      </c>
    </row>
    <row r="169" spans="1:34" x14ac:dyDescent="0.3">
      <c r="A169">
        <v>170</v>
      </c>
      <c r="B169">
        <v>53</v>
      </c>
      <c r="C169" t="s">
        <v>21</v>
      </c>
      <c r="D169" t="s">
        <v>60</v>
      </c>
      <c r="E169" t="s">
        <v>61</v>
      </c>
      <c r="F169">
        <v>25000</v>
      </c>
      <c r="G169">
        <v>21</v>
      </c>
      <c r="H169" t="s">
        <v>38</v>
      </c>
      <c r="I169" t="s">
        <v>25</v>
      </c>
      <c r="J169">
        <v>4</v>
      </c>
      <c r="K169" t="s">
        <v>218</v>
      </c>
      <c r="L169" t="s">
        <v>460</v>
      </c>
      <c r="M169" t="s">
        <v>461</v>
      </c>
      <c r="N169" s="2">
        <v>45825</v>
      </c>
      <c r="O169" s="2">
        <v>45846</v>
      </c>
      <c r="P169" t="s">
        <v>43</v>
      </c>
      <c r="Q169" t="s">
        <v>30</v>
      </c>
      <c r="R169" t="s">
        <v>65</v>
      </c>
      <c r="S169" t="s">
        <v>110</v>
      </c>
      <c r="T169" t="s">
        <v>33</v>
      </c>
      <c r="U169" t="s">
        <v>46</v>
      </c>
      <c r="V169" t="str">
        <f>IF(B169&lt;=18,"Children",IF(B169&lt;=35,"Young adult",IF(B169&lt;=60,"Adult", "Senior Citizen")))</f>
        <v>Adult</v>
      </c>
      <c r="W169" t="str">
        <f t="shared" si="14"/>
        <v>Jun</v>
      </c>
      <c r="X169">
        <f t="shared" si="15"/>
        <v>6</v>
      </c>
      <c r="Y169" t="str">
        <f t="shared" si="16"/>
        <v>Q2</v>
      </c>
      <c r="Z169">
        <f t="shared" si="17"/>
        <v>2025</v>
      </c>
      <c r="AA169" t="str">
        <f t="shared" si="18"/>
        <v>Tuesday</v>
      </c>
      <c r="AB169">
        <f t="shared" si="19"/>
        <v>-21</v>
      </c>
      <c r="AC169" t="str">
        <f>IF(OR(D169="Heart Disease",D169="Cancer",D169="Stroke"),"High",IF(OR(D169="Diabetes",D169="Asthma"),"Medium","Low"))</f>
        <v>High</v>
      </c>
      <c r="AD169" t="str">
        <f t="shared" si="20"/>
        <v>Yes</v>
      </c>
      <c r="AE169" t="str">
        <f>IF(G169&lt;=2,"Short Stay", IF(G169&lt;=7,"Normal Stay", "Long Stay"))</f>
        <v>Long Stay</v>
      </c>
      <c r="AF169" t="str">
        <f>IF(F169&gt;60000,"Expensive",IF(F169&gt;30000,"Moderate","Affordable"))</f>
        <v>Affordable</v>
      </c>
      <c r="AG169" t="str">
        <f>IF(J169&gt;=4.5,"Excellent",IF(J169&gt;=3.5,"Good",IF(J169&gt;=2.5,"Average","Poor")))</f>
        <v>Good</v>
      </c>
      <c r="AH169" t="str">
        <f>IF(OR(TEXT(N169,"dddd")="Saturday",TEXT(N169,"dddd")="Sunday"),"Weekend","Weekday")</f>
        <v>Weekday</v>
      </c>
    </row>
    <row r="170" spans="1:34" x14ac:dyDescent="0.3">
      <c r="A170">
        <v>171</v>
      </c>
      <c r="B170">
        <v>72</v>
      </c>
      <c r="C170" t="s">
        <v>35</v>
      </c>
      <c r="D170" t="s">
        <v>66</v>
      </c>
      <c r="E170" t="s">
        <v>67</v>
      </c>
      <c r="F170">
        <v>1000</v>
      </c>
      <c r="G170">
        <v>13</v>
      </c>
      <c r="H170" t="s">
        <v>24</v>
      </c>
      <c r="I170" t="s">
        <v>39</v>
      </c>
      <c r="J170">
        <v>4</v>
      </c>
      <c r="K170" t="s">
        <v>429</v>
      </c>
      <c r="L170" t="s">
        <v>462</v>
      </c>
      <c r="M170" t="s">
        <v>463</v>
      </c>
      <c r="N170" s="2">
        <v>45826</v>
      </c>
      <c r="O170" s="2">
        <v>45839</v>
      </c>
      <c r="P170" t="s">
        <v>29</v>
      </c>
      <c r="Q170" t="s">
        <v>30</v>
      </c>
      <c r="R170" t="s">
        <v>45</v>
      </c>
      <c r="S170" t="s">
        <v>32</v>
      </c>
      <c r="T170" t="s">
        <v>33</v>
      </c>
      <c r="U170" t="s">
        <v>46</v>
      </c>
      <c r="V170" t="str">
        <f>IF(B170&lt;=18,"Children",IF(B170&lt;=35,"Young adult",IF(B170&lt;=60,"Adult", "Senior Citizen")))</f>
        <v>Senior Citizen</v>
      </c>
      <c r="W170" t="str">
        <f t="shared" si="14"/>
        <v>Jun</v>
      </c>
      <c r="X170">
        <f t="shared" si="15"/>
        <v>6</v>
      </c>
      <c r="Y170" t="str">
        <f t="shared" si="16"/>
        <v>Q2</v>
      </c>
      <c r="Z170">
        <f t="shared" si="17"/>
        <v>2025</v>
      </c>
      <c r="AA170" t="str">
        <f t="shared" si="18"/>
        <v>Wednesday</v>
      </c>
      <c r="AB170">
        <f t="shared" si="19"/>
        <v>-13</v>
      </c>
      <c r="AC170" t="str">
        <f>IF(OR(D170="Heart Disease",D170="Cancer",D170="Stroke"),"High",IF(OR(D170="Diabetes",D170="Asthma"),"Medium","Low"))</f>
        <v>Low</v>
      </c>
      <c r="AD170" t="str">
        <f t="shared" si="20"/>
        <v>No</v>
      </c>
      <c r="AE170" t="str">
        <f>IF(G170&lt;=2,"Short Stay", IF(G170&lt;=7,"Normal Stay", "Long Stay"))</f>
        <v>Long Stay</v>
      </c>
      <c r="AF170" t="str">
        <f>IF(F170&gt;60000,"Expensive",IF(F170&gt;30000,"Moderate","Affordable"))</f>
        <v>Affordable</v>
      </c>
      <c r="AG170" t="str">
        <f>IF(J170&gt;=4.5,"Excellent",IF(J170&gt;=3.5,"Good",IF(J170&gt;=2.5,"Average","Poor")))</f>
        <v>Good</v>
      </c>
      <c r="AH170" t="str">
        <f>IF(OR(TEXT(N170,"dddd")="Saturday",TEXT(N170,"dddd")="Sunday"),"Weekend","Weekday")</f>
        <v>Weekday</v>
      </c>
    </row>
    <row r="171" spans="1:34" x14ac:dyDescent="0.3">
      <c r="A171">
        <v>172</v>
      </c>
      <c r="B171">
        <v>60</v>
      </c>
      <c r="C171" t="s">
        <v>21</v>
      </c>
      <c r="D171" t="s">
        <v>73</v>
      </c>
      <c r="E171" t="s">
        <v>74</v>
      </c>
      <c r="F171">
        <v>8000</v>
      </c>
      <c r="G171">
        <v>15</v>
      </c>
      <c r="H171" t="s">
        <v>38</v>
      </c>
      <c r="I171" t="s">
        <v>25</v>
      </c>
      <c r="J171">
        <v>3</v>
      </c>
      <c r="K171" t="s">
        <v>429</v>
      </c>
      <c r="L171" t="s">
        <v>464</v>
      </c>
      <c r="M171" t="s">
        <v>465</v>
      </c>
      <c r="N171" s="2">
        <v>45827</v>
      </c>
      <c r="O171" s="2">
        <v>45842</v>
      </c>
      <c r="P171" t="s">
        <v>29</v>
      </c>
      <c r="Q171" t="s">
        <v>44</v>
      </c>
      <c r="R171" t="s">
        <v>45</v>
      </c>
      <c r="S171" t="s">
        <v>72</v>
      </c>
      <c r="T171" t="s">
        <v>33</v>
      </c>
      <c r="U171" t="s">
        <v>34</v>
      </c>
      <c r="V171" t="str">
        <f>IF(B171&lt;=18,"Children",IF(B171&lt;=35,"Young adult",IF(B171&lt;=60,"Adult", "Senior Citizen")))</f>
        <v>Adult</v>
      </c>
      <c r="W171" t="str">
        <f t="shared" si="14"/>
        <v>Jun</v>
      </c>
      <c r="X171">
        <f t="shared" si="15"/>
        <v>6</v>
      </c>
      <c r="Y171" t="str">
        <f t="shared" si="16"/>
        <v>Q2</v>
      </c>
      <c r="Z171">
        <f t="shared" si="17"/>
        <v>2025</v>
      </c>
      <c r="AA171" t="str">
        <f t="shared" si="18"/>
        <v>Thursday</v>
      </c>
      <c r="AB171">
        <f t="shared" si="19"/>
        <v>-15</v>
      </c>
      <c r="AC171" t="str">
        <f>IF(OR(D171="Heart Disease",D171="Cancer",D171="Stroke"),"High",IF(OR(D171="Diabetes",D171="Asthma"),"Medium","Low"))</f>
        <v>Low</v>
      </c>
      <c r="AD171" t="str">
        <f t="shared" si="20"/>
        <v>No</v>
      </c>
      <c r="AE171" t="str">
        <f>IF(G171&lt;=2,"Short Stay", IF(G171&lt;=7,"Normal Stay", "Long Stay"))</f>
        <v>Long Stay</v>
      </c>
      <c r="AF171" t="str">
        <f>IF(F171&gt;60000,"Expensive",IF(F171&gt;30000,"Moderate","Affordable"))</f>
        <v>Affordable</v>
      </c>
      <c r="AG171" t="str">
        <f>IF(J171&gt;=4.5,"Excellent",IF(J171&gt;=3.5,"Good",IF(J171&gt;=2.5,"Average","Poor")))</f>
        <v>Average</v>
      </c>
      <c r="AH171" t="str">
        <f>IF(OR(TEXT(N171,"dddd")="Saturday",TEXT(N171,"dddd")="Sunday"),"Weekend","Weekday")</f>
        <v>Weekday</v>
      </c>
    </row>
    <row r="172" spans="1:34" x14ac:dyDescent="0.3">
      <c r="A172">
        <v>173</v>
      </c>
      <c r="B172">
        <v>45</v>
      </c>
      <c r="C172" t="s">
        <v>35</v>
      </c>
      <c r="D172" t="s">
        <v>79</v>
      </c>
      <c r="E172" t="s">
        <v>80</v>
      </c>
      <c r="F172">
        <v>3000</v>
      </c>
      <c r="G172">
        <v>17</v>
      </c>
      <c r="H172" t="s">
        <v>24</v>
      </c>
      <c r="I172" t="s">
        <v>25</v>
      </c>
      <c r="J172">
        <v>4</v>
      </c>
      <c r="K172" t="s">
        <v>223</v>
      </c>
      <c r="L172" t="s">
        <v>466</v>
      </c>
      <c r="M172" t="s">
        <v>467</v>
      </c>
      <c r="N172" s="2">
        <v>45828</v>
      </c>
      <c r="O172" s="2">
        <v>45845</v>
      </c>
      <c r="P172" t="s">
        <v>43</v>
      </c>
      <c r="Q172" t="s">
        <v>139</v>
      </c>
      <c r="R172" t="s">
        <v>45</v>
      </c>
      <c r="S172" t="s">
        <v>53</v>
      </c>
      <c r="T172" t="s">
        <v>33</v>
      </c>
      <c r="U172" t="s">
        <v>46</v>
      </c>
      <c r="V172" t="str">
        <f>IF(B172&lt;=18,"Children",IF(B172&lt;=35,"Young adult",IF(B172&lt;=60,"Adult", "Senior Citizen")))</f>
        <v>Adult</v>
      </c>
      <c r="W172" t="str">
        <f t="shared" si="14"/>
        <v>Jun</v>
      </c>
      <c r="X172">
        <f t="shared" si="15"/>
        <v>6</v>
      </c>
      <c r="Y172" t="str">
        <f t="shared" si="16"/>
        <v>Q2</v>
      </c>
      <c r="Z172">
        <f t="shared" si="17"/>
        <v>2025</v>
      </c>
      <c r="AA172" t="str">
        <f t="shared" si="18"/>
        <v>Friday</v>
      </c>
      <c r="AB172">
        <f t="shared" si="19"/>
        <v>-17</v>
      </c>
      <c r="AC172" t="str">
        <f>IF(OR(D172="Heart Disease",D172="Cancer",D172="Stroke"),"High",IF(OR(D172="Diabetes",D172="Asthma"),"Medium","Low"))</f>
        <v>Low</v>
      </c>
      <c r="AD172" t="str">
        <f t="shared" si="20"/>
        <v>No</v>
      </c>
      <c r="AE172" t="str">
        <f>IF(G172&lt;=2,"Short Stay", IF(G172&lt;=7,"Normal Stay", "Long Stay"))</f>
        <v>Long Stay</v>
      </c>
      <c r="AF172" t="str">
        <f>IF(F172&gt;60000,"Expensive",IF(F172&gt;30000,"Moderate","Affordable"))</f>
        <v>Affordable</v>
      </c>
      <c r="AG172" t="str">
        <f>IF(J172&gt;=4.5,"Excellent",IF(J172&gt;=3.5,"Good",IF(J172&gt;=2.5,"Average","Poor")))</f>
        <v>Good</v>
      </c>
      <c r="AH172" t="str">
        <f>IF(OR(TEXT(N172,"dddd")="Saturday",TEXT(N172,"dddd")="Sunday"),"Weekend","Weekday")</f>
        <v>Weekday</v>
      </c>
    </row>
    <row r="173" spans="1:34" x14ac:dyDescent="0.3">
      <c r="A173">
        <v>174</v>
      </c>
      <c r="B173">
        <v>75</v>
      </c>
      <c r="C173" t="s">
        <v>21</v>
      </c>
      <c r="D173" t="s">
        <v>85</v>
      </c>
      <c r="E173" t="s">
        <v>86</v>
      </c>
      <c r="F173">
        <v>18000</v>
      </c>
      <c r="G173">
        <v>19</v>
      </c>
      <c r="H173" t="s">
        <v>38</v>
      </c>
      <c r="I173" t="s">
        <v>39</v>
      </c>
      <c r="J173">
        <v>2</v>
      </c>
      <c r="K173" t="s">
        <v>187</v>
      </c>
      <c r="L173" t="s">
        <v>468</v>
      </c>
      <c r="M173" t="s">
        <v>469</v>
      </c>
      <c r="N173" s="2">
        <v>45829</v>
      </c>
      <c r="O173" s="2">
        <v>45848</v>
      </c>
      <c r="P173" t="s">
        <v>43</v>
      </c>
      <c r="Q173" t="s">
        <v>71</v>
      </c>
      <c r="R173" t="s">
        <v>45</v>
      </c>
      <c r="S173" t="s">
        <v>84</v>
      </c>
      <c r="T173" t="s">
        <v>33</v>
      </c>
      <c r="U173" t="s">
        <v>78</v>
      </c>
      <c r="V173" t="str">
        <f>IF(B173&lt;=18,"Children",IF(B173&lt;=35,"Young adult",IF(B173&lt;=60,"Adult", "Senior Citizen")))</f>
        <v>Senior Citizen</v>
      </c>
      <c r="W173" t="str">
        <f t="shared" si="14"/>
        <v>Jun</v>
      </c>
      <c r="X173">
        <f t="shared" si="15"/>
        <v>6</v>
      </c>
      <c r="Y173" t="str">
        <f t="shared" si="16"/>
        <v>Q2</v>
      </c>
      <c r="Z173">
        <f t="shared" si="17"/>
        <v>2025</v>
      </c>
      <c r="AA173" t="str">
        <f t="shared" si="18"/>
        <v>Saturday</v>
      </c>
      <c r="AB173">
        <f t="shared" si="19"/>
        <v>-19</v>
      </c>
      <c r="AC173" t="str">
        <f>IF(OR(D173="Heart Disease",D173="Cancer",D173="Stroke"),"High",IF(OR(D173="Diabetes",D173="Asthma"),"Medium","Low"))</f>
        <v>Low</v>
      </c>
      <c r="AD173" t="str">
        <f t="shared" si="20"/>
        <v>No</v>
      </c>
      <c r="AE173" t="str">
        <f>IF(G173&lt;=2,"Short Stay", IF(G173&lt;=7,"Normal Stay", "Long Stay"))</f>
        <v>Long Stay</v>
      </c>
      <c r="AF173" t="str">
        <f>IF(F173&gt;60000,"Expensive",IF(F173&gt;30000,"Moderate","Affordable"))</f>
        <v>Affordable</v>
      </c>
      <c r="AG173" t="str">
        <f>IF(J173&gt;=4.5,"Excellent",IF(J173&gt;=3.5,"Good",IF(J173&gt;=2.5,"Average","Poor")))</f>
        <v>Poor</v>
      </c>
      <c r="AH173" t="str">
        <f>IF(OR(TEXT(N173,"dddd")="Saturday",TEXT(N173,"dddd")="Sunday"),"Weekend","Weekday")</f>
        <v>Weekend</v>
      </c>
    </row>
    <row r="174" spans="1:34" x14ac:dyDescent="0.3">
      <c r="A174">
        <v>175</v>
      </c>
      <c r="B174">
        <v>28</v>
      </c>
      <c r="C174" t="s">
        <v>35</v>
      </c>
      <c r="D174" t="s">
        <v>89</v>
      </c>
      <c r="E174" t="s">
        <v>90</v>
      </c>
      <c r="F174">
        <v>100</v>
      </c>
      <c r="G174">
        <v>12</v>
      </c>
      <c r="H174" t="s">
        <v>24</v>
      </c>
      <c r="I174" t="s">
        <v>25</v>
      </c>
      <c r="J174">
        <v>5</v>
      </c>
      <c r="K174" t="s">
        <v>336</v>
      </c>
      <c r="L174" t="s">
        <v>470</v>
      </c>
      <c r="M174" t="s">
        <v>471</v>
      </c>
      <c r="N174" s="2">
        <v>45830</v>
      </c>
      <c r="O174" s="2">
        <v>45842</v>
      </c>
      <c r="P174" t="s">
        <v>43</v>
      </c>
      <c r="Q174" t="s">
        <v>139</v>
      </c>
      <c r="R174" t="s">
        <v>45</v>
      </c>
      <c r="S174" t="s">
        <v>84</v>
      </c>
      <c r="T174" t="s">
        <v>33</v>
      </c>
      <c r="U174" t="s">
        <v>46</v>
      </c>
      <c r="V174" t="str">
        <f>IF(B174&lt;=18,"Children",IF(B174&lt;=35,"Young adult",IF(B174&lt;=60,"Adult", "Senior Citizen")))</f>
        <v>Young adult</v>
      </c>
      <c r="W174" t="str">
        <f t="shared" si="14"/>
        <v>Jun</v>
      </c>
      <c r="X174">
        <f t="shared" si="15"/>
        <v>6</v>
      </c>
      <c r="Y174" t="str">
        <f t="shared" si="16"/>
        <v>Q2</v>
      </c>
      <c r="Z174">
        <f t="shared" si="17"/>
        <v>2025</v>
      </c>
      <c r="AA174" t="str">
        <f t="shared" si="18"/>
        <v>Sunday</v>
      </c>
      <c r="AB174">
        <f t="shared" si="19"/>
        <v>-12</v>
      </c>
      <c r="AC174" t="str">
        <f>IF(OR(D174="Heart Disease",D174="Cancer",D174="Stroke"),"High",IF(OR(D174="Diabetes",D174="Asthma"),"Medium","Low"))</f>
        <v>Low</v>
      </c>
      <c r="AD174" t="str">
        <f t="shared" si="20"/>
        <v>No</v>
      </c>
      <c r="AE174" t="str">
        <f>IF(G174&lt;=2,"Short Stay", IF(G174&lt;=7,"Normal Stay", "Long Stay"))</f>
        <v>Long Stay</v>
      </c>
      <c r="AF174" t="str">
        <f>IF(F174&gt;60000,"Expensive",IF(F174&gt;30000,"Moderate","Affordable"))</f>
        <v>Affordable</v>
      </c>
      <c r="AG174" t="str">
        <f>IF(J174&gt;=4.5,"Excellent",IF(J174&gt;=3.5,"Good",IF(J174&gt;=2.5,"Average","Poor")))</f>
        <v>Excellent</v>
      </c>
      <c r="AH174" t="str">
        <f>IF(OR(TEXT(N174,"dddd")="Saturday",TEXT(N174,"dddd")="Sunday"),"Weekend","Weekday")</f>
        <v>Weekend</v>
      </c>
    </row>
    <row r="175" spans="1:34" x14ac:dyDescent="0.3">
      <c r="A175">
        <v>176</v>
      </c>
      <c r="B175">
        <v>52</v>
      </c>
      <c r="C175" t="s">
        <v>21</v>
      </c>
      <c r="D175" t="s">
        <v>94</v>
      </c>
      <c r="E175" t="s">
        <v>95</v>
      </c>
      <c r="F175">
        <v>800</v>
      </c>
      <c r="G175">
        <v>13</v>
      </c>
      <c r="H175" t="s">
        <v>24</v>
      </c>
      <c r="I175" t="s">
        <v>39</v>
      </c>
      <c r="J175">
        <v>4</v>
      </c>
      <c r="K175" t="s">
        <v>294</v>
      </c>
      <c r="L175" t="s">
        <v>472</v>
      </c>
      <c r="M175" t="s">
        <v>473</v>
      </c>
      <c r="N175" s="2">
        <v>45831</v>
      </c>
      <c r="O175" s="2">
        <v>45844</v>
      </c>
      <c r="P175" t="s">
        <v>29</v>
      </c>
      <c r="Q175" t="s">
        <v>139</v>
      </c>
      <c r="R175" t="s">
        <v>45</v>
      </c>
      <c r="S175" t="s">
        <v>84</v>
      </c>
      <c r="T175" t="s">
        <v>33</v>
      </c>
      <c r="U175" t="s">
        <v>78</v>
      </c>
      <c r="V175" t="str">
        <f>IF(B175&lt;=18,"Children",IF(B175&lt;=35,"Young adult",IF(B175&lt;=60,"Adult", "Senior Citizen")))</f>
        <v>Adult</v>
      </c>
      <c r="W175" t="str">
        <f t="shared" si="14"/>
        <v>Jun</v>
      </c>
      <c r="X175">
        <f t="shared" si="15"/>
        <v>6</v>
      </c>
      <c r="Y175" t="str">
        <f t="shared" si="16"/>
        <v>Q2</v>
      </c>
      <c r="Z175">
        <f t="shared" si="17"/>
        <v>2025</v>
      </c>
      <c r="AA175" t="str">
        <f t="shared" si="18"/>
        <v>Monday</v>
      </c>
      <c r="AB175">
        <f t="shared" si="19"/>
        <v>-13</v>
      </c>
      <c r="AC175" t="str">
        <f>IF(OR(D175="Heart Disease",D175="Cancer",D175="Stroke"),"High",IF(OR(D175="Diabetes",D175="Asthma"),"Medium","Low"))</f>
        <v>Low</v>
      </c>
      <c r="AD175" t="str">
        <f t="shared" si="20"/>
        <v>No</v>
      </c>
      <c r="AE175" t="str">
        <f>IF(G175&lt;=2,"Short Stay", IF(G175&lt;=7,"Normal Stay", "Long Stay"))</f>
        <v>Long Stay</v>
      </c>
      <c r="AF175" t="str">
        <f>IF(F175&gt;60000,"Expensive",IF(F175&gt;30000,"Moderate","Affordable"))</f>
        <v>Affordable</v>
      </c>
      <c r="AG175" t="str">
        <f>IF(J175&gt;=4.5,"Excellent",IF(J175&gt;=3.5,"Good",IF(J175&gt;=2.5,"Average","Poor")))</f>
        <v>Good</v>
      </c>
      <c r="AH175" t="str">
        <f>IF(OR(TEXT(N175,"dddd")="Saturday",TEXT(N175,"dddd")="Sunday"),"Weekend","Weekday")</f>
        <v>Weekday</v>
      </c>
    </row>
    <row r="176" spans="1:34" x14ac:dyDescent="0.3">
      <c r="A176">
        <v>177</v>
      </c>
      <c r="B176">
        <v>67</v>
      </c>
      <c r="C176" t="s">
        <v>35</v>
      </c>
      <c r="D176" t="s">
        <v>99</v>
      </c>
      <c r="E176" t="s">
        <v>100</v>
      </c>
      <c r="F176">
        <v>20000</v>
      </c>
      <c r="G176">
        <v>20</v>
      </c>
      <c r="H176" t="s">
        <v>24</v>
      </c>
      <c r="I176" t="s">
        <v>25</v>
      </c>
      <c r="J176">
        <v>3</v>
      </c>
      <c r="K176" t="s">
        <v>96</v>
      </c>
      <c r="L176" t="s">
        <v>474</v>
      </c>
      <c r="M176" t="s">
        <v>475</v>
      </c>
      <c r="N176" s="2">
        <v>45832</v>
      </c>
      <c r="O176" s="2">
        <v>45852</v>
      </c>
      <c r="P176" t="s">
        <v>29</v>
      </c>
      <c r="Q176" t="s">
        <v>52</v>
      </c>
      <c r="R176" t="s">
        <v>45</v>
      </c>
      <c r="S176" t="s">
        <v>110</v>
      </c>
      <c r="T176" t="s">
        <v>33</v>
      </c>
      <c r="U176" t="s">
        <v>78</v>
      </c>
      <c r="V176" t="str">
        <f>IF(B176&lt;=18,"Children",IF(B176&lt;=35,"Young adult",IF(B176&lt;=60,"Adult", "Senior Citizen")))</f>
        <v>Senior Citizen</v>
      </c>
      <c r="W176" t="str">
        <f t="shared" si="14"/>
        <v>Jun</v>
      </c>
      <c r="X176">
        <f t="shared" si="15"/>
        <v>6</v>
      </c>
      <c r="Y176" t="str">
        <f t="shared" si="16"/>
        <v>Q2</v>
      </c>
      <c r="Z176">
        <f t="shared" si="17"/>
        <v>2025</v>
      </c>
      <c r="AA176" t="str">
        <f t="shared" si="18"/>
        <v>Tuesday</v>
      </c>
      <c r="AB176">
        <f t="shared" si="19"/>
        <v>-20</v>
      </c>
      <c r="AC176" t="str">
        <f>IF(OR(D176="Heart Disease",D176="Cancer",D176="Stroke"),"High",IF(OR(D176="Diabetes",D176="Asthma"),"Medium","Low"))</f>
        <v>Low</v>
      </c>
      <c r="AD176" t="str">
        <f t="shared" si="20"/>
        <v>No</v>
      </c>
      <c r="AE176" t="str">
        <f>IF(G176&lt;=2,"Short Stay", IF(G176&lt;=7,"Normal Stay", "Long Stay"))</f>
        <v>Long Stay</v>
      </c>
      <c r="AF176" t="str">
        <f>IF(F176&gt;60000,"Expensive",IF(F176&gt;30000,"Moderate","Affordable"))</f>
        <v>Affordable</v>
      </c>
      <c r="AG176" t="str">
        <f>IF(J176&gt;=4.5,"Excellent",IF(J176&gt;=3.5,"Good",IF(J176&gt;=2.5,"Average","Poor")))</f>
        <v>Average</v>
      </c>
      <c r="AH176" t="str">
        <f>IF(OR(TEXT(N176,"dddd")="Saturday",TEXT(N176,"dddd")="Sunday"),"Weekend","Weekday")</f>
        <v>Weekday</v>
      </c>
    </row>
    <row r="177" spans="1:34" x14ac:dyDescent="0.3">
      <c r="A177">
        <v>178</v>
      </c>
      <c r="B177">
        <v>35</v>
      </c>
      <c r="C177" t="s">
        <v>21</v>
      </c>
      <c r="D177" t="s">
        <v>105</v>
      </c>
      <c r="E177" t="s">
        <v>106</v>
      </c>
      <c r="F177">
        <v>12000</v>
      </c>
      <c r="G177">
        <v>14</v>
      </c>
      <c r="H177" t="s">
        <v>24</v>
      </c>
      <c r="I177" t="s">
        <v>25</v>
      </c>
      <c r="J177">
        <v>4</v>
      </c>
      <c r="K177" t="s">
        <v>120</v>
      </c>
      <c r="L177" t="s">
        <v>476</v>
      </c>
      <c r="M177" t="s">
        <v>477</v>
      </c>
      <c r="N177" s="2">
        <v>45833</v>
      </c>
      <c r="O177" s="2">
        <v>45847</v>
      </c>
      <c r="P177" t="s">
        <v>43</v>
      </c>
      <c r="Q177" t="s">
        <v>44</v>
      </c>
      <c r="R177" t="s">
        <v>45</v>
      </c>
      <c r="S177" t="s">
        <v>53</v>
      </c>
      <c r="T177" t="s">
        <v>33</v>
      </c>
      <c r="U177" t="s">
        <v>46</v>
      </c>
      <c r="V177" t="str">
        <f>IF(B177&lt;=18,"Children",IF(B177&lt;=35,"Young adult",IF(B177&lt;=60,"Adult", "Senior Citizen")))</f>
        <v>Young adult</v>
      </c>
      <c r="W177" t="str">
        <f t="shared" si="14"/>
        <v>Jun</v>
      </c>
      <c r="X177">
        <f t="shared" si="15"/>
        <v>6</v>
      </c>
      <c r="Y177" t="str">
        <f t="shared" si="16"/>
        <v>Q2</v>
      </c>
      <c r="Z177">
        <f t="shared" si="17"/>
        <v>2025</v>
      </c>
      <c r="AA177" t="str">
        <f t="shared" si="18"/>
        <v>Wednesday</v>
      </c>
      <c r="AB177">
        <f t="shared" si="19"/>
        <v>-14</v>
      </c>
      <c r="AC177" t="str">
        <f>IF(OR(D177="Heart Disease",D177="Cancer",D177="Stroke"),"High",IF(OR(D177="Diabetes",D177="Asthma"),"Medium","Low"))</f>
        <v>Low</v>
      </c>
      <c r="AD177" t="str">
        <f t="shared" si="20"/>
        <v>No</v>
      </c>
      <c r="AE177" t="str">
        <f>IF(G177&lt;=2,"Short Stay", IF(G177&lt;=7,"Normal Stay", "Long Stay"))</f>
        <v>Long Stay</v>
      </c>
      <c r="AF177" t="str">
        <f>IF(F177&gt;60000,"Expensive",IF(F177&gt;30000,"Moderate","Affordable"))</f>
        <v>Affordable</v>
      </c>
      <c r="AG177" t="str">
        <f>IF(J177&gt;=4.5,"Excellent",IF(J177&gt;=3.5,"Good",IF(J177&gt;=2.5,"Average","Poor")))</f>
        <v>Good</v>
      </c>
      <c r="AH177" t="str">
        <f>IF(OR(TEXT(N177,"dddd")="Saturday",TEXT(N177,"dddd")="Sunday"),"Weekend","Weekday")</f>
        <v>Weekday</v>
      </c>
    </row>
    <row r="178" spans="1:34" x14ac:dyDescent="0.3">
      <c r="A178">
        <v>179</v>
      </c>
      <c r="B178">
        <v>50</v>
      </c>
      <c r="C178" t="s">
        <v>35</v>
      </c>
      <c r="D178" t="s">
        <v>111</v>
      </c>
      <c r="E178" t="s">
        <v>112</v>
      </c>
      <c r="F178">
        <v>6000</v>
      </c>
      <c r="G178">
        <v>15</v>
      </c>
      <c r="H178" t="s">
        <v>24</v>
      </c>
      <c r="I178" t="s">
        <v>25</v>
      </c>
      <c r="J178">
        <v>3</v>
      </c>
      <c r="K178" t="s">
        <v>210</v>
      </c>
      <c r="L178" t="s">
        <v>478</v>
      </c>
      <c r="M178" t="s">
        <v>479</v>
      </c>
      <c r="N178" s="2">
        <v>45834</v>
      </c>
      <c r="O178" s="2">
        <v>45849</v>
      </c>
      <c r="P178" t="s">
        <v>29</v>
      </c>
      <c r="Q178" t="s">
        <v>30</v>
      </c>
      <c r="R178" t="s">
        <v>45</v>
      </c>
      <c r="S178" t="s">
        <v>32</v>
      </c>
      <c r="T178" t="s">
        <v>33</v>
      </c>
      <c r="U178" t="s">
        <v>46</v>
      </c>
      <c r="V178" t="str">
        <f>IF(B178&lt;=18,"Children",IF(B178&lt;=35,"Young adult",IF(B178&lt;=60,"Adult", "Senior Citizen")))</f>
        <v>Adult</v>
      </c>
      <c r="W178" t="str">
        <f t="shared" si="14"/>
        <v>Jun</v>
      </c>
      <c r="X178">
        <f t="shared" si="15"/>
        <v>6</v>
      </c>
      <c r="Y178" t="str">
        <f t="shared" si="16"/>
        <v>Q2</v>
      </c>
      <c r="Z178">
        <f t="shared" si="17"/>
        <v>2025</v>
      </c>
      <c r="AA178" t="str">
        <f t="shared" si="18"/>
        <v>Thursday</v>
      </c>
      <c r="AB178">
        <f t="shared" si="19"/>
        <v>-15</v>
      </c>
      <c r="AC178" t="str">
        <f>IF(OR(D178="Heart Disease",D178="Cancer",D178="Stroke"),"High",IF(OR(D178="Diabetes",D178="Asthma"),"Medium","Low"))</f>
        <v>Low</v>
      </c>
      <c r="AD178" t="str">
        <f t="shared" si="20"/>
        <v>No</v>
      </c>
      <c r="AE178" t="str">
        <f>IF(G178&lt;=2,"Short Stay", IF(G178&lt;=7,"Normal Stay", "Long Stay"))</f>
        <v>Long Stay</v>
      </c>
      <c r="AF178" t="str">
        <f>IF(F178&gt;60000,"Expensive",IF(F178&gt;30000,"Moderate","Affordable"))</f>
        <v>Affordable</v>
      </c>
      <c r="AG178" t="str">
        <f>IF(J178&gt;=4.5,"Excellent",IF(J178&gt;=3.5,"Good",IF(J178&gt;=2.5,"Average","Poor")))</f>
        <v>Average</v>
      </c>
      <c r="AH178" t="str">
        <f>IF(OR(TEXT(N178,"dddd")="Saturday",TEXT(N178,"dddd")="Sunday"),"Weekend","Weekday")</f>
        <v>Weekday</v>
      </c>
    </row>
    <row r="179" spans="1:34" x14ac:dyDescent="0.3">
      <c r="A179">
        <v>180</v>
      </c>
      <c r="B179">
        <v>60</v>
      </c>
      <c r="C179" t="s">
        <v>21</v>
      </c>
      <c r="D179" t="s">
        <v>116</v>
      </c>
      <c r="E179" t="s">
        <v>117</v>
      </c>
      <c r="F179">
        <v>4000</v>
      </c>
      <c r="G179">
        <v>16</v>
      </c>
      <c r="H179" t="s">
        <v>24</v>
      </c>
      <c r="I179" t="s">
        <v>39</v>
      </c>
      <c r="J179">
        <v>4</v>
      </c>
      <c r="K179" t="s">
        <v>380</v>
      </c>
      <c r="L179" t="s">
        <v>480</v>
      </c>
      <c r="M179" t="s">
        <v>481</v>
      </c>
      <c r="N179" s="2">
        <v>45835</v>
      </c>
      <c r="O179" s="2">
        <v>45851</v>
      </c>
      <c r="P179" t="s">
        <v>43</v>
      </c>
      <c r="Q179" t="s">
        <v>30</v>
      </c>
      <c r="R179" t="s">
        <v>45</v>
      </c>
      <c r="S179" t="s">
        <v>77</v>
      </c>
      <c r="T179" t="s">
        <v>33</v>
      </c>
      <c r="U179" t="s">
        <v>104</v>
      </c>
      <c r="V179" t="str">
        <f>IF(B179&lt;=18,"Children",IF(B179&lt;=35,"Young adult",IF(B179&lt;=60,"Adult", "Senior Citizen")))</f>
        <v>Adult</v>
      </c>
      <c r="W179" t="str">
        <f t="shared" si="14"/>
        <v>Jun</v>
      </c>
      <c r="X179">
        <f t="shared" si="15"/>
        <v>6</v>
      </c>
      <c r="Y179" t="str">
        <f t="shared" si="16"/>
        <v>Q2</v>
      </c>
      <c r="Z179">
        <f t="shared" si="17"/>
        <v>2025</v>
      </c>
      <c r="AA179" t="str">
        <f t="shared" si="18"/>
        <v>Friday</v>
      </c>
      <c r="AB179">
        <f t="shared" si="19"/>
        <v>-16</v>
      </c>
      <c r="AC179" t="str">
        <f>IF(OR(D179="Heart Disease",D179="Cancer",D179="Stroke"),"High",IF(OR(D179="Diabetes",D179="Asthma"),"Medium","Low"))</f>
        <v>Low</v>
      </c>
      <c r="AD179" t="str">
        <f t="shared" si="20"/>
        <v>No</v>
      </c>
      <c r="AE179" t="str">
        <f>IF(G179&lt;=2,"Short Stay", IF(G179&lt;=7,"Normal Stay", "Long Stay"))</f>
        <v>Long Stay</v>
      </c>
      <c r="AF179" t="str">
        <f>IF(F179&gt;60000,"Expensive",IF(F179&gt;30000,"Moderate","Affordable"))</f>
        <v>Affordable</v>
      </c>
      <c r="AG179" t="str">
        <f>IF(J179&gt;=4.5,"Excellent",IF(J179&gt;=3.5,"Good",IF(J179&gt;=2.5,"Average","Poor")))</f>
        <v>Good</v>
      </c>
      <c r="AH179" t="str">
        <f>IF(OR(TEXT(N179,"dddd")="Saturday",TEXT(N179,"dddd")="Sunday"),"Weekend","Weekday")</f>
        <v>Weekday</v>
      </c>
    </row>
    <row r="180" spans="1:34" x14ac:dyDescent="0.3">
      <c r="A180">
        <v>181</v>
      </c>
      <c r="B180">
        <v>48</v>
      </c>
      <c r="C180" t="s">
        <v>21</v>
      </c>
      <c r="D180" t="s">
        <v>22</v>
      </c>
      <c r="E180" t="s">
        <v>23</v>
      </c>
      <c r="F180">
        <v>15000</v>
      </c>
      <c r="G180">
        <v>17</v>
      </c>
      <c r="H180" t="s">
        <v>38</v>
      </c>
      <c r="I180" t="s">
        <v>25</v>
      </c>
      <c r="J180">
        <v>4</v>
      </c>
      <c r="K180" t="s">
        <v>482</v>
      </c>
      <c r="L180" t="s">
        <v>483</v>
      </c>
      <c r="M180" t="s">
        <v>484</v>
      </c>
      <c r="N180" s="2">
        <v>45836</v>
      </c>
      <c r="O180" s="2">
        <v>45853</v>
      </c>
      <c r="P180" t="s">
        <v>29</v>
      </c>
      <c r="Q180" t="s">
        <v>52</v>
      </c>
      <c r="R180" t="s">
        <v>31</v>
      </c>
      <c r="S180" t="s">
        <v>84</v>
      </c>
      <c r="T180" t="s">
        <v>33</v>
      </c>
      <c r="U180" t="s">
        <v>104</v>
      </c>
      <c r="V180" t="str">
        <f>IF(B180&lt;=18,"Children",IF(B180&lt;=35,"Young adult",IF(B180&lt;=60,"Adult", "Senior Citizen")))</f>
        <v>Adult</v>
      </c>
      <c r="W180" t="str">
        <f t="shared" si="14"/>
        <v>Jun</v>
      </c>
      <c r="X180">
        <f t="shared" si="15"/>
        <v>6</v>
      </c>
      <c r="Y180" t="str">
        <f t="shared" si="16"/>
        <v>Q2</v>
      </c>
      <c r="Z180">
        <f t="shared" si="17"/>
        <v>2025</v>
      </c>
      <c r="AA180" t="str">
        <f t="shared" si="18"/>
        <v>Saturday</v>
      </c>
      <c r="AB180">
        <f t="shared" si="19"/>
        <v>-17</v>
      </c>
      <c r="AC180" t="str">
        <f>IF(OR(D180="Heart Disease",D180="Cancer",D180="Stroke"),"High",IF(OR(D180="Diabetes",D180="Asthma"),"Medium","Low"))</f>
        <v>High</v>
      </c>
      <c r="AD180" t="str">
        <f t="shared" si="20"/>
        <v>Yes</v>
      </c>
      <c r="AE180" t="str">
        <f>IF(G180&lt;=2,"Short Stay", IF(G180&lt;=7,"Normal Stay", "Long Stay"))</f>
        <v>Long Stay</v>
      </c>
      <c r="AF180" t="str">
        <f>IF(F180&gt;60000,"Expensive",IF(F180&gt;30000,"Moderate","Affordable"))</f>
        <v>Affordable</v>
      </c>
      <c r="AG180" t="str">
        <f>IF(J180&gt;=4.5,"Excellent",IF(J180&gt;=3.5,"Good",IF(J180&gt;=2.5,"Average","Poor")))</f>
        <v>Good</v>
      </c>
      <c r="AH180" t="str">
        <f>IF(OR(TEXT(N180,"dddd")="Saturday",TEXT(N180,"dddd")="Sunday"),"Weekend","Weekday")</f>
        <v>Weekend</v>
      </c>
    </row>
    <row r="181" spans="1:34" x14ac:dyDescent="0.3">
      <c r="A181">
        <v>183</v>
      </c>
      <c r="B181">
        <v>30</v>
      </c>
      <c r="C181" t="s">
        <v>21</v>
      </c>
      <c r="D181" t="s">
        <v>47</v>
      </c>
      <c r="E181" t="s">
        <v>48</v>
      </c>
      <c r="F181">
        <v>500</v>
      </c>
      <c r="G181">
        <v>13</v>
      </c>
      <c r="H181" t="s">
        <v>24</v>
      </c>
      <c r="I181" t="s">
        <v>25</v>
      </c>
      <c r="J181">
        <v>5</v>
      </c>
      <c r="K181" t="s">
        <v>125</v>
      </c>
      <c r="L181" t="s">
        <v>485</v>
      </c>
      <c r="M181" t="s">
        <v>486</v>
      </c>
      <c r="N181" s="2">
        <v>45837</v>
      </c>
      <c r="O181" s="2">
        <v>45850</v>
      </c>
      <c r="P181" t="s">
        <v>29</v>
      </c>
      <c r="Q181" t="s">
        <v>52</v>
      </c>
      <c r="R181" t="s">
        <v>45</v>
      </c>
      <c r="S181" t="s">
        <v>32</v>
      </c>
      <c r="T181" t="s">
        <v>33</v>
      </c>
      <c r="U181" t="s">
        <v>78</v>
      </c>
      <c r="V181" t="str">
        <f>IF(B181&lt;=18,"Children",IF(B181&lt;=35,"Young adult",IF(B181&lt;=60,"Adult", "Senior Citizen")))</f>
        <v>Young adult</v>
      </c>
      <c r="W181" t="str">
        <f t="shared" si="14"/>
        <v>Jun</v>
      </c>
      <c r="X181">
        <f t="shared" si="15"/>
        <v>6</v>
      </c>
      <c r="Y181" t="str">
        <f t="shared" si="16"/>
        <v>Q2</v>
      </c>
      <c r="Z181">
        <f t="shared" si="17"/>
        <v>2025</v>
      </c>
      <c r="AA181" t="str">
        <f t="shared" si="18"/>
        <v>Sunday</v>
      </c>
      <c r="AB181">
        <f t="shared" si="19"/>
        <v>-13</v>
      </c>
      <c r="AC181" t="str">
        <f>IF(OR(D181="Heart Disease",D181="Cancer",D181="Stroke"),"High",IF(OR(D181="Diabetes",D181="Asthma"),"Medium","Low"))</f>
        <v>Low</v>
      </c>
      <c r="AD181" t="str">
        <f t="shared" si="20"/>
        <v>No</v>
      </c>
      <c r="AE181" t="str">
        <f>IF(G181&lt;=2,"Short Stay", IF(G181&lt;=7,"Normal Stay", "Long Stay"))</f>
        <v>Long Stay</v>
      </c>
      <c r="AF181" t="str">
        <f>IF(F181&gt;60000,"Expensive",IF(F181&gt;30000,"Moderate","Affordable"))</f>
        <v>Affordable</v>
      </c>
      <c r="AG181" t="str">
        <f>IF(J181&gt;=4.5,"Excellent",IF(J181&gt;=3.5,"Good",IF(J181&gt;=2.5,"Average","Poor")))</f>
        <v>Excellent</v>
      </c>
      <c r="AH181" t="str">
        <f>IF(OR(TEXT(N181,"dddd")="Saturday",TEXT(N181,"dddd")="Sunday"),"Weekend","Weekday")</f>
        <v>Weekend</v>
      </c>
    </row>
    <row r="182" spans="1:34" x14ac:dyDescent="0.3">
      <c r="A182">
        <v>184</v>
      </c>
      <c r="B182">
        <v>70</v>
      </c>
      <c r="C182" t="s">
        <v>35</v>
      </c>
      <c r="D182" t="s">
        <v>54</v>
      </c>
      <c r="E182" t="s">
        <v>55</v>
      </c>
      <c r="F182">
        <v>10000</v>
      </c>
      <c r="G182">
        <v>19</v>
      </c>
      <c r="H182" t="s">
        <v>38</v>
      </c>
      <c r="I182" t="s">
        <v>39</v>
      </c>
      <c r="J182">
        <v>2</v>
      </c>
      <c r="K182" t="s">
        <v>149</v>
      </c>
      <c r="L182" t="s">
        <v>487</v>
      </c>
      <c r="M182" t="s">
        <v>488</v>
      </c>
      <c r="N182" s="2">
        <v>45838</v>
      </c>
      <c r="O182" s="2">
        <v>45857</v>
      </c>
      <c r="P182" t="s">
        <v>43</v>
      </c>
      <c r="Q182" t="s">
        <v>30</v>
      </c>
      <c r="R182" t="s">
        <v>59</v>
      </c>
      <c r="S182" t="s">
        <v>77</v>
      </c>
      <c r="T182" t="s">
        <v>33</v>
      </c>
      <c r="U182" t="s">
        <v>104</v>
      </c>
      <c r="V182" t="str">
        <f>IF(B182&lt;=18,"Children",IF(B182&lt;=35,"Young adult",IF(B182&lt;=60,"Adult", "Senior Citizen")))</f>
        <v>Senior Citizen</v>
      </c>
      <c r="W182" t="str">
        <f t="shared" si="14"/>
        <v>Jun</v>
      </c>
      <c r="X182">
        <f t="shared" si="15"/>
        <v>6</v>
      </c>
      <c r="Y182" t="str">
        <f t="shared" si="16"/>
        <v>Q2</v>
      </c>
      <c r="Z182">
        <f t="shared" si="17"/>
        <v>2025</v>
      </c>
      <c r="AA182" t="str">
        <f t="shared" si="18"/>
        <v>Monday</v>
      </c>
      <c r="AB182">
        <f t="shared" si="19"/>
        <v>-19</v>
      </c>
      <c r="AC182" t="str">
        <f>IF(OR(D182="Heart Disease",D182="Cancer",D182="Stroke"),"High",IF(OR(D182="Diabetes",D182="Asthma"),"Medium","Low"))</f>
        <v>High</v>
      </c>
      <c r="AD182" t="str">
        <f t="shared" si="20"/>
        <v>Yes</v>
      </c>
      <c r="AE182" t="str">
        <f>IF(G182&lt;=2,"Short Stay", IF(G182&lt;=7,"Normal Stay", "Long Stay"))</f>
        <v>Long Stay</v>
      </c>
      <c r="AF182" t="str">
        <f>IF(F182&gt;60000,"Expensive",IF(F182&gt;30000,"Moderate","Affordable"))</f>
        <v>Affordable</v>
      </c>
      <c r="AG182" t="str">
        <f>IF(J182&gt;=4.5,"Excellent",IF(J182&gt;=3.5,"Good",IF(J182&gt;=2.5,"Average","Poor")))</f>
        <v>Poor</v>
      </c>
      <c r="AH182" t="str">
        <f>IF(OR(TEXT(N182,"dddd")="Saturday",TEXT(N182,"dddd")="Sunday"),"Weekend","Weekday")</f>
        <v>Weekday</v>
      </c>
    </row>
    <row r="183" spans="1:34" x14ac:dyDescent="0.3">
      <c r="A183">
        <v>185</v>
      </c>
      <c r="B183">
        <v>55</v>
      </c>
      <c r="C183" t="s">
        <v>21</v>
      </c>
      <c r="D183" t="s">
        <v>60</v>
      </c>
      <c r="E183" t="s">
        <v>61</v>
      </c>
      <c r="F183">
        <v>25000</v>
      </c>
      <c r="G183">
        <v>22</v>
      </c>
      <c r="H183" t="s">
        <v>24</v>
      </c>
      <c r="I183" t="s">
        <v>25</v>
      </c>
      <c r="J183">
        <v>4</v>
      </c>
      <c r="K183" t="s">
        <v>26</v>
      </c>
      <c r="L183" t="s">
        <v>489</v>
      </c>
      <c r="M183" t="s">
        <v>490</v>
      </c>
      <c r="N183" s="2">
        <v>45839</v>
      </c>
      <c r="O183" s="2">
        <v>45861</v>
      </c>
      <c r="P183" t="s">
        <v>43</v>
      </c>
      <c r="Q183" t="s">
        <v>139</v>
      </c>
      <c r="R183" t="s">
        <v>65</v>
      </c>
      <c r="S183" t="s">
        <v>53</v>
      </c>
      <c r="T183" t="s">
        <v>33</v>
      </c>
      <c r="U183" t="s">
        <v>78</v>
      </c>
      <c r="V183" t="str">
        <f>IF(B183&lt;=18,"Children",IF(B183&lt;=35,"Young adult",IF(B183&lt;=60,"Adult", "Senior Citizen")))</f>
        <v>Adult</v>
      </c>
      <c r="W183" t="str">
        <f t="shared" si="14"/>
        <v>Jul</v>
      </c>
      <c r="X183">
        <f t="shared" si="15"/>
        <v>7</v>
      </c>
      <c r="Y183" t="str">
        <f t="shared" si="16"/>
        <v>Q3</v>
      </c>
      <c r="Z183">
        <f t="shared" si="17"/>
        <v>2025</v>
      </c>
      <c r="AA183" t="str">
        <f t="shared" si="18"/>
        <v>Tuesday</v>
      </c>
      <c r="AB183">
        <f t="shared" si="19"/>
        <v>-22</v>
      </c>
      <c r="AC183" t="str">
        <f>IF(OR(D183="Heart Disease",D183="Cancer",D183="Stroke"),"High",IF(OR(D183="Diabetes",D183="Asthma"),"Medium","Low"))</f>
        <v>High</v>
      </c>
      <c r="AD183" t="str">
        <f t="shared" si="20"/>
        <v>Yes</v>
      </c>
      <c r="AE183" t="str">
        <f>IF(G183&lt;=2,"Short Stay", IF(G183&lt;=7,"Normal Stay", "Long Stay"))</f>
        <v>Long Stay</v>
      </c>
      <c r="AF183" t="str">
        <f>IF(F183&gt;60000,"Expensive",IF(F183&gt;30000,"Moderate","Affordable"))</f>
        <v>Affordable</v>
      </c>
      <c r="AG183" t="str">
        <f>IF(J183&gt;=4.5,"Excellent",IF(J183&gt;=3.5,"Good",IF(J183&gt;=2.5,"Average","Poor")))</f>
        <v>Good</v>
      </c>
      <c r="AH183" t="str">
        <f>IF(OR(TEXT(N183,"dddd")="Saturday",TEXT(N183,"dddd")="Sunday"),"Weekend","Weekday")</f>
        <v>Weekday</v>
      </c>
    </row>
    <row r="184" spans="1:34" x14ac:dyDescent="0.3">
      <c r="A184">
        <v>186</v>
      </c>
      <c r="B184">
        <v>68</v>
      </c>
      <c r="C184" t="s">
        <v>35</v>
      </c>
      <c r="D184" t="s">
        <v>66</v>
      </c>
      <c r="E184" t="s">
        <v>67</v>
      </c>
      <c r="F184">
        <v>1000</v>
      </c>
      <c r="G184">
        <v>14</v>
      </c>
      <c r="H184" t="s">
        <v>24</v>
      </c>
      <c r="I184" t="s">
        <v>39</v>
      </c>
      <c r="J184">
        <v>4</v>
      </c>
      <c r="K184" t="s">
        <v>26</v>
      </c>
      <c r="L184" t="s">
        <v>491</v>
      </c>
      <c r="M184" t="s">
        <v>492</v>
      </c>
      <c r="N184" s="2">
        <v>45840</v>
      </c>
      <c r="O184" s="2">
        <v>45854</v>
      </c>
      <c r="P184" t="s">
        <v>43</v>
      </c>
      <c r="Q184" t="s">
        <v>30</v>
      </c>
      <c r="R184" t="s">
        <v>45</v>
      </c>
      <c r="S184" t="s">
        <v>53</v>
      </c>
      <c r="T184" t="s">
        <v>33</v>
      </c>
      <c r="U184" t="s">
        <v>34</v>
      </c>
      <c r="V184" t="str">
        <f>IF(B184&lt;=18,"Children",IF(B184&lt;=35,"Young adult",IF(B184&lt;=60,"Adult", "Senior Citizen")))</f>
        <v>Senior Citizen</v>
      </c>
      <c r="W184" t="str">
        <f t="shared" si="14"/>
        <v>Jul</v>
      </c>
      <c r="X184">
        <f t="shared" si="15"/>
        <v>7</v>
      </c>
      <c r="Y184" t="str">
        <f t="shared" si="16"/>
        <v>Q3</v>
      </c>
      <c r="Z184">
        <f t="shared" si="17"/>
        <v>2025</v>
      </c>
      <c r="AA184" t="str">
        <f t="shared" si="18"/>
        <v>Wednesday</v>
      </c>
      <c r="AB184">
        <f t="shared" si="19"/>
        <v>-14</v>
      </c>
      <c r="AC184" t="str">
        <f>IF(OR(D184="Heart Disease",D184="Cancer",D184="Stroke"),"High",IF(OR(D184="Diabetes",D184="Asthma"),"Medium","Low"))</f>
        <v>Low</v>
      </c>
      <c r="AD184" t="str">
        <f t="shared" si="20"/>
        <v>No</v>
      </c>
      <c r="AE184" t="str">
        <f>IF(G184&lt;=2,"Short Stay", IF(G184&lt;=7,"Normal Stay", "Long Stay"))</f>
        <v>Long Stay</v>
      </c>
      <c r="AF184" t="str">
        <f>IF(F184&gt;60000,"Expensive",IF(F184&gt;30000,"Moderate","Affordable"))</f>
        <v>Affordable</v>
      </c>
      <c r="AG184" t="str">
        <f>IF(J184&gt;=4.5,"Excellent",IF(J184&gt;=3.5,"Good",IF(J184&gt;=2.5,"Average","Poor")))</f>
        <v>Good</v>
      </c>
      <c r="AH184" t="str">
        <f>IF(OR(TEXT(N184,"dddd")="Saturday",TEXT(N184,"dddd")="Sunday"),"Weekend","Weekday")</f>
        <v>Weekday</v>
      </c>
    </row>
    <row r="185" spans="1:34" x14ac:dyDescent="0.3">
      <c r="A185">
        <v>187</v>
      </c>
      <c r="B185">
        <v>45</v>
      </c>
      <c r="C185" t="s">
        <v>21</v>
      </c>
      <c r="D185" t="s">
        <v>73</v>
      </c>
      <c r="E185" t="s">
        <v>74</v>
      </c>
      <c r="F185">
        <v>8000</v>
      </c>
      <c r="G185">
        <v>16</v>
      </c>
      <c r="H185" t="s">
        <v>24</v>
      </c>
      <c r="I185" t="s">
        <v>25</v>
      </c>
      <c r="J185">
        <v>3</v>
      </c>
      <c r="K185" t="s">
        <v>160</v>
      </c>
      <c r="L185" t="s">
        <v>493</v>
      </c>
      <c r="M185" t="s">
        <v>494</v>
      </c>
      <c r="N185" s="2">
        <v>45841</v>
      </c>
      <c r="O185" s="2">
        <v>45857</v>
      </c>
      <c r="P185" t="s">
        <v>43</v>
      </c>
      <c r="Q185" t="s">
        <v>139</v>
      </c>
      <c r="R185" t="s">
        <v>45</v>
      </c>
      <c r="S185" t="s">
        <v>72</v>
      </c>
      <c r="T185" t="s">
        <v>33</v>
      </c>
      <c r="U185" t="s">
        <v>46</v>
      </c>
      <c r="V185" t="str">
        <f>IF(B185&lt;=18,"Children",IF(B185&lt;=35,"Young adult",IF(B185&lt;=60,"Adult", "Senior Citizen")))</f>
        <v>Adult</v>
      </c>
      <c r="W185" t="str">
        <f t="shared" si="14"/>
        <v>Jul</v>
      </c>
      <c r="X185">
        <f t="shared" si="15"/>
        <v>7</v>
      </c>
      <c r="Y185" t="str">
        <f t="shared" si="16"/>
        <v>Q3</v>
      </c>
      <c r="Z185">
        <f t="shared" si="17"/>
        <v>2025</v>
      </c>
      <c r="AA185" t="str">
        <f t="shared" si="18"/>
        <v>Thursday</v>
      </c>
      <c r="AB185">
        <f t="shared" si="19"/>
        <v>-16</v>
      </c>
      <c r="AC185" t="str">
        <f>IF(OR(D185="Heart Disease",D185="Cancer",D185="Stroke"),"High",IF(OR(D185="Diabetes",D185="Asthma"),"Medium","Low"))</f>
        <v>Low</v>
      </c>
      <c r="AD185" t="str">
        <f t="shared" si="20"/>
        <v>No</v>
      </c>
      <c r="AE185" t="str">
        <f>IF(G185&lt;=2,"Short Stay", IF(G185&lt;=7,"Normal Stay", "Long Stay"))</f>
        <v>Long Stay</v>
      </c>
      <c r="AF185" t="str">
        <f>IF(F185&gt;60000,"Expensive",IF(F185&gt;30000,"Moderate","Affordable"))</f>
        <v>Affordable</v>
      </c>
      <c r="AG185" t="str">
        <f>IF(J185&gt;=4.5,"Excellent",IF(J185&gt;=3.5,"Good",IF(J185&gt;=2.5,"Average","Poor")))</f>
        <v>Average</v>
      </c>
      <c r="AH185" t="str">
        <f>IF(OR(TEXT(N185,"dddd")="Saturday",TEXT(N185,"dddd")="Sunday"),"Weekend","Weekday")</f>
        <v>Weekday</v>
      </c>
    </row>
    <row r="186" spans="1:34" x14ac:dyDescent="0.3">
      <c r="A186">
        <v>188</v>
      </c>
      <c r="B186">
        <v>40</v>
      </c>
      <c r="C186" t="s">
        <v>35</v>
      </c>
      <c r="D186" t="s">
        <v>79</v>
      </c>
      <c r="E186" t="s">
        <v>80</v>
      </c>
      <c r="F186">
        <v>3000</v>
      </c>
      <c r="G186">
        <v>18</v>
      </c>
      <c r="H186" t="s">
        <v>24</v>
      </c>
      <c r="I186" t="s">
        <v>25</v>
      </c>
      <c r="J186">
        <v>4</v>
      </c>
      <c r="K186" t="s">
        <v>56</v>
      </c>
      <c r="L186" t="s">
        <v>495</v>
      </c>
      <c r="M186" t="s">
        <v>496</v>
      </c>
      <c r="N186" s="2">
        <v>45842</v>
      </c>
      <c r="O186" s="2">
        <v>45860</v>
      </c>
      <c r="P186" t="s">
        <v>43</v>
      </c>
      <c r="Q186" t="s">
        <v>139</v>
      </c>
      <c r="R186" t="s">
        <v>45</v>
      </c>
      <c r="S186" t="s">
        <v>53</v>
      </c>
      <c r="T186" t="s">
        <v>33</v>
      </c>
      <c r="U186" t="s">
        <v>34</v>
      </c>
      <c r="V186" t="str">
        <f>IF(B186&lt;=18,"Children",IF(B186&lt;=35,"Young adult",IF(B186&lt;=60,"Adult", "Senior Citizen")))</f>
        <v>Adult</v>
      </c>
      <c r="W186" t="str">
        <f t="shared" si="14"/>
        <v>Jul</v>
      </c>
      <c r="X186">
        <f t="shared" si="15"/>
        <v>7</v>
      </c>
      <c r="Y186" t="str">
        <f t="shared" si="16"/>
        <v>Q3</v>
      </c>
      <c r="Z186">
        <f t="shared" si="17"/>
        <v>2025</v>
      </c>
      <c r="AA186" t="str">
        <f t="shared" si="18"/>
        <v>Friday</v>
      </c>
      <c r="AB186">
        <f t="shared" si="19"/>
        <v>-18</v>
      </c>
      <c r="AC186" t="str">
        <f>IF(OR(D186="Heart Disease",D186="Cancer",D186="Stroke"),"High",IF(OR(D186="Diabetes",D186="Asthma"),"Medium","Low"))</f>
        <v>Low</v>
      </c>
      <c r="AD186" t="str">
        <f t="shared" si="20"/>
        <v>No</v>
      </c>
      <c r="AE186" t="str">
        <f>IF(G186&lt;=2,"Short Stay", IF(G186&lt;=7,"Normal Stay", "Long Stay"))</f>
        <v>Long Stay</v>
      </c>
      <c r="AF186" t="str">
        <f>IF(F186&gt;60000,"Expensive",IF(F186&gt;30000,"Moderate","Affordable"))</f>
        <v>Affordable</v>
      </c>
      <c r="AG186" t="str">
        <f>IF(J186&gt;=4.5,"Excellent",IF(J186&gt;=3.5,"Good",IF(J186&gt;=2.5,"Average","Poor")))</f>
        <v>Good</v>
      </c>
      <c r="AH186" t="str">
        <f>IF(OR(TEXT(N186,"dddd")="Saturday",TEXT(N186,"dddd")="Sunday"),"Weekend","Weekday")</f>
        <v>Weekday</v>
      </c>
    </row>
    <row r="187" spans="1:34" x14ac:dyDescent="0.3">
      <c r="A187">
        <v>189</v>
      </c>
      <c r="B187">
        <v>78</v>
      </c>
      <c r="C187" t="s">
        <v>21</v>
      </c>
      <c r="D187" t="s">
        <v>85</v>
      </c>
      <c r="E187" t="s">
        <v>86</v>
      </c>
      <c r="F187">
        <v>18000</v>
      </c>
      <c r="G187">
        <v>20</v>
      </c>
      <c r="H187" t="s">
        <v>38</v>
      </c>
      <c r="I187" t="s">
        <v>39</v>
      </c>
      <c r="J187">
        <v>2</v>
      </c>
      <c r="K187" t="s">
        <v>144</v>
      </c>
      <c r="L187" t="s">
        <v>497</v>
      </c>
      <c r="M187" t="s">
        <v>498</v>
      </c>
      <c r="N187" s="2">
        <v>45843</v>
      </c>
      <c r="O187" s="2">
        <v>45863</v>
      </c>
      <c r="P187" t="s">
        <v>29</v>
      </c>
      <c r="Q187" t="s">
        <v>139</v>
      </c>
      <c r="R187" t="s">
        <v>45</v>
      </c>
      <c r="S187" t="s">
        <v>84</v>
      </c>
      <c r="T187" t="s">
        <v>33</v>
      </c>
      <c r="U187" t="s">
        <v>46</v>
      </c>
      <c r="V187" t="str">
        <f>IF(B187&lt;=18,"Children",IF(B187&lt;=35,"Young adult",IF(B187&lt;=60,"Adult", "Senior Citizen")))</f>
        <v>Senior Citizen</v>
      </c>
      <c r="W187" t="str">
        <f t="shared" si="14"/>
        <v>Jul</v>
      </c>
      <c r="X187">
        <f t="shared" si="15"/>
        <v>7</v>
      </c>
      <c r="Y187" t="str">
        <f t="shared" si="16"/>
        <v>Q3</v>
      </c>
      <c r="Z187">
        <f t="shared" si="17"/>
        <v>2025</v>
      </c>
      <c r="AA187" t="str">
        <f t="shared" si="18"/>
        <v>Saturday</v>
      </c>
      <c r="AB187">
        <f t="shared" si="19"/>
        <v>-20</v>
      </c>
      <c r="AC187" t="str">
        <f>IF(OR(D187="Heart Disease",D187="Cancer",D187="Stroke"),"High",IF(OR(D187="Diabetes",D187="Asthma"),"Medium","Low"))</f>
        <v>Low</v>
      </c>
      <c r="AD187" t="str">
        <f t="shared" si="20"/>
        <v>No</v>
      </c>
      <c r="AE187" t="str">
        <f>IF(G187&lt;=2,"Short Stay", IF(G187&lt;=7,"Normal Stay", "Long Stay"))</f>
        <v>Long Stay</v>
      </c>
      <c r="AF187" t="str">
        <f>IF(F187&gt;60000,"Expensive",IF(F187&gt;30000,"Moderate","Affordable"))</f>
        <v>Affordable</v>
      </c>
      <c r="AG187" t="str">
        <f>IF(J187&gt;=4.5,"Excellent",IF(J187&gt;=3.5,"Good",IF(J187&gt;=2.5,"Average","Poor")))</f>
        <v>Poor</v>
      </c>
      <c r="AH187" t="str">
        <f>IF(OR(TEXT(N187,"dddd")="Saturday",TEXT(N187,"dddd")="Sunday"),"Weekend","Weekday")</f>
        <v>Weekend</v>
      </c>
    </row>
    <row r="188" spans="1:34" x14ac:dyDescent="0.3">
      <c r="A188">
        <v>190</v>
      </c>
      <c r="B188">
        <v>25</v>
      </c>
      <c r="C188" t="s">
        <v>35</v>
      </c>
      <c r="D188" t="s">
        <v>89</v>
      </c>
      <c r="E188" t="s">
        <v>90</v>
      </c>
      <c r="F188">
        <v>100</v>
      </c>
      <c r="G188">
        <v>13</v>
      </c>
      <c r="H188" t="s">
        <v>24</v>
      </c>
      <c r="I188" t="s">
        <v>25</v>
      </c>
      <c r="J188">
        <v>5</v>
      </c>
      <c r="K188" t="s">
        <v>218</v>
      </c>
      <c r="L188" t="s">
        <v>499</v>
      </c>
      <c r="M188" t="s">
        <v>500</v>
      </c>
      <c r="N188" s="2">
        <v>45844</v>
      </c>
      <c r="O188" s="2">
        <v>45857</v>
      </c>
      <c r="P188" t="s">
        <v>29</v>
      </c>
      <c r="Q188" t="s">
        <v>44</v>
      </c>
      <c r="R188" t="s">
        <v>45</v>
      </c>
      <c r="S188" t="s">
        <v>77</v>
      </c>
      <c r="T188" t="s">
        <v>33</v>
      </c>
      <c r="U188" t="s">
        <v>34</v>
      </c>
      <c r="V188" t="str">
        <f>IF(B188&lt;=18,"Children",IF(B188&lt;=35,"Young adult",IF(B188&lt;=60,"Adult", "Senior Citizen")))</f>
        <v>Young adult</v>
      </c>
      <c r="W188" t="str">
        <f t="shared" si="14"/>
        <v>Jul</v>
      </c>
      <c r="X188">
        <f t="shared" si="15"/>
        <v>7</v>
      </c>
      <c r="Y188" t="str">
        <f t="shared" si="16"/>
        <v>Q3</v>
      </c>
      <c r="Z188">
        <f t="shared" si="17"/>
        <v>2025</v>
      </c>
      <c r="AA188" t="str">
        <f t="shared" si="18"/>
        <v>Sunday</v>
      </c>
      <c r="AB188">
        <f t="shared" si="19"/>
        <v>-13</v>
      </c>
      <c r="AC188" t="str">
        <f>IF(OR(D188="Heart Disease",D188="Cancer",D188="Stroke"),"High",IF(OR(D188="Diabetes",D188="Asthma"),"Medium","Low"))</f>
        <v>Low</v>
      </c>
      <c r="AD188" t="str">
        <f t="shared" si="20"/>
        <v>No</v>
      </c>
      <c r="AE188" t="str">
        <f>IF(G188&lt;=2,"Short Stay", IF(G188&lt;=7,"Normal Stay", "Long Stay"))</f>
        <v>Long Stay</v>
      </c>
      <c r="AF188" t="str">
        <f>IF(F188&gt;60000,"Expensive",IF(F188&gt;30000,"Moderate","Affordable"))</f>
        <v>Affordable</v>
      </c>
      <c r="AG188" t="str">
        <f>IF(J188&gt;=4.5,"Excellent",IF(J188&gt;=3.5,"Good",IF(J188&gt;=2.5,"Average","Poor")))</f>
        <v>Excellent</v>
      </c>
      <c r="AH188" t="str">
        <f>IF(OR(TEXT(N188,"dddd")="Saturday",TEXT(N188,"dddd")="Sunday"),"Weekend","Weekday")</f>
        <v>Weekend</v>
      </c>
    </row>
    <row r="189" spans="1:34" x14ac:dyDescent="0.3">
      <c r="A189">
        <v>191</v>
      </c>
      <c r="B189">
        <v>52</v>
      </c>
      <c r="C189" t="s">
        <v>21</v>
      </c>
      <c r="D189" t="s">
        <v>94</v>
      </c>
      <c r="E189" t="s">
        <v>95</v>
      </c>
      <c r="F189">
        <v>800</v>
      </c>
      <c r="G189">
        <v>14</v>
      </c>
      <c r="H189" t="s">
        <v>24</v>
      </c>
      <c r="I189" t="s">
        <v>39</v>
      </c>
      <c r="J189">
        <v>4</v>
      </c>
      <c r="K189" t="s">
        <v>336</v>
      </c>
      <c r="L189" t="s">
        <v>501</v>
      </c>
      <c r="M189" t="s">
        <v>502</v>
      </c>
      <c r="N189" s="2">
        <v>45845</v>
      </c>
      <c r="O189" s="2">
        <v>45859</v>
      </c>
      <c r="P189" t="s">
        <v>43</v>
      </c>
      <c r="Q189" t="s">
        <v>71</v>
      </c>
      <c r="R189" t="s">
        <v>45</v>
      </c>
      <c r="S189" t="s">
        <v>110</v>
      </c>
      <c r="T189" t="s">
        <v>33</v>
      </c>
      <c r="U189" t="s">
        <v>46</v>
      </c>
      <c r="V189" t="str">
        <f>IF(B189&lt;=18,"Children",IF(B189&lt;=35,"Young adult",IF(B189&lt;=60,"Adult", "Senior Citizen")))</f>
        <v>Adult</v>
      </c>
      <c r="W189" t="str">
        <f t="shared" si="14"/>
        <v>Jul</v>
      </c>
      <c r="X189">
        <f t="shared" si="15"/>
        <v>7</v>
      </c>
      <c r="Y189" t="str">
        <f t="shared" si="16"/>
        <v>Q3</v>
      </c>
      <c r="Z189">
        <f t="shared" si="17"/>
        <v>2025</v>
      </c>
      <c r="AA189" t="str">
        <f t="shared" si="18"/>
        <v>Monday</v>
      </c>
      <c r="AB189">
        <f t="shared" si="19"/>
        <v>-14</v>
      </c>
      <c r="AC189" t="str">
        <f>IF(OR(D189="Heart Disease",D189="Cancer",D189="Stroke"),"High",IF(OR(D189="Diabetes",D189="Asthma"),"Medium","Low"))</f>
        <v>Low</v>
      </c>
      <c r="AD189" t="str">
        <f t="shared" si="20"/>
        <v>No</v>
      </c>
      <c r="AE189" t="str">
        <f>IF(G189&lt;=2,"Short Stay", IF(G189&lt;=7,"Normal Stay", "Long Stay"))</f>
        <v>Long Stay</v>
      </c>
      <c r="AF189" t="str">
        <f>IF(F189&gt;60000,"Expensive",IF(F189&gt;30000,"Moderate","Affordable"))</f>
        <v>Affordable</v>
      </c>
      <c r="AG189" t="str">
        <f>IF(J189&gt;=4.5,"Excellent",IF(J189&gt;=3.5,"Good",IF(J189&gt;=2.5,"Average","Poor")))</f>
        <v>Good</v>
      </c>
      <c r="AH189" t="str">
        <f>IF(OR(TEXT(N189,"dddd")="Saturday",TEXT(N189,"dddd")="Sunday"),"Weekend","Weekday")</f>
        <v>Weekday</v>
      </c>
    </row>
    <row r="190" spans="1:34" x14ac:dyDescent="0.3">
      <c r="A190">
        <v>192</v>
      </c>
      <c r="B190">
        <v>58</v>
      </c>
      <c r="C190" t="s">
        <v>35</v>
      </c>
      <c r="D190" t="s">
        <v>99</v>
      </c>
      <c r="E190" t="s">
        <v>100</v>
      </c>
      <c r="F190">
        <v>20000</v>
      </c>
      <c r="G190">
        <v>21</v>
      </c>
      <c r="H190" t="s">
        <v>24</v>
      </c>
      <c r="I190" t="s">
        <v>25</v>
      </c>
      <c r="J190">
        <v>3</v>
      </c>
      <c r="K190" t="s">
        <v>197</v>
      </c>
      <c r="L190" t="s">
        <v>503</v>
      </c>
      <c r="M190" t="s">
        <v>504</v>
      </c>
      <c r="N190" s="2">
        <v>45846</v>
      </c>
      <c r="O190" s="2">
        <v>45867</v>
      </c>
      <c r="P190" t="s">
        <v>29</v>
      </c>
      <c r="Q190" t="s">
        <v>52</v>
      </c>
      <c r="R190" t="s">
        <v>45</v>
      </c>
      <c r="S190" t="s">
        <v>32</v>
      </c>
      <c r="T190" t="s">
        <v>33</v>
      </c>
      <c r="U190" t="s">
        <v>78</v>
      </c>
      <c r="V190" t="str">
        <f>IF(B190&lt;=18,"Children",IF(B190&lt;=35,"Young adult",IF(B190&lt;=60,"Adult", "Senior Citizen")))</f>
        <v>Adult</v>
      </c>
      <c r="W190" t="str">
        <f t="shared" si="14"/>
        <v>Jul</v>
      </c>
      <c r="X190">
        <f t="shared" si="15"/>
        <v>7</v>
      </c>
      <c r="Y190" t="str">
        <f t="shared" si="16"/>
        <v>Q3</v>
      </c>
      <c r="Z190">
        <f t="shared" si="17"/>
        <v>2025</v>
      </c>
      <c r="AA190" t="str">
        <f t="shared" si="18"/>
        <v>Tuesday</v>
      </c>
      <c r="AB190">
        <f t="shared" si="19"/>
        <v>-21</v>
      </c>
      <c r="AC190" t="str">
        <f>IF(OR(D190="Heart Disease",D190="Cancer",D190="Stroke"),"High",IF(OR(D190="Diabetes",D190="Asthma"),"Medium","Low"))</f>
        <v>Low</v>
      </c>
      <c r="AD190" t="str">
        <f t="shared" si="20"/>
        <v>No</v>
      </c>
      <c r="AE190" t="str">
        <f>IF(G190&lt;=2,"Short Stay", IF(G190&lt;=7,"Normal Stay", "Long Stay"))</f>
        <v>Long Stay</v>
      </c>
      <c r="AF190" t="str">
        <f>IF(F190&gt;60000,"Expensive",IF(F190&gt;30000,"Moderate","Affordable"))</f>
        <v>Affordable</v>
      </c>
      <c r="AG190" t="str">
        <f>IF(J190&gt;=4.5,"Excellent",IF(J190&gt;=3.5,"Good",IF(J190&gt;=2.5,"Average","Poor")))</f>
        <v>Average</v>
      </c>
      <c r="AH190" t="str">
        <f>IF(OR(TEXT(N190,"dddd")="Saturday",TEXT(N190,"dddd")="Sunday"),"Weekend","Weekday")</f>
        <v>Weekday</v>
      </c>
    </row>
    <row r="191" spans="1:34" x14ac:dyDescent="0.3">
      <c r="A191">
        <v>193</v>
      </c>
      <c r="B191">
        <v>32</v>
      </c>
      <c r="C191" t="s">
        <v>21</v>
      </c>
      <c r="D191" t="s">
        <v>105</v>
      </c>
      <c r="E191" t="s">
        <v>106</v>
      </c>
      <c r="F191">
        <v>12000</v>
      </c>
      <c r="G191">
        <v>15</v>
      </c>
      <c r="H191" t="s">
        <v>24</v>
      </c>
      <c r="I191" t="s">
        <v>25</v>
      </c>
      <c r="J191">
        <v>4</v>
      </c>
      <c r="K191" t="s">
        <v>215</v>
      </c>
      <c r="L191" t="s">
        <v>505</v>
      </c>
      <c r="M191" t="s">
        <v>506</v>
      </c>
      <c r="N191" s="2">
        <v>45847</v>
      </c>
      <c r="O191" s="2">
        <v>45862</v>
      </c>
      <c r="P191" t="s">
        <v>29</v>
      </c>
      <c r="Q191" t="s">
        <v>52</v>
      </c>
      <c r="R191" t="s">
        <v>45</v>
      </c>
      <c r="S191" t="s">
        <v>110</v>
      </c>
      <c r="T191" t="s">
        <v>33</v>
      </c>
      <c r="U191" t="s">
        <v>104</v>
      </c>
      <c r="V191" t="str">
        <f>IF(B191&lt;=18,"Children",IF(B191&lt;=35,"Young adult",IF(B191&lt;=60,"Adult", "Senior Citizen")))</f>
        <v>Young adult</v>
      </c>
      <c r="W191" t="str">
        <f t="shared" si="14"/>
        <v>Jul</v>
      </c>
      <c r="X191">
        <f t="shared" si="15"/>
        <v>7</v>
      </c>
      <c r="Y191" t="str">
        <f t="shared" si="16"/>
        <v>Q3</v>
      </c>
      <c r="Z191">
        <f t="shared" si="17"/>
        <v>2025</v>
      </c>
      <c r="AA191" t="str">
        <f t="shared" si="18"/>
        <v>Wednesday</v>
      </c>
      <c r="AB191">
        <f t="shared" si="19"/>
        <v>-15</v>
      </c>
      <c r="AC191" t="str">
        <f>IF(OR(D191="Heart Disease",D191="Cancer",D191="Stroke"),"High",IF(OR(D191="Diabetes",D191="Asthma"),"Medium","Low"))</f>
        <v>Low</v>
      </c>
      <c r="AD191" t="str">
        <f t="shared" si="20"/>
        <v>No</v>
      </c>
      <c r="AE191" t="str">
        <f>IF(G191&lt;=2,"Short Stay", IF(G191&lt;=7,"Normal Stay", "Long Stay"))</f>
        <v>Long Stay</v>
      </c>
      <c r="AF191" t="str">
        <f>IF(F191&gt;60000,"Expensive",IF(F191&gt;30000,"Moderate","Affordable"))</f>
        <v>Affordable</v>
      </c>
      <c r="AG191" t="str">
        <f>IF(J191&gt;=4.5,"Excellent",IF(J191&gt;=3.5,"Good",IF(J191&gt;=2.5,"Average","Poor")))</f>
        <v>Good</v>
      </c>
      <c r="AH191" t="str">
        <f>IF(OR(TEXT(N191,"dddd")="Saturday",TEXT(N191,"dddd")="Sunday"),"Weekend","Weekday")</f>
        <v>Weekday</v>
      </c>
    </row>
    <row r="192" spans="1:34" x14ac:dyDescent="0.3">
      <c r="A192">
        <v>194</v>
      </c>
      <c r="B192">
        <v>55</v>
      </c>
      <c r="C192" t="s">
        <v>35</v>
      </c>
      <c r="D192" t="s">
        <v>111</v>
      </c>
      <c r="E192" t="s">
        <v>112</v>
      </c>
      <c r="F192">
        <v>6000</v>
      </c>
      <c r="G192">
        <v>16</v>
      </c>
      <c r="H192" t="s">
        <v>24</v>
      </c>
      <c r="I192" t="s">
        <v>25</v>
      </c>
      <c r="J192">
        <v>3</v>
      </c>
      <c r="K192" t="s">
        <v>242</v>
      </c>
      <c r="L192" t="s">
        <v>507</v>
      </c>
      <c r="M192" t="s">
        <v>508</v>
      </c>
      <c r="N192" s="2">
        <v>45848</v>
      </c>
      <c r="O192" s="2">
        <v>45864</v>
      </c>
      <c r="P192" t="s">
        <v>43</v>
      </c>
      <c r="Q192" t="s">
        <v>52</v>
      </c>
      <c r="R192" t="s">
        <v>45</v>
      </c>
      <c r="S192" t="s">
        <v>72</v>
      </c>
      <c r="T192" t="s">
        <v>33</v>
      </c>
      <c r="U192" t="s">
        <v>78</v>
      </c>
      <c r="V192" t="str">
        <f>IF(B192&lt;=18,"Children",IF(B192&lt;=35,"Young adult",IF(B192&lt;=60,"Adult", "Senior Citizen")))</f>
        <v>Adult</v>
      </c>
      <c r="W192" t="str">
        <f t="shared" si="14"/>
        <v>Jul</v>
      </c>
      <c r="X192">
        <f t="shared" si="15"/>
        <v>7</v>
      </c>
      <c r="Y192" t="str">
        <f t="shared" si="16"/>
        <v>Q3</v>
      </c>
      <c r="Z192">
        <f t="shared" si="17"/>
        <v>2025</v>
      </c>
      <c r="AA192" t="str">
        <f t="shared" si="18"/>
        <v>Thursday</v>
      </c>
      <c r="AB192">
        <f t="shared" si="19"/>
        <v>-16</v>
      </c>
      <c r="AC192" t="str">
        <f>IF(OR(D192="Heart Disease",D192="Cancer",D192="Stroke"),"High",IF(OR(D192="Diabetes",D192="Asthma"),"Medium","Low"))</f>
        <v>Low</v>
      </c>
      <c r="AD192" t="str">
        <f t="shared" si="20"/>
        <v>No</v>
      </c>
      <c r="AE192" t="str">
        <f>IF(G192&lt;=2,"Short Stay", IF(G192&lt;=7,"Normal Stay", "Long Stay"))</f>
        <v>Long Stay</v>
      </c>
      <c r="AF192" t="str">
        <f>IF(F192&gt;60000,"Expensive",IF(F192&gt;30000,"Moderate","Affordable"))</f>
        <v>Affordable</v>
      </c>
      <c r="AG192" t="str">
        <f>IF(J192&gt;=4.5,"Excellent",IF(J192&gt;=3.5,"Good",IF(J192&gt;=2.5,"Average","Poor")))</f>
        <v>Average</v>
      </c>
      <c r="AH192" t="str">
        <f>IF(OR(TEXT(N192,"dddd")="Saturday",TEXT(N192,"dddd")="Sunday"),"Weekend","Weekday")</f>
        <v>Weekday</v>
      </c>
    </row>
    <row r="193" spans="1:34" x14ac:dyDescent="0.3">
      <c r="A193">
        <v>195</v>
      </c>
      <c r="B193">
        <v>65</v>
      </c>
      <c r="C193" t="s">
        <v>21</v>
      </c>
      <c r="D193" t="s">
        <v>116</v>
      </c>
      <c r="E193" t="s">
        <v>117</v>
      </c>
      <c r="F193">
        <v>4000</v>
      </c>
      <c r="G193">
        <v>17</v>
      </c>
      <c r="H193" t="s">
        <v>24</v>
      </c>
      <c r="I193" t="s">
        <v>39</v>
      </c>
      <c r="J193">
        <v>4</v>
      </c>
      <c r="K193" t="s">
        <v>56</v>
      </c>
      <c r="L193" t="s">
        <v>509</v>
      </c>
      <c r="M193" t="s">
        <v>510</v>
      </c>
      <c r="N193" s="2">
        <v>45849</v>
      </c>
      <c r="O193" s="2">
        <v>45866</v>
      </c>
      <c r="P193" t="s">
        <v>29</v>
      </c>
      <c r="Q193" t="s">
        <v>139</v>
      </c>
      <c r="R193" t="s">
        <v>45</v>
      </c>
      <c r="S193" t="s">
        <v>53</v>
      </c>
      <c r="T193" t="s">
        <v>33</v>
      </c>
      <c r="U193" t="s">
        <v>78</v>
      </c>
      <c r="V193" t="str">
        <f>IF(B193&lt;=18,"Children",IF(B193&lt;=35,"Young adult",IF(B193&lt;=60,"Adult", "Senior Citizen")))</f>
        <v>Senior Citizen</v>
      </c>
      <c r="W193" t="str">
        <f t="shared" si="14"/>
        <v>Jul</v>
      </c>
      <c r="X193">
        <f t="shared" si="15"/>
        <v>7</v>
      </c>
      <c r="Y193" t="str">
        <f t="shared" si="16"/>
        <v>Q3</v>
      </c>
      <c r="Z193">
        <f t="shared" si="17"/>
        <v>2025</v>
      </c>
      <c r="AA193" t="str">
        <f t="shared" si="18"/>
        <v>Friday</v>
      </c>
      <c r="AB193">
        <f t="shared" si="19"/>
        <v>-17</v>
      </c>
      <c r="AC193" t="str">
        <f>IF(OR(D193="Heart Disease",D193="Cancer",D193="Stroke"),"High",IF(OR(D193="Diabetes",D193="Asthma"),"Medium","Low"))</f>
        <v>Low</v>
      </c>
      <c r="AD193" t="str">
        <f t="shared" si="20"/>
        <v>No</v>
      </c>
      <c r="AE193" t="str">
        <f>IF(G193&lt;=2,"Short Stay", IF(G193&lt;=7,"Normal Stay", "Long Stay"))</f>
        <v>Long Stay</v>
      </c>
      <c r="AF193" t="str">
        <f>IF(F193&gt;60000,"Expensive",IF(F193&gt;30000,"Moderate","Affordable"))</f>
        <v>Affordable</v>
      </c>
      <c r="AG193" t="str">
        <f>IF(J193&gt;=4.5,"Excellent",IF(J193&gt;=3.5,"Good",IF(J193&gt;=2.5,"Average","Poor")))</f>
        <v>Good</v>
      </c>
      <c r="AH193" t="str">
        <f>IF(OR(TEXT(N193,"dddd")="Saturday",TEXT(N193,"dddd")="Sunday"),"Weekend","Weekday")</f>
        <v>Weekday</v>
      </c>
    </row>
    <row r="194" spans="1:34" x14ac:dyDescent="0.3">
      <c r="A194">
        <v>196</v>
      </c>
      <c r="B194">
        <v>55</v>
      </c>
      <c r="C194" t="s">
        <v>21</v>
      </c>
      <c r="D194" t="s">
        <v>22</v>
      </c>
      <c r="E194" t="s">
        <v>23</v>
      </c>
      <c r="F194">
        <v>15000</v>
      </c>
      <c r="G194">
        <v>18</v>
      </c>
      <c r="H194" t="s">
        <v>38</v>
      </c>
      <c r="I194" t="s">
        <v>25</v>
      </c>
      <c r="J194">
        <v>3</v>
      </c>
      <c r="K194" t="s">
        <v>324</v>
      </c>
      <c r="L194" t="s">
        <v>511</v>
      </c>
      <c r="M194" t="s">
        <v>512</v>
      </c>
      <c r="N194" s="2">
        <v>45850</v>
      </c>
      <c r="O194" s="2">
        <v>45868</v>
      </c>
      <c r="P194" t="s">
        <v>43</v>
      </c>
      <c r="Q194" t="s">
        <v>71</v>
      </c>
      <c r="R194" t="s">
        <v>31</v>
      </c>
      <c r="S194" t="s">
        <v>72</v>
      </c>
      <c r="T194" t="s">
        <v>33</v>
      </c>
      <c r="U194" t="s">
        <v>104</v>
      </c>
      <c r="V194" t="str">
        <f>IF(B194&lt;=18,"Children",IF(B194&lt;=35,"Young adult",IF(B194&lt;=60,"Adult", "Senior Citizen")))</f>
        <v>Adult</v>
      </c>
      <c r="W194" t="str">
        <f t="shared" si="14"/>
        <v>Jul</v>
      </c>
      <c r="X194">
        <f t="shared" si="15"/>
        <v>7</v>
      </c>
      <c r="Y194" t="str">
        <f t="shared" si="16"/>
        <v>Q3</v>
      </c>
      <c r="Z194">
        <f t="shared" si="17"/>
        <v>2025</v>
      </c>
      <c r="AA194" t="str">
        <f t="shared" si="18"/>
        <v>Saturday</v>
      </c>
      <c r="AB194">
        <f t="shared" si="19"/>
        <v>-18</v>
      </c>
      <c r="AC194" t="str">
        <f>IF(OR(D194="Heart Disease",D194="Cancer",D194="Stroke"),"High",IF(OR(D194="Diabetes",D194="Asthma"),"Medium","Low"))</f>
        <v>High</v>
      </c>
      <c r="AD194" t="str">
        <f t="shared" si="20"/>
        <v>Yes</v>
      </c>
      <c r="AE194" t="str">
        <f>IF(G194&lt;=2,"Short Stay", IF(G194&lt;=7,"Normal Stay", "Long Stay"))</f>
        <v>Long Stay</v>
      </c>
      <c r="AF194" t="str">
        <f>IF(F194&gt;60000,"Expensive",IF(F194&gt;30000,"Moderate","Affordable"))</f>
        <v>Affordable</v>
      </c>
      <c r="AG194" t="str">
        <f>IF(J194&gt;=4.5,"Excellent",IF(J194&gt;=3.5,"Good",IF(J194&gt;=2.5,"Average","Poor")))</f>
        <v>Average</v>
      </c>
      <c r="AH194" t="str">
        <f>IF(OR(TEXT(N194,"dddd")="Saturday",TEXT(N194,"dddd")="Sunday"),"Weekend","Weekday")</f>
        <v>Weekend</v>
      </c>
    </row>
    <row r="195" spans="1:34" x14ac:dyDescent="0.3">
      <c r="A195">
        <v>197</v>
      </c>
      <c r="B195">
        <v>62</v>
      </c>
      <c r="C195" t="s">
        <v>35</v>
      </c>
      <c r="D195" t="s">
        <v>36</v>
      </c>
      <c r="E195" t="s">
        <v>37</v>
      </c>
      <c r="F195">
        <v>2000</v>
      </c>
      <c r="G195">
        <v>16</v>
      </c>
      <c r="H195" t="s">
        <v>24</v>
      </c>
      <c r="I195" t="s">
        <v>39</v>
      </c>
      <c r="J195">
        <v>4</v>
      </c>
      <c r="K195" t="s">
        <v>210</v>
      </c>
      <c r="L195" t="s">
        <v>513</v>
      </c>
      <c r="M195" t="s">
        <v>514</v>
      </c>
      <c r="N195" s="2">
        <v>45851</v>
      </c>
      <c r="O195" s="2">
        <v>45867</v>
      </c>
      <c r="P195" t="s">
        <v>43</v>
      </c>
      <c r="Q195" t="s">
        <v>30</v>
      </c>
      <c r="R195" t="s">
        <v>45</v>
      </c>
      <c r="S195" t="s">
        <v>84</v>
      </c>
      <c r="T195" t="s">
        <v>33</v>
      </c>
      <c r="U195" t="s">
        <v>46</v>
      </c>
      <c r="V195" t="str">
        <f>IF(B195&lt;=18,"Children",IF(B195&lt;=35,"Young adult",IF(B195&lt;=60,"Adult", "Senior Citizen")))</f>
        <v>Senior Citizen</v>
      </c>
      <c r="W195" t="str">
        <f t="shared" ref="W195:W258" si="21">TEXT(N195,"MMM")</f>
        <v>Jul</v>
      </c>
      <c r="X195">
        <f t="shared" ref="X195:X258" si="22">MONTH(N195)</f>
        <v>7</v>
      </c>
      <c r="Y195" t="str">
        <f t="shared" ref="Y195:Y258" si="23">"Q"&amp;ROUNDUP(MONTH(N195)/3,0)</f>
        <v>Q3</v>
      </c>
      <c r="Z195">
        <f t="shared" ref="Z195:Z258" si="24">YEAR(N195)</f>
        <v>2025</v>
      </c>
      <c r="AA195" t="str">
        <f t="shared" ref="AA195:AA258" si="25">TEXT(N195, "dddd")</f>
        <v>Sunday</v>
      </c>
      <c r="AB195">
        <f t="shared" ref="AB195:AB258" si="26">N195-O195</f>
        <v>-16</v>
      </c>
      <c r="AC195" t="str">
        <f>IF(OR(D195="Heart Disease",D195="Cancer",D195="Stroke"),"High",IF(OR(D195="Diabetes",D195="Asthma"),"Medium","Low"))</f>
        <v>Medium</v>
      </c>
      <c r="AD195" t="str">
        <f t="shared" ref="AD195:AD258" si="27">IF(AC195="High","Yes","No")</f>
        <v>No</v>
      </c>
      <c r="AE195" t="str">
        <f>IF(G195&lt;=2,"Short Stay", IF(G195&lt;=7,"Normal Stay", "Long Stay"))</f>
        <v>Long Stay</v>
      </c>
      <c r="AF195" t="str">
        <f>IF(F195&gt;60000,"Expensive",IF(F195&gt;30000,"Moderate","Affordable"))</f>
        <v>Affordable</v>
      </c>
      <c r="AG195" t="str">
        <f>IF(J195&gt;=4.5,"Excellent",IF(J195&gt;=3.5,"Good",IF(J195&gt;=2.5,"Average","Poor")))</f>
        <v>Good</v>
      </c>
      <c r="AH195" t="str">
        <f>IF(OR(TEXT(N195,"dddd")="Saturday",TEXT(N195,"dddd")="Sunday"),"Weekend","Weekday")</f>
        <v>Weekend</v>
      </c>
    </row>
    <row r="196" spans="1:34" x14ac:dyDescent="0.3">
      <c r="A196">
        <v>198</v>
      </c>
      <c r="B196">
        <v>35</v>
      </c>
      <c r="C196" t="s">
        <v>21</v>
      </c>
      <c r="D196" t="s">
        <v>47</v>
      </c>
      <c r="E196" t="s">
        <v>48</v>
      </c>
      <c r="F196">
        <v>500</v>
      </c>
      <c r="G196">
        <v>14</v>
      </c>
      <c r="H196" t="s">
        <v>38</v>
      </c>
      <c r="I196" t="s">
        <v>25</v>
      </c>
      <c r="J196">
        <v>5</v>
      </c>
      <c r="K196" t="s">
        <v>136</v>
      </c>
      <c r="L196" t="s">
        <v>515</v>
      </c>
      <c r="M196" t="s">
        <v>516</v>
      </c>
      <c r="N196" s="2">
        <v>45852</v>
      </c>
      <c r="O196" s="2">
        <v>45866</v>
      </c>
      <c r="P196" t="s">
        <v>29</v>
      </c>
      <c r="Q196" t="s">
        <v>139</v>
      </c>
      <c r="R196" t="s">
        <v>45</v>
      </c>
      <c r="S196" t="s">
        <v>84</v>
      </c>
      <c r="T196" t="s">
        <v>33</v>
      </c>
      <c r="U196" t="s">
        <v>46</v>
      </c>
      <c r="V196" t="str">
        <f>IF(B196&lt;=18,"Children",IF(B196&lt;=35,"Young adult",IF(B196&lt;=60,"Adult", "Senior Citizen")))</f>
        <v>Young adult</v>
      </c>
      <c r="W196" t="str">
        <f t="shared" si="21"/>
        <v>Jul</v>
      </c>
      <c r="X196">
        <f t="shared" si="22"/>
        <v>7</v>
      </c>
      <c r="Y196" t="str">
        <f t="shared" si="23"/>
        <v>Q3</v>
      </c>
      <c r="Z196">
        <f t="shared" si="24"/>
        <v>2025</v>
      </c>
      <c r="AA196" t="str">
        <f t="shared" si="25"/>
        <v>Monday</v>
      </c>
      <c r="AB196">
        <f t="shared" si="26"/>
        <v>-14</v>
      </c>
      <c r="AC196" t="str">
        <f>IF(OR(D196="Heart Disease",D196="Cancer",D196="Stroke"),"High",IF(OR(D196="Diabetes",D196="Asthma"),"Medium","Low"))</f>
        <v>Low</v>
      </c>
      <c r="AD196" t="str">
        <f t="shared" si="27"/>
        <v>No</v>
      </c>
      <c r="AE196" t="str">
        <f>IF(G196&lt;=2,"Short Stay", IF(G196&lt;=7,"Normal Stay", "Long Stay"))</f>
        <v>Long Stay</v>
      </c>
      <c r="AF196" t="str">
        <f>IF(F196&gt;60000,"Expensive",IF(F196&gt;30000,"Moderate","Affordable"))</f>
        <v>Affordable</v>
      </c>
      <c r="AG196" t="str">
        <f>IF(J196&gt;=4.5,"Excellent",IF(J196&gt;=3.5,"Good",IF(J196&gt;=2.5,"Average","Poor")))</f>
        <v>Excellent</v>
      </c>
      <c r="AH196" t="str">
        <f>IF(OR(TEXT(N196,"dddd")="Saturday",TEXT(N196,"dddd")="Sunday"),"Weekend","Weekday")</f>
        <v>Weekday</v>
      </c>
    </row>
    <row r="197" spans="1:34" x14ac:dyDescent="0.3">
      <c r="A197">
        <v>199</v>
      </c>
      <c r="B197">
        <v>78</v>
      </c>
      <c r="C197" t="s">
        <v>35</v>
      </c>
      <c r="D197" t="s">
        <v>54</v>
      </c>
      <c r="E197" t="s">
        <v>55</v>
      </c>
      <c r="F197">
        <v>10000</v>
      </c>
      <c r="G197">
        <v>20</v>
      </c>
      <c r="H197" t="s">
        <v>24</v>
      </c>
      <c r="I197" t="s">
        <v>39</v>
      </c>
      <c r="J197">
        <v>2</v>
      </c>
      <c r="K197" t="s">
        <v>172</v>
      </c>
      <c r="L197" t="s">
        <v>517</v>
      </c>
      <c r="M197" t="s">
        <v>518</v>
      </c>
      <c r="N197" s="2">
        <v>45853</v>
      </c>
      <c r="O197" s="2">
        <v>45873</v>
      </c>
      <c r="P197" t="s">
        <v>43</v>
      </c>
      <c r="Q197" t="s">
        <v>52</v>
      </c>
      <c r="R197" t="s">
        <v>59</v>
      </c>
      <c r="S197" t="s">
        <v>110</v>
      </c>
      <c r="T197" t="s">
        <v>33</v>
      </c>
      <c r="U197" t="s">
        <v>46</v>
      </c>
      <c r="V197" t="str">
        <f>IF(B197&lt;=18,"Children",IF(B197&lt;=35,"Young adult",IF(B197&lt;=60,"Adult", "Senior Citizen")))</f>
        <v>Senior Citizen</v>
      </c>
      <c r="W197" t="str">
        <f t="shared" si="21"/>
        <v>Jul</v>
      </c>
      <c r="X197">
        <f t="shared" si="22"/>
        <v>7</v>
      </c>
      <c r="Y197" t="str">
        <f t="shared" si="23"/>
        <v>Q3</v>
      </c>
      <c r="Z197">
        <f t="shared" si="24"/>
        <v>2025</v>
      </c>
      <c r="AA197" t="str">
        <f t="shared" si="25"/>
        <v>Tuesday</v>
      </c>
      <c r="AB197">
        <f t="shared" si="26"/>
        <v>-20</v>
      </c>
      <c r="AC197" t="str">
        <f>IF(OR(D197="Heart Disease",D197="Cancer",D197="Stroke"),"High",IF(OR(D197="Diabetes",D197="Asthma"),"Medium","Low"))</f>
        <v>High</v>
      </c>
      <c r="AD197" t="str">
        <f t="shared" si="27"/>
        <v>Yes</v>
      </c>
      <c r="AE197" t="str">
        <f>IF(G197&lt;=2,"Short Stay", IF(G197&lt;=7,"Normal Stay", "Long Stay"))</f>
        <v>Long Stay</v>
      </c>
      <c r="AF197" t="str">
        <f>IF(F197&gt;60000,"Expensive",IF(F197&gt;30000,"Moderate","Affordable"))</f>
        <v>Affordable</v>
      </c>
      <c r="AG197" t="str">
        <f>IF(J197&gt;=4.5,"Excellent",IF(J197&gt;=3.5,"Good",IF(J197&gt;=2.5,"Average","Poor")))</f>
        <v>Poor</v>
      </c>
      <c r="AH197" t="str">
        <f>IF(OR(TEXT(N197,"dddd")="Saturday",TEXT(N197,"dddd")="Sunday"),"Weekend","Weekday")</f>
        <v>Weekday</v>
      </c>
    </row>
    <row r="198" spans="1:34" x14ac:dyDescent="0.3">
      <c r="A198">
        <v>200</v>
      </c>
      <c r="B198">
        <v>53</v>
      </c>
      <c r="C198" t="s">
        <v>21</v>
      </c>
      <c r="D198" t="s">
        <v>60</v>
      </c>
      <c r="E198" t="s">
        <v>61</v>
      </c>
      <c r="F198">
        <v>25000</v>
      </c>
      <c r="G198">
        <v>23</v>
      </c>
      <c r="H198" t="s">
        <v>38</v>
      </c>
      <c r="I198" t="s">
        <v>25</v>
      </c>
      <c r="J198">
        <v>4</v>
      </c>
      <c r="K198" t="s">
        <v>133</v>
      </c>
      <c r="L198" t="s">
        <v>519</v>
      </c>
      <c r="M198" t="s">
        <v>520</v>
      </c>
      <c r="N198" s="2">
        <v>45854</v>
      </c>
      <c r="O198" s="2">
        <v>45877</v>
      </c>
      <c r="P198" t="s">
        <v>43</v>
      </c>
      <c r="Q198" t="s">
        <v>71</v>
      </c>
      <c r="R198" t="s">
        <v>65</v>
      </c>
      <c r="S198" t="s">
        <v>53</v>
      </c>
      <c r="T198" t="s">
        <v>33</v>
      </c>
      <c r="U198" t="s">
        <v>104</v>
      </c>
      <c r="V198" t="str">
        <f>IF(B198&lt;=18,"Children",IF(B198&lt;=35,"Young adult",IF(B198&lt;=60,"Adult", "Senior Citizen")))</f>
        <v>Adult</v>
      </c>
      <c r="W198" t="str">
        <f t="shared" si="21"/>
        <v>Jul</v>
      </c>
      <c r="X198">
        <f t="shared" si="22"/>
        <v>7</v>
      </c>
      <c r="Y198" t="str">
        <f t="shared" si="23"/>
        <v>Q3</v>
      </c>
      <c r="Z198">
        <f t="shared" si="24"/>
        <v>2025</v>
      </c>
      <c r="AA198" t="str">
        <f t="shared" si="25"/>
        <v>Wednesday</v>
      </c>
      <c r="AB198">
        <f t="shared" si="26"/>
        <v>-23</v>
      </c>
      <c r="AC198" t="str">
        <f>IF(OR(D198="Heart Disease",D198="Cancer",D198="Stroke"),"High",IF(OR(D198="Diabetes",D198="Asthma"),"Medium","Low"))</f>
        <v>High</v>
      </c>
      <c r="AD198" t="str">
        <f t="shared" si="27"/>
        <v>Yes</v>
      </c>
      <c r="AE198" t="str">
        <f>IF(G198&lt;=2,"Short Stay", IF(G198&lt;=7,"Normal Stay", "Long Stay"))</f>
        <v>Long Stay</v>
      </c>
      <c r="AF198" t="str">
        <f>IF(F198&gt;60000,"Expensive",IF(F198&gt;30000,"Moderate","Affordable"))</f>
        <v>Affordable</v>
      </c>
      <c r="AG198" t="str">
        <f>IF(J198&gt;=4.5,"Excellent",IF(J198&gt;=3.5,"Good",IF(J198&gt;=2.5,"Average","Poor")))</f>
        <v>Good</v>
      </c>
      <c r="AH198" t="str">
        <f>IF(OR(TEXT(N198,"dddd")="Saturday",TEXT(N198,"dddd")="Sunday"),"Weekend","Weekday")</f>
        <v>Weekday</v>
      </c>
    </row>
    <row r="199" spans="1:34" x14ac:dyDescent="0.3">
      <c r="A199">
        <v>201</v>
      </c>
      <c r="B199">
        <v>72</v>
      </c>
      <c r="C199" t="s">
        <v>35</v>
      </c>
      <c r="D199" t="s">
        <v>66</v>
      </c>
      <c r="E199" t="s">
        <v>67</v>
      </c>
      <c r="F199">
        <v>1000</v>
      </c>
      <c r="G199">
        <v>15</v>
      </c>
      <c r="H199" t="s">
        <v>24</v>
      </c>
      <c r="I199" t="s">
        <v>39</v>
      </c>
      <c r="J199">
        <v>4</v>
      </c>
      <c r="K199" t="s">
        <v>329</v>
      </c>
      <c r="L199" t="s">
        <v>521</v>
      </c>
      <c r="M199" t="s">
        <v>522</v>
      </c>
      <c r="N199" s="2">
        <v>45855</v>
      </c>
      <c r="O199" s="2">
        <v>45870</v>
      </c>
      <c r="P199" t="s">
        <v>43</v>
      </c>
      <c r="Q199" t="s">
        <v>30</v>
      </c>
      <c r="R199" t="s">
        <v>45</v>
      </c>
      <c r="S199" t="s">
        <v>72</v>
      </c>
      <c r="T199" t="s">
        <v>33</v>
      </c>
      <c r="U199" t="s">
        <v>46</v>
      </c>
      <c r="V199" t="str">
        <f>IF(B199&lt;=18,"Children",IF(B199&lt;=35,"Young adult",IF(B199&lt;=60,"Adult", "Senior Citizen")))</f>
        <v>Senior Citizen</v>
      </c>
      <c r="W199" t="str">
        <f t="shared" si="21"/>
        <v>Jul</v>
      </c>
      <c r="X199">
        <f t="shared" si="22"/>
        <v>7</v>
      </c>
      <c r="Y199" t="str">
        <f t="shared" si="23"/>
        <v>Q3</v>
      </c>
      <c r="Z199">
        <f t="shared" si="24"/>
        <v>2025</v>
      </c>
      <c r="AA199" t="str">
        <f t="shared" si="25"/>
        <v>Thursday</v>
      </c>
      <c r="AB199">
        <f t="shared" si="26"/>
        <v>-15</v>
      </c>
      <c r="AC199" t="str">
        <f>IF(OR(D199="Heart Disease",D199="Cancer",D199="Stroke"),"High",IF(OR(D199="Diabetes",D199="Asthma"),"Medium","Low"))</f>
        <v>Low</v>
      </c>
      <c r="AD199" t="str">
        <f t="shared" si="27"/>
        <v>No</v>
      </c>
      <c r="AE199" t="str">
        <f>IF(G199&lt;=2,"Short Stay", IF(G199&lt;=7,"Normal Stay", "Long Stay"))</f>
        <v>Long Stay</v>
      </c>
      <c r="AF199" t="str">
        <f>IF(F199&gt;60000,"Expensive",IF(F199&gt;30000,"Moderate","Affordable"))</f>
        <v>Affordable</v>
      </c>
      <c r="AG199" t="str">
        <f>IF(J199&gt;=4.5,"Excellent",IF(J199&gt;=3.5,"Good",IF(J199&gt;=2.5,"Average","Poor")))</f>
        <v>Good</v>
      </c>
      <c r="AH199" t="str">
        <f>IF(OR(TEXT(N199,"dddd")="Saturday",TEXT(N199,"dddd")="Sunday"),"Weekend","Weekday")</f>
        <v>Weekday</v>
      </c>
    </row>
    <row r="200" spans="1:34" x14ac:dyDescent="0.3">
      <c r="A200">
        <v>202</v>
      </c>
      <c r="B200">
        <v>60</v>
      </c>
      <c r="C200" t="s">
        <v>21</v>
      </c>
      <c r="D200" t="s">
        <v>73</v>
      </c>
      <c r="E200" t="s">
        <v>74</v>
      </c>
      <c r="F200">
        <v>8000</v>
      </c>
      <c r="G200">
        <v>17</v>
      </c>
      <c r="H200" t="s">
        <v>38</v>
      </c>
      <c r="I200" t="s">
        <v>25</v>
      </c>
      <c r="J200">
        <v>3</v>
      </c>
      <c r="K200" t="s">
        <v>125</v>
      </c>
      <c r="L200" t="s">
        <v>523</v>
      </c>
      <c r="M200" t="s">
        <v>524</v>
      </c>
      <c r="N200" s="2">
        <v>45856</v>
      </c>
      <c r="O200" s="2">
        <v>45873</v>
      </c>
      <c r="P200" t="s">
        <v>29</v>
      </c>
      <c r="Q200" t="s">
        <v>71</v>
      </c>
      <c r="R200" t="s">
        <v>45</v>
      </c>
      <c r="S200" t="s">
        <v>53</v>
      </c>
      <c r="T200" t="s">
        <v>33</v>
      </c>
      <c r="U200" t="s">
        <v>104</v>
      </c>
      <c r="V200" t="str">
        <f>IF(B200&lt;=18,"Children",IF(B200&lt;=35,"Young adult",IF(B200&lt;=60,"Adult", "Senior Citizen")))</f>
        <v>Adult</v>
      </c>
      <c r="W200" t="str">
        <f t="shared" si="21"/>
        <v>Jul</v>
      </c>
      <c r="X200">
        <f t="shared" si="22"/>
        <v>7</v>
      </c>
      <c r="Y200" t="str">
        <f t="shared" si="23"/>
        <v>Q3</v>
      </c>
      <c r="Z200">
        <f t="shared" si="24"/>
        <v>2025</v>
      </c>
      <c r="AA200" t="str">
        <f t="shared" si="25"/>
        <v>Friday</v>
      </c>
      <c r="AB200">
        <f t="shared" si="26"/>
        <v>-17</v>
      </c>
      <c r="AC200" t="str">
        <f>IF(OR(D200="Heart Disease",D200="Cancer",D200="Stroke"),"High",IF(OR(D200="Diabetes",D200="Asthma"),"Medium","Low"))</f>
        <v>Low</v>
      </c>
      <c r="AD200" t="str">
        <f t="shared" si="27"/>
        <v>No</v>
      </c>
      <c r="AE200" t="str">
        <f>IF(G200&lt;=2,"Short Stay", IF(G200&lt;=7,"Normal Stay", "Long Stay"))</f>
        <v>Long Stay</v>
      </c>
      <c r="AF200" t="str">
        <f>IF(F200&gt;60000,"Expensive",IF(F200&gt;30000,"Moderate","Affordable"))</f>
        <v>Affordable</v>
      </c>
      <c r="AG200" t="str">
        <f>IF(J200&gt;=4.5,"Excellent",IF(J200&gt;=3.5,"Good",IF(J200&gt;=2.5,"Average","Poor")))</f>
        <v>Average</v>
      </c>
      <c r="AH200" t="str">
        <f>IF(OR(TEXT(N200,"dddd")="Saturday",TEXT(N200,"dddd")="Sunday"),"Weekend","Weekday")</f>
        <v>Weekday</v>
      </c>
    </row>
    <row r="201" spans="1:34" x14ac:dyDescent="0.3">
      <c r="A201">
        <v>203</v>
      </c>
      <c r="B201">
        <v>45</v>
      </c>
      <c r="C201" t="s">
        <v>35</v>
      </c>
      <c r="D201" t="s">
        <v>79</v>
      </c>
      <c r="E201" t="s">
        <v>80</v>
      </c>
      <c r="F201">
        <v>3000</v>
      </c>
      <c r="G201">
        <v>19</v>
      </c>
      <c r="H201" t="s">
        <v>24</v>
      </c>
      <c r="I201" t="s">
        <v>25</v>
      </c>
      <c r="J201">
        <v>4</v>
      </c>
      <c r="K201" t="s">
        <v>81</v>
      </c>
      <c r="L201" t="s">
        <v>525</v>
      </c>
      <c r="M201" t="s">
        <v>526</v>
      </c>
      <c r="N201" s="2">
        <v>45857</v>
      </c>
      <c r="O201" s="2">
        <v>45876</v>
      </c>
      <c r="P201" t="s">
        <v>43</v>
      </c>
      <c r="Q201" t="s">
        <v>44</v>
      </c>
      <c r="R201" t="s">
        <v>45</v>
      </c>
      <c r="S201" t="s">
        <v>77</v>
      </c>
      <c r="T201" t="s">
        <v>33</v>
      </c>
      <c r="U201" t="s">
        <v>78</v>
      </c>
      <c r="V201" t="str">
        <f>IF(B201&lt;=18,"Children",IF(B201&lt;=35,"Young adult",IF(B201&lt;=60,"Adult", "Senior Citizen")))</f>
        <v>Adult</v>
      </c>
      <c r="W201" t="str">
        <f t="shared" si="21"/>
        <v>Jul</v>
      </c>
      <c r="X201">
        <f t="shared" si="22"/>
        <v>7</v>
      </c>
      <c r="Y201" t="str">
        <f t="shared" si="23"/>
        <v>Q3</v>
      </c>
      <c r="Z201">
        <f t="shared" si="24"/>
        <v>2025</v>
      </c>
      <c r="AA201" t="str">
        <f t="shared" si="25"/>
        <v>Saturday</v>
      </c>
      <c r="AB201">
        <f t="shared" si="26"/>
        <v>-19</v>
      </c>
      <c r="AC201" t="str">
        <f>IF(OR(D201="Heart Disease",D201="Cancer",D201="Stroke"),"High",IF(OR(D201="Diabetes",D201="Asthma"),"Medium","Low"))</f>
        <v>Low</v>
      </c>
      <c r="AD201" t="str">
        <f t="shared" si="27"/>
        <v>No</v>
      </c>
      <c r="AE201" t="str">
        <f>IF(G201&lt;=2,"Short Stay", IF(G201&lt;=7,"Normal Stay", "Long Stay"))</f>
        <v>Long Stay</v>
      </c>
      <c r="AF201" t="str">
        <f>IF(F201&gt;60000,"Expensive",IF(F201&gt;30000,"Moderate","Affordable"))</f>
        <v>Affordable</v>
      </c>
      <c r="AG201" t="str">
        <f>IF(J201&gt;=4.5,"Excellent",IF(J201&gt;=3.5,"Good",IF(J201&gt;=2.5,"Average","Poor")))</f>
        <v>Good</v>
      </c>
      <c r="AH201" t="str">
        <f>IF(OR(TEXT(N201,"dddd")="Saturday",TEXT(N201,"dddd")="Sunday"),"Weekend","Weekday")</f>
        <v>Weekend</v>
      </c>
    </row>
    <row r="202" spans="1:34" x14ac:dyDescent="0.3">
      <c r="A202">
        <v>204</v>
      </c>
      <c r="B202">
        <v>75</v>
      </c>
      <c r="C202" t="s">
        <v>21</v>
      </c>
      <c r="D202" t="s">
        <v>85</v>
      </c>
      <c r="E202" t="s">
        <v>86</v>
      </c>
      <c r="F202">
        <v>18000</v>
      </c>
      <c r="G202">
        <v>21</v>
      </c>
      <c r="H202" t="s">
        <v>38</v>
      </c>
      <c r="I202" t="s">
        <v>39</v>
      </c>
      <c r="J202">
        <v>2</v>
      </c>
      <c r="K202" t="s">
        <v>154</v>
      </c>
      <c r="L202" t="s">
        <v>527</v>
      </c>
      <c r="M202" t="s">
        <v>528</v>
      </c>
      <c r="N202" s="2">
        <v>45858</v>
      </c>
      <c r="O202" s="2">
        <v>45879</v>
      </c>
      <c r="P202" t="s">
        <v>29</v>
      </c>
      <c r="Q202" t="s">
        <v>44</v>
      </c>
      <c r="R202" t="s">
        <v>45</v>
      </c>
      <c r="S202" t="s">
        <v>77</v>
      </c>
      <c r="T202" t="s">
        <v>33</v>
      </c>
      <c r="U202" t="s">
        <v>34</v>
      </c>
      <c r="V202" t="str">
        <f>IF(B202&lt;=18,"Children",IF(B202&lt;=35,"Young adult",IF(B202&lt;=60,"Adult", "Senior Citizen")))</f>
        <v>Senior Citizen</v>
      </c>
      <c r="W202" t="str">
        <f t="shared" si="21"/>
        <v>Jul</v>
      </c>
      <c r="X202">
        <f t="shared" si="22"/>
        <v>7</v>
      </c>
      <c r="Y202" t="str">
        <f t="shared" si="23"/>
        <v>Q3</v>
      </c>
      <c r="Z202">
        <f t="shared" si="24"/>
        <v>2025</v>
      </c>
      <c r="AA202" t="str">
        <f t="shared" si="25"/>
        <v>Sunday</v>
      </c>
      <c r="AB202">
        <f t="shared" si="26"/>
        <v>-21</v>
      </c>
      <c r="AC202" t="str">
        <f>IF(OR(D202="Heart Disease",D202="Cancer",D202="Stroke"),"High",IF(OR(D202="Diabetes",D202="Asthma"),"Medium","Low"))</f>
        <v>Low</v>
      </c>
      <c r="AD202" t="str">
        <f t="shared" si="27"/>
        <v>No</v>
      </c>
      <c r="AE202" t="str">
        <f>IF(G202&lt;=2,"Short Stay", IF(G202&lt;=7,"Normal Stay", "Long Stay"))</f>
        <v>Long Stay</v>
      </c>
      <c r="AF202" t="str">
        <f>IF(F202&gt;60000,"Expensive",IF(F202&gt;30000,"Moderate","Affordable"))</f>
        <v>Affordable</v>
      </c>
      <c r="AG202" t="str">
        <f>IF(J202&gt;=4.5,"Excellent",IF(J202&gt;=3.5,"Good",IF(J202&gt;=2.5,"Average","Poor")))</f>
        <v>Poor</v>
      </c>
      <c r="AH202" t="str">
        <f>IF(OR(TEXT(N202,"dddd")="Saturday",TEXT(N202,"dddd")="Sunday"),"Weekend","Weekday")</f>
        <v>Weekend</v>
      </c>
    </row>
    <row r="203" spans="1:34" x14ac:dyDescent="0.3">
      <c r="A203">
        <v>205</v>
      </c>
      <c r="B203">
        <v>28</v>
      </c>
      <c r="C203" t="s">
        <v>35</v>
      </c>
      <c r="D203" t="s">
        <v>89</v>
      </c>
      <c r="E203" t="s">
        <v>90</v>
      </c>
      <c r="F203">
        <v>100</v>
      </c>
      <c r="G203">
        <v>14</v>
      </c>
      <c r="H203" t="s">
        <v>24</v>
      </c>
      <c r="I203" t="s">
        <v>25</v>
      </c>
      <c r="J203">
        <v>5</v>
      </c>
      <c r="K203" t="s">
        <v>324</v>
      </c>
      <c r="L203" t="s">
        <v>529</v>
      </c>
      <c r="M203" t="s">
        <v>530</v>
      </c>
      <c r="N203" s="2">
        <v>45859</v>
      </c>
      <c r="O203" s="2">
        <v>45873</v>
      </c>
      <c r="P203" t="s">
        <v>43</v>
      </c>
      <c r="Q203" t="s">
        <v>44</v>
      </c>
      <c r="R203" t="s">
        <v>45</v>
      </c>
      <c r="S203" t="s">
        <v>53</v>
      </c>
      <c r="T203" t="s">
        <v>33</v>
      </c>
      <c r="U203" t="s">
        <v>46</v>
      </c>
      <c r="V203" t="str">
        <f>IF(B203&lt;=18,"Children",IF(B203&lt;=35,"Young adult",IF(B203&lt;=60,"Adult", "Senior Citizen")))</f>
        <v>Young adult</v>
      </c>
      <c r="W203" t="str">
        <f t="shared" si="21"/>
        <v>Jul</v>
      </c>
      <c r="X203">
        <f t="shared" si="22"/>
        <v>7</v>
      </c>
      <c r="Y203" t="str">
        <f t="shared" si="23"/>
        <v>Q3</v>
      </c>
      <c r="Z203">
        <f t="shared" si="24"/>
        <v>2025</v>
      </c>
      <c r="AA203" t="str">
        <f t="shared" si="25"/>
        <v>Monday</v>
      </c>
      <c r="AB203">
        <f t="shared" si="26"/>
        <v>-14</v>
      </c>
      <c r="AC203" t="str">
        <f>IF(OR(D203="Heart Disease",D203="Cancer",D203="Stroke"),"High",IF(OR(D203="Diabetes",D203="Asthma"),"Medium","Low"))</f>
        <v>Low</v>
      </c>
      <c r="AD203" t="str">
        <f t="shared" si="27"/>
        <v>No</v>
      </c>
      <c r="AE203" t="str">
        <f>IF(G203&lt;=2,"Short Stay", IF(G203&lt;=7,"Normal Stay", "Long Stay"))</f>
        <v>Long Stay</v>
      </c>
      <c r="AF203" t="str">
        <f>IF(F203&gt;60000,"Expensive",IF(F203&gt;30000,"Moderate","Affordable"))</f>
        <v>Affordable</v>
      </c>
      <c r="AG203" t="str">
        <f>IF(J203&gt;=4.5,"Excellent",IF(J203&gt;=3.5,"Good",IF(J203&gt;=2.5,"Average","Poor")))</f>
        <v>Excellent</v>
      </c>
      <c r="AH203" t="str">
        <f>IF(OR(TEXT(N203,"dddd")="Saturday",TEXT(N203,"dddd")="Sunday"),"Weekend","Weekday")</f>
        <v>Weekday</v>
      </c>
    </row>
    <row r="204" spans="1:34" x14ac:dyDescent="0.3">
      <c r="A204">
        <v>206</v>
      </c>
      <c r="B204">
        <v>52</v>
      </c>
      <c r="C204" t="s">
        <v>21</v>
      </c>
      <c r="D204" t="s">
        <v>94</v>
      </c>
      <c r="E204" t="s">
        <v>95</v>
      </c>
      <c r="F204">
        <v>800</v>
      </c>
      <c r="G204">
        <v>15</v>
      </c>
      <c r="H204" t="s">
        <v>24</v>
      </c>
      <c r="I204" t="s">
        <v>39</v>
      </c>
      <c r="J204">
        <v>4</v>
      </c>
      <c r="K204" t="s">
        <v>178</v>
      </c>
      <c r="L204" t="s">
        <v>531</v>
      </c>
      <c r="M204" t="s">
        <v>532</v>
      </c>
      <c r="N204" s="2">
        <v>45860</v>
      </c>
      <c r="O204" s="2">
        <v>45875</v>
      </c>
      <c r="P204" t="s">
        <v>29</v>
      </c>
      <c r="Q204" t="s">
        <v>52</v>
      </c>
      <c r="R204" t="s">
        <v>45</v>
      </c>
      <c r="S204" t="s">
        <v>72</v>
      </c>
      <c r="T204" t="s">
        <v>33</v>
      </c>
      <c r="U204" t="s">
        <v>104</v>
      </c>
      <c r="V204" t="str">
        <f>IF(B204&lt;=18,"Children",IF(B204&lt;=35,"Young adult",IF(B204&lt;=60,"Adult", "Senior Citizen")))</f>
        <v>Adult</v>
      </c>
      <c r="W204" t="str">
        <f t="shared" si="21"/>
        <v>Jul</v>
      </c>
      <c r="X204">
        <f t="shared" si="22"/>
        <v>7</v>
      </c>
      <c r="Y204" t="str">
        <f t="shared" si="23"/>
        <v>Q3</v>
      </c>
      <c r="Z204">
        <f t="shared" si="24"/>
        <v>2025</v>
      </c>
      <c r="AA204" t="str">
        <f t="shared" si="25"/>
        <v>Tuesday</v>
      </c>
      <c r="AB204">
        <f t="shared" si="26"/>
        <v>-15</v>
      </c>
      <c r="AC204" t="str">
        <f>IF(OR(D204="Heart Disease",D204="Cancer",D204="Stroke"),"High",IF(OR(D204="Diabetes",D204="Asthma"),"Medium","Low"))</f>
        <v>Low</v>
      </c>
      <c r="AD204" t="str">
        <f t="shared" si="27"/>
        <v>No</v>
      </c>
      <c r="AE204" t="str">
        <f>IF(G204&lt;=2,"Short Stay", IF(G204&lt;=7,"Normal Stay", "Long Stay"))</f>
        <v>Long Stay</v>
      </c>
      <c r="AF204" t="str">
        <f>IF(F204&gt;60000,"Expensive",IF(F204&gt;30000,"Moderate","Affordable"))</f>
        <v>Affordable</v>
      </c>
      <c r="AG204" t="str">
        <f>IF(J204&gt;=4.5,"Excellent",IF(J204&gt;=3.5,"Good",IF(J204&gt;=2.5,"Average","Poor")))</f>
        <v>Good</v>
      </c>
      <c r="AH204" t="str">
        <f>IF(OR(TEXT(N204,"dddd")="Saturday",TEXT(N204,"dddd")="Sunday"),"Weekend","Weekday")</f>
        <v>Weekday</v>
      </c>
    </row>
    <row r="205" spans="1:34" x14ac:dyDescent="0.3">
      <c r="A205">
        <v>207</v>
      </c>
      <c r="B205">
        <v>67</v>
      </c>
      <c r="C205" t="s">
        <v>35</v>
      </c>
      <c r="D205" t="s">
        <v>99</v>
      </c>
      <c r="E205" t="s">
        <v>100</v>
      </c>
      <c r="F205">
        <v>20000</v>
      </c>
      <c r="G205">
        <v>22</v>
      </c>
      <c r="H205" t="s">
        <v>24</v>
      </c>
      <c r="I205" t="s">
        <v>25</v>
      </c>
      <c r="J205">
        <v>3</v>
      </c>
      <c r="K205" t="s">
        <v>128</v>
      </c>
      <c r="L205" t="s">
        <v>533</v>
      </c>
      <c r="M205" t="s">
        <v>534</v>
      </c>
      <c r="N205" s="2">
        <v>45861</v>
      </c>
      <c r="O205" s="2">
        <v>45883</v>
      </c>
      <c r="P205" t="s">
        <v>43</v>
      </c>
      <c r="Q205" t="s">
        <v>71</v>
      </c>
      <c r="R205" t="s">
        <v>45</v>
      </c>
      <c r="S205" t="s">
        <v>77</v>
      </c>
      <c r="T205" t="s">
        <v>33</v>
      </c>
      <c r="U205" t="s">
        <v>104</v>
      </c>
      <c r="V205" t="str">
        <f>IF(B205&lt;=18,"Children",IF(B205&lt;=35,"Young adult",IF(B205&lt;=60,"Adult", "Senior Citizen")))</f>
        <v>Senior Citizen</v>
      </c>
      <c r="W205" t="str">
        <f t="shared" si="21"/>
        <v>Jul</v>
      </c>
      <c r="X205">
        <f t="shared" si="22"/>
        <v>7</v>
      </c>
      <c r="Y205" t="str">
        <f t="shared" si="23"/>
        <v>Q3</v>
      </c>
      <c r="Z205">
        <f t="shared" si="24"/>
        <v>2025</v>
      </c>
      <c r="AA205" t="str">
        <f t="shared" si="25"/>
        <v>Wednesday</v>
      </c>
      <c r="AB205">
        <f t="shared" si="26"/>
        <v>-22</v>
      </c>
      <c r="AC205" t="str">
        <f>IF(OR(D205="Heart Disease",D205="Cancer",D205="Stroke"),"High",IF(OR(D205="Diabetes",D205="Asthma"),"Medium","Low"))</f>
        <v>Low</v>
      </c>
      <c r="AD205" t="str">
        <f t="shared" si="27"/>
        <v>No</v>
      </c>
      <c r="AE205" t="str">
        <f>IF(G205&lt;=2,"Short Stay", IF(G205&lt;=7,"Normal Stay", "Long Stay"))</f>
        <v>Long Stay</v>
      </c>
      <c r="AF205" t="str">
        <f>IF(F205&gt;60000,"Expensive",IF(F205&gt;30000,"Moderate","Affordable"))</f>
        <v>Affordable</v>
      </c>
      <c r="AG205" t="str">
        <f>IF(J205&gt;=4.5,"Excellent",IF(J205&gt;=3.5,"Good",IF(J205&gt;=2.5,"Average","Poor")))</f>
        <v>Average</v>
      </c>
      <c r="AH205" t="str">
        <f>IF(OR(TEXT(N205,"dddd")="Saturday",TEXT(N205,"dddd")="Sunday"),"Weekend","Weekday")</f>
        <v>Weekday</v>
      </c>
    </row>
    <row r="206" spans="1:34" x14ac:dyDescent="0.3">
      <c r="A206">
        <v>208</v>
      </c>
      <c r="B206">
        <v>35</v>
      </c>
      <c r="C206" t="s">
        <v>21</v>
      </c>
      <c r="D206" t="s">
        <v>105</v>
      </c>
      <c r="E206" t="s">
        <v>106</v>
      </c>
      <c r="F206">
        <v>12000</v>
      </c>
      <c r="G206">
        <v>16</v>
      </c>
      <c r="H206" t="s">
        <v>24</v>
      </c>
      <c r="I206" t="s">
        <v>25</v>
      </c>
      <c r="J206">
        <v>4</v>
      </c>
      <c r="K206" t="s">
        <v>91</v>
      </c>
      <c r="L206" t="s">
        <v>535</v>
      </c>
      <c r="M206" t="s">
        <v>536</v>
      </c>
      <c r="N206" s="2">
        <v>45862</v>
      </c>
      <c r="O206" s="2">
        <v>45878</v>
      </c>
      <c r="P206" t="s">
        <v>29</v>
      </c>
      <c r="Q206" t="s">
        <v>52</v>
      </c>
      <c r="R206" t="s">
        <v>45</v>
      </c>
      <c r="S206" t="s">
        <v>53</v>
      </c>
      <c r="T206" t="s">
        <v>33</v>
      </c>
      <c r="U206" t="s">
        <v>104</v>
      </c>
      <c r="V206" t="str">
        <f>IF(B206&lt;=18,"Children",IF(B206&lt;=35,"Young adult",IF(B206&lt;=60,"Adult", "Senior Citizen")))</f>
        <v>Young adult</v>
      </c>
      <c r="W206" t="str">
        <f t="shared" si="21"/>
        <v>Jul</v>
      </c>
      <c r="X206">
        <f t="shared" si="22"/>
        <v>7</v>
      </c>
      <c r="Y206" t="str">
        <f t="shared" si="23"/>
        <v>Q3</v>
      </c>
      <c r="Z206">
        <f t="shared" si="24"/>
        <v>2025</v>
      </c>
      <c r="AA206" t="str">
        <f t="shared" si="25"/>
        <v>Thursday</v>
      </c>
      <c r="AB206">
        <f t="shared" si="26"/>
        <v>-16</v>
      </c>
      <c r="AC206" t="str">
        <f>IF(OR(D206="Heart Disease",D206="Cancer",D206="Stroke"),"High",IF(OR(D206="Diabetes",D206="Asthma"),"Medium","Low"))</f>
        <v>Low</v>
      </c>
      <c r="AD206" t="str">
        <f t="shared" si="27"/>
        <v>No</v>
      </c>
      <c r="AE206" t="str">
        <f>IF(G206&lt;=2,"Short Stay", IF(G206&lt;=7,"Normal Stay", "Long Stay"))</f>
        <v>Long Stay</v>
      </c>
      <c r="AF206" t="str">
        <f>IF(F206&gt;60000,"Expensive",IF(F206&gt;30000,"Moderate","Affordable"))</f>
        <v>Affordable</v>
      </c>
      <c r="AG206" t="str">
        <f>IF(J206&gt;=4.5,"Excellent",IF(J206&gt;=3.5,"Good",IF(J206&gt;=2.5,"Average","Poor")))</f>
        <v>Good</v>
      </c>
      <c r="AH206" t="str">
        <f>IF(OR(TEXT(N206,"dddd")="Saturday",TEXT(N206,"dddd")="Sunday"),"Weekend","Weekday")</f>
        <v>Weekday</v>
      </c>
    </row>
    <row r="207" spans="1:34" x14ac:dyDescent="0.3">
      <c r="A207">
        <v>209</v>
      </c>
      <c r="B207">
        <v>50</v>
      </c>
      <c r="C207" t="s">
        <v>35</v>
      </c>
      <c r="D207" t="s">
        <v>111</v>
      </c>
      <c r="E207" t="s">
        <v>112</v>
      </c>
      <c r="F207">
        <v>6000</v>
      </c>
      <c r="G207">
        <v>17</v>
      </c>
      <c r="H207" t="s">
        <v>24</v>
      </c>
      <c r="I207" t="s">
        <v>25</v>
      </c>
      <c r="J207">
        <v>3</v>
      </c>
      <c r="K207" t="s">
        <v>62</v>
      </c>
      <c r="L207" t="s">
        <v>537</v>
      </c>
      <c r="M207" t="s">
        <v>538</v>
      </c>
      <c r="N207" s="2">
        <v>45863</v>
      </c>
      <c r="O207" s="2">
        <v>45880</v>
      </c>
      <c r="P207" t="s">
        <v>29</v>
      </c>
      <c r="Q207" t="s">
        <v>71</v>
      </c>
      <c r="R207" t="s">
        <v>45</v>
      </c>
      <c r="S207" t="s">
        <v>53</v>
      </c>
      <c r="T207" t="s">
        <v>33</v>
      </c>
      <c r="U207" t="s">
        <v>104</v>
      </c>
      <c r="V207" t="str">
        <f>IF(B207&lt;=18,"Children",IF(B207&lt;=35,"Young adult",IF(B207&lt;=60,"Adult", "Senior Citizen")))</f>
        <v>Adult</v>
      </c>
      <c r="W207" t="str">
        <f t="shared" si="21"/>
        <v>Jul</v>
      </c>
      <c r="X207">
        <f t="shared" si="22"/>
        <v>7</v>
      </c>
      <c r="Y207" t="str">
        <f t="shared" si="23"/>
        <v>Q3</v>
      </c>
      <c r="Z207">
        <f t="shared" si="24"/>
        <v>2025</v>
      </c>
      <c r="AA207" t="str">
        <f t="shared" si="25"/>
        <v>Friday</v>
      </c>
      <c r="AB207">
        <f t="shared" si="26"/>
        <v>-17</v>
      </c>
      <c r="AC207" t="str">
        <f>IF(OR(D207="Heart Disease",D207="Cancer",D207="Stroke"),"High",IF(OR(D207="Diabetes",D207="Asthma"),"Medium","Low"))</f>
        <v>Low</v>
      </c>
      <c r="AD207" t="str">
        <f t="shared" si="27"/>
        <v>No</v>
      </c>
      <c r="AE207" t="str">
        <f>IF(G207&lt;=2,"Short Stay", IF(G207&lt;=7,"Normal Stay", "Long Stay"))</f>
        <v>Long Stay</v>
      </c>
      <c r="AF207" t="str">
        <f>IF(F207&gt;60000,"Expensive",IF(F207&gt;30000,"Moderate","Affordable"))</f>
        <v>Affordable</v>
      </c>
      <c r="AG207" t="str">
        <f>IF(J207&gt;=4.5,"Excellent",IF(J207&gt;=3.5,"Good",IF(J207&gt;=2.5,"Average","Poor")))</f>
        <v>Average</v>
      </c>
      <c r="AH207" t="str">
        <f>IF(OR(TEXT(N207,"dddd")="Saturday",TEXT(N207,"dddd")="Sunday"),"Weekend","Weekday")</f>
        <v>Weekday</v>
      </c>
    </row>
    <row r="208" spans="1:34" x14ac:dyDescent="0.3">
      <c r="A208">
        <v>210</v>
      </c>
      <c r="B208">
        <v>60</v>
      </c>
      <c r="C208" t="s">
        <v>21</v>
      </c>
      <c r="D208" t="s">
        <v>116</v>
      </c>
      <c r="E208" t="s">
        <v>117</v>
      </c>
      <c r="F208">
        <v>4000</v>
      </c>
      <c r="G208">
        <v>18</v>
      </c>
      <c r="H208" t="s">
        <v>24</v>
      </c>
      <c r="I208" t="s">
        <v>39</v>
      </c>
      <c r="J208">
        <v>4</v>
      </c>
      <c r="K208" t="s">
        <v>178</v>
      </c>
      <c r="L208" t="s">
        <v>539</v>
      </c>
      <c r="M208" t="s">
        <v>540</v>
      </c>
      <c r="N208" s="2">
        <v>45864</v>
      </c>
      <c r="O208" s="2">
        <v>45882</v>
      </c>
      <c r="P208" t="s">
        <v>29</v>
      </c>
      <c r="Q208" t="s">
        <v>44</v>
      </c>
      <c r="R208" t="s">
        <v>45</v>
      </c>
      <c r="S208" t="s">
        <v>110</v>
      </c>
      <c r="T208" t="s">
        <v>33</v>
      </c>
      <c r="U208" t="s">
        <v>46</v>
      </c>
      <c r="V208" t="str">
        <f>IF(B208&lt;=18,"Children",IF(B208&lt;=35,"Young adult",IF(B208&lt;=60,"Adult", "Senior Citizen")))</f>
        <v>Adult</v>
      </c>
      <c r="W208" t="str">
        <f t="shared" si="21"/>
        <v>Jul</v>
      </c>
      <c r="X208">
        <f t="shared" si="22"/>
        <v>7</v>
      </c>
      <c r="Y208" t="str">
        <f t="shared" si="23"/>
        <v>Q3</v>
      </c>
      <c r="Z208">
        <f t="shared" si="24"/>
        <v>2025</v>
      </c>
      <c r="AA208" t="str">
        <f t="shared" si="25"/>
        <v>Saturday</v>
      </c>
      <c r="AB208">
        <f t="shared" si="26"/>
        <v>-18</v>
      </c>
      <c r="AC208" t="str">
        <f>IF(OR(D208="Heart Disease",D208="Cancer",D208="Stroke"),"High",IF(OR(D208="Diabetes",D208="Asthma"),"Medium","Low"))</f>
        <v>Low</v>
      </c>
      <c r="AD208" t="str">
        <f t="shared" si="27"/>
        <v>No</v>
      </c>
      <c r="AE208" t="str">
        <f>IF(G208&lt;=2,"Short Stay", IF(G208&lt;=7,"Normal Stay", "Long Stay"))</f>
        <v>Long Stay</v>
      </c>
      <c r="AF208" t="str">
        <f>IF(F208&gt;60000,"Expensive",IF(F208&gt;30000,"Moderate","Affordable"))</f>
        <v>Affordable</v>
      </c>
      <c r="AG208" t="str">
        <f>IF(J208&gt;=4.5,"Excellent",IF(J208&gt;=3.5,"Good",IF(J208&gt;=2.5,"Average","Poor")))</f>
        <v>Good</v>
      </c>
      <c r="AH208" t="str">
        <f>IF(OR(TEXT(N208,"dddd")="Saturday",TEXT(N208,"dddd")="Sunday"),"Weekend","Weekday")</f>
        <v>Weekend</v>
      </c>
    </row>
    <row r="209" spans="1:34" x14ac:dyDescent="0.3">
      <c r="A209">
        <v>211</v>
      </c>
      <c r="B209">
        <v>48</v>
      </c>
      <c r="C209" t="s">
        <v>21</v>
      </c>
      <c r="D209" t="s">
        <v>22</v>
      </c>
      <c r="E209" t="s">
        <v>23</v>
      </c>
      <c r="F209">
        <v>15000</v>
      </c>
      <c r="G209">
        <v>19</v>
      </c>
      <c r="H209" t="s">
        <v>38</v>
      </c>
      <c r="I209" t="s">
        <v>25</v>
      </c>
      <c r="J209">
        <v>4</v>
      </c>
      <c r="K209" t="s">
        <v>194</v>
      </c>
      <c r="L209" t="s">
        <v>541</v>
      </c>
      <c r="M209" t="s">
        <v>542</v>
      </c>
      <c r="N209" s="2">
        <v>45865</v>
      </c>
      <c r="O209" s="2">
        <v>45884</v>
      </c>
      <c r="P209" t="s">
        <v>29</v>
      </c>
      <c r="Q209" t="s">
        <v>71</v>
      </c>
      <c r="R209" t="s">
        <v>31</v>
      </c>
      <c r="S209" t="s">
        <v>84</v>
      </c>
      <c r="T209" t="s">
        <v>33</v>
      </c>
      <c r="U209" t="s">
        <v>104</v>
      </c>
      <c r="V209" t="str">
        <f>IF(B209&lt;=18,"Children",IF(B209&lt;=35,"Young adult",IF(B209&lt;=60,"Adult", "Senior Citizen")))</f>
        <v>Adult</v>
      </c>
      <c r="W209" t="str">
        <f t="shared" si="21"/>
        <v>Jul</v>
      </c>
      <c r="X209">
        <f t="shared" si="22"/>
        <v>7</v>
      </c>
      <c r="Y209" t="str">
        <f t="shared" si="23"/>
        <v>Q3</v>
      </c>
      <c r="Z209">
        <f t="shared" si="24"/>
        <v>2025</v>
      </c>
      <c r="AA209" t="str">
        <f t="shared" si="25"/>
        <v>Sunday</v>
      </c>
      <c r="AB209">
        <f t="shared" si="26"/>
        <v>-19</v>
      </c>
      <c r="AC209" t="str">
        <f>IF(OR(D209="Heart Disease",D209="Cancer",D209="Stroke"),"High",IF(OR(D209="Diabetes",D209="Asthma"),"Medium","Low"))</f>
        <v>High</v>
      </c>
      <c r="AD209" t="str">
        <f t="shared" si="27"/>
        <v>Yes</v>
      </c>
      <c r="AE209" t="str">
        <f>IF(G209&lt;=2,"Short Stay", IF(G209&lt;=7,"Normal Stay", "Long Stay"))</f>
        <v>Long Stay</v>
      </c>
      <c r="AF209" t="str">
        <f>IF(F209&gt;60000,"Expensive",IF(F209&gt;30000,"Moderate","Affordable"))</f>
        <v>Affordable</v>
      </c>
      <c r="AG209" t="str">
        <f>IF(J209&gt;=4.5,"Excellent",IF(J209&gt;=3.5,"Good",IF(J209&gt;=2.5,"Average","Poor")))</f>
        <v>Good</v>
      </c>
      <c r="AH209" t="str">
        <f>IF(OR(TEXT(N209,"dddd")="Saturday",TEXT(N209,"dddd")="Sunday"),"Weekend","Weekday")</f>
        <v>Weekend</v>
      </c>
    </row>
    <row r="210" spans="1:34" x14ac:dyDescent="0.3">
      <c r="A210">
        <v>212</v>
      </c>
      <c r="B210">
        <v>65</v>
      </c>
      <c r="C210" t="s">
        <v>35</v>
      </c>
      <c r="D210" t="s">
        <v>36</v>
      </c>
      <c r="E210" t="s">
        <v>37</v>
      </c>
      <c r="F210">
        <v>2000</v>
      </c>
      <c r="G210">
        <v>17</v>
      </c>
      <c r="H210" t="s">
        <v>24</v>
      </c>
      <c r="I210" t="s">
        <v>39</v>
      </c>
      <c r="J210">
        <v>3</v>
      </c>
      <c r="K210" t="s">
        <v>345</v>
      </c>
      <c r="L210" t="s">
        <v>543</v>
      </c>
      <c r="M210" t="s">
        <v>544</v>
      </c>
      <c r="N210" s="2">
        <v>45866</v>
      </c>
      <c r="O210" s="2">
        <v>45883</v>
      </c>
      <c r="P210" t="s">
        <v>43</v>
      </c>
      <c r="Q210" t="s">
        <v>44</v>
      </c>
      <c r="R210" t="s">
        <v>45</v>
      </c>
      <c r="S210" t="s">
        <v>53</v>
      </c>
      <c r="T210" t="s">
        <v>33</v>
      </c>
      <c r="U210" t="s">
        <v>46</v>
      </c>
      <c r="V210" t="str">
        <f>IF(B210&lt;=18,"Children",IF(B210&lt;=35,"Young adult",IF(B210&lt;=60,"Adult", "Senior Citizen")))</f>
        <v>Senior Citizen</v>
      </c>
      <c r="W210" t="str">
        <f t="shared" si="21"/>
        <v>Jul</v>
      </c>
      <c r="X210">
        <f t="shared" si="22"/>
        <v>7</v>
      </c>
      <c r="Y210" t="str">
        <f t="shared" si="23"/>
        <v>Q3</v>
      </c>
      <c r="Z210">
        <f t="shared" si="24"/>
        <v>2025</v>
      </c>
      <c r="AA210" t="str">
        <f t="shared" si="25"/>
        <v>Monday</v>
      </c>
      <c r="AB210">
        <f t="shared" si="26"/>
        <v>-17</v>
      </c>
      <c r="AC210" t="str">
        <f>IF(OR(D210="Heart Disease",D210="Cancer",D210="Stroke"),"High",IF(OR(D210="Diabetes",D210="Asthma"),"Medium","Low"))</f>
        <v>Medium</v>
      </c>
      <c r="AD210" t="str">
        <f t="shared" si="27"/>
        <v>No</v>
      </c>
      <c r="AE210" t="str">
        <f>IF(G210&lt;=2,"Short Stay", IF(G210&lt;=7,"Normal Stay", "Long Stay"))</f>
        <v>Long Stay</v>
      </c>
      <c r="AF210" t="str">
        <f>IF(F210&gt;60000,"Expensive",IF(F210&gt;30000,"Moderate","Affordable"))</f>
        <v>Affordable</v>
      </c>
      <c r="AG210" t="str">
        <f>IF(J210&gt;=4.5,"Excellent",IF(J210&gt;=3.5,"Good",IF(J210&gt;=2.5,"Average","Poor")))</f>
        <v>Average</v>
      </c>
      <c r="AH210" t="str">
        <f>IF(OR(TEXT(N210,"dddd")="Saturday",TEXT(N210,"dddd")="Sunday"),"Weekend","Weekday")</f>
        <v>Weekday</v>
      </c>
    </row>
    <row r="211" spans="1:34" x14ac:dyDescent="0.3">
      <c r="A211">
        <v>213</v>
      </c>
      <c r="B211">
        <v>30</v>
      </c>
      <c r="C211" t="s">
        <v>21</v>
      </c>
      <c r="D211" t="s">
        <v>47</v>
      </c>
      <c r="E211" t="s">
        <v>48</v>
      </c>
      <c r="F211">
        <v>500</v>
      </c>
      <c r="G211">
        <v>15</v>
      </c>
      <c r="H211" t="s">
        <v>24</v>
      </c>
      <c r="I211" t="s">
        <v>25</v>
      </c>
      <c r="J211">
        <v>5</v>
      </c>
      <c r="K211" t="s">
        <v>250</v>
      </c>
      <c r="L211" t="s">
        <v>545</v>
      </c>
      <c r="M211" t="s">
        <v>546</v>
      </c>
      <c r="N211" s="2">
        <v>45867</v>
      </c>
      <c r="O211" s="2">
        <v>45882</v>
      </c>
      <c r="P211" t="s">
        <v>29</v>
      </c>
      <c r="Q211" t="s">
        <v>71</v>
      </c>
      <c r="R211" t="s">
        <v>45</v>
      </c>
      <c r="S211" t="s">
        <v>84</v>
      </c>
      <c r="T211" t="s">
        <v>33</v>
      </c>
      <c r="U211" t="s">
        <v>46</v>
      </c>
      <c r="V211" t="str">
        <f>IF(B211&lt;=18,"Children",IF(B211&lt;=35,"Young adult",IF(B211&lt;=60,"Adult", "Senior Citizen")))</f>
        <v>Young adult</v>
      </c>
      <c r="W211" t="str">
        <f t="shared" si="21"/>
        <v>Jul</v>
      </c>
      <c r="X211">
        <f t="shared" si="22"/>
        <v>7</v>
      </c>
      <c r="Y211" t="str">
        <f t="shared" si="23"/>
        <v>Q3</v>
      </c>
      <c r="Z211">
        <f t="shared" si="24"/>
        <v>2025</v>
      </c>
      <c r="AA211" t="str">
        <f t="shared" si="25"/>
        <v>Tuesday</v>
      </c>
      <c r="AB211">
        <f t="shared" si="26"/>
        <v>-15</v>
      </c>
      <c r="AC211" t="str">
        <f>IF(OR(D211="Heart Disease",D211="Cancer",D211="Stroke"),"High",IF(OR(D211="Diabetes",D211="Asthma"),"Medium","Low"))</f>
        <v>Low</v>
      </c>
      <c r="AD211" t="str">
        <f t="shared" si="27"/>
        <v>No</v>
      </c>
      <c r="AE211" t="str">
        <f>IF(G211&lt;=2,"Short Stay", IF(G211&lt;=7,"Normal Stay", "Long Stay"))</f>
        <v>Long Stay</v>
      </c>
      <c r="AF211" t="str">
        <f>IF(F211&gt;60000,"Expensive",IF(F211&gt;30000,"Moderate","Affordable"))</f>
        <v>Affordable</v>
      </c>
      <c r="AG211" t="str">
        <f>IF(J211&gt;=4.5,"Excellent",IF(J211&gt;=3.5,"Good",IF(J211&gt;=2.5,"Average","Poor")))</f>
        <v>Excellent</v>
      </c>
      <c r="AH211" t="str">
        <f>IF(OR(TEXT(N211,"dddd")="Saturday",TEXT(N211,"dddd")="Sunday"),"Weekend","Weekday")</f>
        <v>Weekday</v>
      </c>
    </row>
    <row r="212" spans="1:34" x14ac:dyDescent="0.3">
      <c r="A212">
        <v>214</v>
      </c>
      <c r="B212">
        <v>70</v>
      </c>
      <c r="C212" t="s">
        <v>35</v>
      </c>
      <c r="D212" t="s">
        <v>54</v>
      </c>
      <c r="E212" t="s">
        <v>55</v>
      </c>
      <c r="F212">
        <v>10000</v>
      </c>
      <c r="G212">
        <v>21</v>
      </c>
      <c r="H212" t="s">
        <v>38</v>
      </c>
      <c r="I212" t="s">
        <v>39</v>
      </c>
      <c r="J212">
        <v>2</v>
      </c>
      <c r="K212" t="s">
        <v>26</v>
      </c>
      <c r="L212" t="s">
        <v>547</v>
      </c>
      <c r="M212" t="s">
        <v>548</v>
      </c>
      <c r="N212" s="2">
        <v>45868</v>
      </c>
      <c r="O212" s="2">
        <v>45889</v>
      </c>
      <c r="P212" t="s">
        <v>29</v>
      </c>
      <c r="Q212" t="s">
        <v>30</v>
      </c>
      <c r="R212" t="s">
        <v>59</v>
      </c>
      <c r="S212" t="s">
        <v>53</v>
      </c>
      <c r="T212" t="s">
        <v>33</v>
      </c>
      <c r="U212" t="s">
        <v>34</v>
      </c>
      <c r="V212" t="str">
        <f>IF(B212&lt;=18,"Children",IF(B212&lt;=35,"Young adult",IF(B212&lt;=60,"Adult", "Senior Citizen")))</f>
        <v>Senior Citizen</v>
      </c>
      <c r="W212" t="str">
        <f t="shared" si="21"/>
        <v>Jul</v>
      </c>
      <c r="X212">
        <f t="shared" si="22"/>
        <v>7</v>
      </c>
      <c r="Y212" t="str">
        <f t="shared" si="23"/>
        <v>Q3</v>
      </c>
      <c r="Z212">
        <f t="shared" si="24"/>
        <v>2025</v>
      </c>
      <c r="AA212" t="str">
        <f t="shared" si="25"/>
        <v>Wednesday</v>
      </c>
      <c r="AB212">
        <f t="shared" si="26"/>
        <v>-21</v>
      </c>
      <c r="AC212" t="str">
        <f>IF(OR(D212="Heart Disease",D212="Cancer",D212="Stroke"),"High",IF(OR(D212="Diabetes",D212="Asthma"),"Medium","Low"))</f>
        <v>High</v>
      </c>
      <c r="AD212" t="str">
        <f t="shared" si="27"/>
        <v>Yes</v>
      </c>
      <c r="AE212" t="str">
        <f>IF(G212&lt;=2,"Short Stay", IF(G212&lt;=7,"Normal Stay", "Long Stay"))</f>
        <v>Long Stay</v>
      </c>
      <c r="AF212" t="str">
        <f>IF(F212&gt;60000,"Expensive",IF(F212&gt;30000,"Moderate","Affordable"))</f>
        <v>Affordable</v>
      </c>
      <c r="AG212" t="str">
        <f>IF(J212&gt;=4.5,"Excellent",IF(J212&gt;=3.5,"Good",IF(J212&gt;=2.5,"Average","Poor")))</f>
        <v>Poor</v>
      </c>
      <c r="AH212" t="str">
        <f>IF(OR(TEXT(N212,"dddd")="Saturday",TEXT(N212,"dddd")="Sunday"),"Weekend","Weekday")</f>
        <v>Weekday</v>
      </c>
    </row>
    <row r="213" spans="1:34" x14ac:dyDescent="0.3">
      <c r="A213">
        <v>215</v>
      </c>
      <c r="B213">
        <v>55</v>
      </c>
      <c r="C213" t="s">
        <v>21</v>
      </c>
      <c r="D213" t="s">
        <v>60</v>
      </c>
      <c r="E213" t="s">
        <v>61</v>
      </c>
      <c r="F213">
        <v>25000</v>
      </c>
      <c r="G213">
        <v>24</v>
      </c>
      <c r="H213" t="s">
        <v>24</v>
      </c>
      <c r="I213" t="s">
        <v>25</v>
      </c>
      <c r="J213">
        <v>4</v>
      </c>
      <c r="K213" t="s">
        <v>81</v>
      </c>
      <c r="L213" t="s">
        <v>549</v>
      </c>
      <c r="M213" t="s">
        <v>550</v>
      </c>
      <c r="N213" s="2">
        <v>45869</v>
      </c>
      <c r="O213" s="2">
        <v>45893</v>
      </c>
      <c r="P213" t="s">
        <v>43</v>
      </c>
      <c r="Q213" t="s">
        <v>52</v>
      </c>
      <c r="R213" t="s">
        <v>65</v>
      </c>
      <c r="S213" t="s">
        <v>110</v>
      </c>
      <c r="T213" t="s">
        <v>33</v>
      </c>
      <c r="U213" t="s">
        <v>34</v>
      </c>
      <c r="V213" t="str">
        <f>IF(B213&lt;=18,"Children",IF(B213&lt;=35,"Young adult",IF(B213&lt;=60,"Adult", "Senior Citizen")))</f>
        <v>Adult</v>
      </c>
      <c r="W213" t="str">
        <f t="shared" si="21"/>
        <v>Jul</v>
      </c>
      <c r="X213">
        <f t="shared" si="22"/>
        <v>7</v>
      </c>
      <c r="Y213" t="str">
        <f t="shared" si="23"/>
        <v>Q3</v>
      </c>
      <c r="Z213">
        <f t="shared" si="24"/>
        <v>2025</v>
      </c>
      <c r="AA213" t="str">
        <f t="shared" si="25"/>
        <v>Thursday</v>
      </c>
      <c r="AB213">
        <f t="shared" si="26"/>
        <v>-24</v>
      </c>
      <c r="AC213" t="str">
        <f>IF(OR(D213="Heart Disease",D213="Cancer",D213="Stroke"),"High",IF(OR(D213="Diabetes",D213="Asthma"),"Medium","Low"))</f>
        <v>High</v>
      </c>
      <c r="AD213" t="str">
        <f t="shared" si="27"/>
        <v>Yes</v>
      </c>
      <c r="AE213" t="str">
        <f>IF(G213&lt;=2,"Short Stay", IF(G213&lt;=7,"Normal Stay", "Long Stay"))</f>
        <v>Long Stay</v>
      </c>
      <c r="AF213" t="str">
        <f>IF(F213&gt;60000,"Expensive",IF(F213&gt;30000,"Moderate","Affordable"))</f>
        <v>Affordable</v>
      </c>
      <c r="AG213" t="str">
        <f>IF(J213&gt;=4.5,"Excellent",IF(J213&gt;=3.5,"Good",IF(J213&gt;=2.5,"Average","Poor")))</f>
        <v>Good</v>
      </c>
      <c r="AH213" t="str">
        <f>IF(OR(TEXT(N213,"dddd")="Saturday",TEXT(N213,"dddd")="Sunday"),"Weekend","Weekday")</f>
        <v>Weekday</v>
      </c>
    </row>
    <row r="214" spans="1:34" x14ac:dyDescent="0.3">
      <c r="A214">
        <v>216</v>
      </c>
      <c r="B214">
        <v>68</v>
      </c>
      <c r="C214" t="s">
        <v>35</v>
      </c>
      <c r="D214" t="s">
        <v>66</v>
      </c>
      <c r="E214" t="s">
        <v>67</v>
      </c>
      <c r="F214">
        <v>1000</v>
      </c>
      <c r="G214">
        <v>16</v>
      </c>
      <c r="H214" t="s">
        <v>24</v>
      </c>
      <c r="I214" t="s">
        <v>39</v>
      </c>
      <c r="J214">
        <v>4</v>
      </c>
      <c r="K214" t="s">
        <v>218</v>
      </c>
      <c r="L214" t="s">
        <v>551</v>
      </c>
      <c r="M214" t="s">
        <v>552</v>
      </c>
      <c r="N214" s="2">
        <v>45870</v>
      </c>
      <c r="O214" s="2">
        <v>45886</v>
      </c>
      <c r="P214" t="s">
        <v>29</v>
      </c>
      <c r="Q214" t="s">
        <v>71</v>
      </c>
      <c r="R214" t="s">
        <v>45</v>
      </c>
      <c r="S214" t="s">
        <v>53</v>
      </c>
      <c r="T214" t="s">
        <v>33</v>
      </c>
      <c r="U214" t="s">
        <v>46</v>
      </c>
      <c r="V214" t="str">
        <f>IF(B214&lt;=18,"Children",IF(B214&lt;=35,"Young adult",IF(B214&lt;=60,"Adult", "Senior Citizen")))</f>
        <v>Senior Citizen</v>
      </c>
      <c r="W214" t="str">
        <f t="shared" si="21"/>
        <v>Aug</v>
      </c>
      <c r="X214">
        <f t="shared" si="22"/>
        <v>8</v>
      </c>
      <c r="Y214" t="str">
        <f t="shared" si="23"/>
        <v>Q3</v>
      </c>
      <c r="Z214">
        <f t="shared" si="24"/>
        <v>2025</v>
      </c>
      <c r="AA214" t="str">
        <f t="shared" si="25"/>
        <v>Friday</v>
      </c>
      <c r="AB214">
        <f t="shared" si="26"/>
        <v>-16</v>
      </c>
      <c r="AC214" t="str">
        <f>IF(OR(D214="Heart Disease",D214="Cancer",D214="Stroke"),"High",IF(OR(D214="Diabetes",D214="Asthma"),"Medium","Low"))</f>
        <v>Low</v>
      </c>
      <c r="AD214" t="str">
        <f t="shared" si="27"/>
        <v>No</v>
      </c>
      <c r="AE214" t="str">
        <f>IF(G214&lt;=2,"Short Stay", IF(G214&lt;=7,"Normal Stay", "Long Stay"))</f>
        <v>Long Stay</v>
      </c>
      <c r="AF214" t="str">
        <f>IF(F214&gt;60000,"Expensive",IF(F214&gt;30000,"Moderate","Affordable"))</f>
        <v>Affordable</v>
      </c>
      <c r="AG214" t="str">
        <f>IF(J214&gt;=4.5,"Excellent",IF(J214&gt;=3.5,"Good",IF(J214&gt;=2.5,"Average","Poor")))</f>
        <v>Good</v>
      </c>
      <c r="AH214" t="str">
        <f>IF(OR(TEXT(N214,"dddd")="Saturday",TEXT(N214,"dddd")="Sunday"),"Weekend","Weekday")</f>
        <v>Weekday</v>
      </c>
    </row>
    <row r="215" spans="1:34" x14ac:dyDescent="0.3">
      <c r="A215">
        <v>217</v>
      </c>
      <c r="B215">
        <v>45</v>
      </c>
      <c r="C215" t="s">
        <v>21</v>
      </c>
      <c r="D215" t="s">
        <v>73</v>
      </c>
      <c r="E215" t="s">
        <v>74</v>
      </c>
      <c r="F215">
        <v>8000</v>
      </c>
      <c r="G215">
        <v>18</v>
      </c>
      <c r="H215" t="s">
        <v>24</v>
      </c>
      <c r="I215" t="s">
        <v>25</v>
      </c>
      <c r="J215">
        <v>3</v>
      </c>
      <c r="K215" t="s">
        <v>336</v>
      </c>
      <c r="L215" t="s">
        <v>553</v>
      </c>
      <c r="M215" t="s">
        <v>554</v>
      </c>
      <c r="N215" s="2">
        <v>45871</v>
      </c>
      <c r="O215" s="2">
        <v>45889</v>
      </c>
      <c r="P215" t="s">
        <v>29</v>
      </c>
      <c r="Q215" t="s">
        <v>30</v>
      </c>
      <c r="R215" t="s">
        <v>45</v>
      </c>
      <c r="S215" t="s">
        <v>53</v>
      </c>
      <c r="T215" t="s">
        <v>33</v>
      </c>
      <c r="U215" t="s">
        <v>34</v>
      </c>
      <c r="V215" t="str">
        <f>IF(B215&lt;=18,"Children",IF(B215&lt;=35,"Young adult",IF(B215&lt;=60,"Adult", "Senior Citizen")))</f>
        <v>Adult</v>
      </c>
      <c r="W215" t="str">
        <f t="shared" si="21"/>
        <v>Aug</v>
      </c>
      <c r="X215">
        <f t="shared" si="22"/>
        <v>8</v>
      </c>
      <c r="Y215" t="str">
        <f t="shared" si="23"/>
        <v>Q3</v>
      </c>
      <c r="Z215">
        <f t="shared" si="24"/>
        <v>2025</v>
      </c>
      <c r="AA215" t="str">
        <f t="shared" si="25"/>
        <v>Saturday</v>
      </c>
      <c r="AB215">
        <f t="shared" si="26"/>
        <v>-18</v>
      </c>
      <c r="AC215" t="str">
        <f>IF(OR(D215="Heart Disease",D215="Cancer",D215="Stroke"),"High",IF(OR(D215="Diabetes",D215="Asthma"),"Medium","Low"))</f>
        <v>Low</v>
      </c>
      <c r="AD215" t="str">
        <f t="shared" si="27"/>
        <v>No</v>
      </c>
      <c r="AE215" t="str">
        <f>IF(G215&lt;=2,"Short Stay", IF(G215&lt;=7,"Normal Stay", "Long Stay"))</f>
        <v>Long Stay</v>
      </c>
      <c r="AF215" t="str">
        <f>IF(F215&gt;60000,"Expensive",IF(F215&gt;30000,"Moderate","Affordable"))</f>
        <v>Affordable</v>
      </c>
      <c r="AG215" t="str">
        <f>IF(J215&gt;=4.5,"Excellent",IF(J215&gt;=3.5,"Good",IF(J215&gt;=2.5,"Average","Poor")))</f>
        <v>Average</v>
      </c>
      <c r="AH215" t="str">
        <f>IF(OR(TEXT(N215,"dddd")="Saturday",TEXT(N215,"dddd")="Sunday"),"Weekend","Weekday")</f>
        <v>Weekend</v>
      </c>
    </row>
    <row r="216" spans="1:34" x14ac:dyDescent="0.3">
      <c r="A216">
        <v>218</v>
      </c>
      <c r="B216">
        <v>40</v>
      </c>
      <c r="C216" t="s">
        <v>35</v>
      </c>
      <c r="D216" t="s">
        <v>79</v>
      </c>
      <c r="E216" t="s">
        <v>80</v>
      </c>
      <c r="F216">
        <v>3000</v>
      </c>
      <c r="G216">
        <v>20</v>
      </c>
      <c r="H216" t="s">
        <v>24</v>
      </c>
      <c r="I216" t="s">
        <v>25</v>
      </c>
      <c r="J216">
        <v>4</v>
      </c>
      <c r="K216" t="s">
        <v>172</v>
      </c>
      <c r="L216" t="s">
        <v>555</v>
      </c>
      <c r="M216" t="s">
        <v>556</v>
      </c>
      <c r="N216" s="2">
        <v>45872</v>
      </c>
      <c r="O216" s="2">
        <v>45892</v>
      </c>
      <c r="P216" t="s">
        <v>43</v>
      </c>
      <c r="Q216" t="s">
        <v>71</v>
      </c>
      <c r="R216" t="s">
        <v>45</v>
      </c>
      <c r="S216" t="s">
        <v>53</v>
      </c>
      <c r="T216" t="s">
        <v>33</v>
      </c>
      <c r="U216" t="s">
        <v>46</v>
      </c>
      <c r="V216" t="str">
        <f>IF(B216&lt;=18,"Children",IF(B216&lt;=35,"Young adult",IF(B216&lt;=60,"Adult", "Senior Citizen")))</f>
        <v>Adult</v>
      </c>
      <c r="W216" t="str">
        <f t="shared" si="21"/>
        <v>Aug</v>
      </c>
      <c r="X216">
        <f t="shared" si="22"/>
        <v>8</v>
      </c>
      <c r="Y216" t="str">
        <f t="shared" si="23"/>
        <v>Q3</v>
      </c>
      <c r="Z216">
        <f t="shared" si="24"/>
        <v>2025</v>
      </c>
      <c r="AA216" t="str">
        <f t="shared" si="25"/>
        <v>Sunday</v>
      </c>
      <c r="AB216">
        <f t="shared" si="26"/>
        <v>-20</v>
      </c>
      <c r="AC216" t="str">
        <f>IF(OR(D216="Heart Disease",D216="Cancer",D216="Stroke"),"High",IF(OR(D216="Diabetes",D216="Asthma"),"Medium","Low"))</f>
        <v>Low</v>
      </c>
      <c r="AD216" t="str">
        <f t="shared" si="27"/>
        <v>No</v>
      </c>
      <c r="AE216" t="str">
        <f>IF(G216&lt;=2,"Short Stay", IF(G216&lt;=7,"Normal Stay", "Long Stay"))</f>
        <v>Long Stay</v>
      </c>
      <c r="AF216" t="str">
        <f>IF(F216&gt;60000,"Expensive",IF(F216&gt;30000,"Moderate","Affordable"))</f>
        <v>Affordable</v>
      </c>
      <c r="AG216" t="str">
        <f>IF(J216&gt;=4.5,"Excellent",IF(J216&gt;=3.5,"Good",IF(J216&gt;=2.5,"Average","Poor")))</f>
        <v>Good</v>
      </c>
      <c r="AH216" t="str">
        <f>IF(OR(TEXT(N216,"dddd")="Saturday",TEXT(N216,"dddd")="Sunday"),"Weekend","Weekday")</f>
        <v>Weekend</v>
      </c>
    </row>
    <row r="217" spans="1:34" x14ac:dyDescent="0.3">
      <c r="A217">
        <v>219</v>
      </c>
      <c r="B217">
        <v>78</v>
      </c>
      <c r="C217" t="s">
        <v>21</v>
      </c>
      <c r="D217" t="s">
        <v>85</v>
      </c>
      <c r="E217" t="s">
        <v>86</v>
      </c>
      <c r="F217">
        <v>18000</v>
      </c>
      <c r="G217">
        <v>22</v>
      </c>
      <c r="H217" t="s">
        <v>38</v>
      </c>
      <c r="I217" t="s">
        <v>39</v>
      </c>
      <c r="J217">
        <v>2</v>
      </c>
      <c r="K217" t="s">
        <v>245</v>
      </c>
      <c r="L217" t="s">
        <v>557</v>
      </c>
      <c r="M217" t="s">
        <v>558</v>
      </c>
      <c r="N217" s="2">
        <v>45873</v>
      </c>
      <c r="O217" s="2">
        <v>45895</v>
      </c>
      <c r="P217" t="s">
        <v>43</v>
      </c>
      <c r="Q217" t="s">
        <v>52</v>
      </c>
      <c r="R217" t="s">
        <v>45</v>
      </c>
      <c r="S217" t="s">
        <v>110</v>
      </c>
      <c r="T217" t="s">
        <v>33</v>
      </c>
      <c r="U217" t="s">
        <v>104</v>
      </c>
      <c r="V217" t="str">
        <f>IF(B217&lt;=18,"Children",IF(B217&lt;=35,"Young adult",IF(B217&lt;=60,"Adult", "Senior Citizen")))</f>
        <v>Senior Citizen</v>
      </c>
      <c r="W217" t="str">
        <f t="shared" si="21"/>
        <v>Aug</v>
      </c>
      <c r="X217">
        <f t="shared" si="22"/>
        <v>8</v>
      </c>
      <c r="Y217" t="str">
        <f t="shared" si="23"/>
        <v>Q3</v>
      </c>
      <c r="Z217">
        <f t="shared" si="24"/>
        <v>2025</v>
      </c>
      <c r="AA217" t="str">
        <f t="shared" si="25"/>
        <v>Monday</v>
      </c>
      <c r="AB217">
        <f t="shared" si="26"/>
        <v>-22</v>
      </c>
      <c r="AC217" t="str">
        <f>IF(OR(D217="Heart Disease",D217="Cancer",D217="Stroke"),"High",IF(OR(D217="Diabetes",D217="Asthma"),"Medium","Low"))</f>
        <v>Low</v>
      </c>
      <c r="AD217" t="str">
        <f t="shared" si="27"/>
        <v>No</v>
      </c>
      <c r="AE217" t="str">
        <f>IF(G217&lt;=2,"Short Stay", IF(G217&lt;=7,"Normal Stay", "Long Stay"))</f>
        <v>Long Stay</v>
      </c>
      <c r="AF217" t="str">
        <f>IF(F217&gt;60000,"Expensive",IF(F217&gt;30000,"Moderate","Affordable"))</f>
        <v>Affordable</v>
      </c>
      <c r="AG217" t="str">
        <f>IF(J217&gt;=4.5,"Excellent",IF(J217&gt;=3.5,"Good",IF(J217&gt;=2.5,"Average","Poor")))</f>
        <v>Poor</v>
      </c>
      <c r="AH217" t="str">
        <f>IF(OR(TEXT(N217,"dddd")="Saturday",TEXT(N217,"dddd")="Sunday"),"Weekend","Weekday")</f>
        <v>Weekday</v>
      </c>
    </row>
    <row r="218" spans="1:34" x14ac:dyDescent="0.3">
      <c r="A218">
        <v>220</v>
      </c>
      <c r="B218">
        <v>25</v>
      </c>
      <c r="C218" t="s">
        <v>35</v>
      </c>
      <c r="D218" t="s">
        <v>89</v>
      </c>
      <c r="E218" t="s">
        <v>90</v>
      </c>
      <c r="F218">
        <v>100</v>
      </c>
      <c r="G218">
        <v>15</v>
      </c>
      <c r="H218" t="s">
        <v>24</v>
      </c>
      <c r="I218" t="s">
        <v>25</v>
      </c>
      <c r="J218">
        <v>5</v>
      </c>
      <c r="K218" t="s">
        <v>329</v>
      </c>
      <c r="L218" t="s">
        <v>559</v>
      </c>
      <c r="M218" t="s">
        <v>560</v>
      </c>
      <c r="N218" s="2">
        <v>45874</v>
      </c>
      <c r="O218" s="2">
        <v>45889</v>
      </c>
      <c r="P218" t="s">
        <v>43</v>
      </c>
      <c r="Q218" t="s">
        <v>71</v>
      </c>
      <c r="R218" t="s">
        <v>45</v>
      </c>
      <c r="S218" t="s">
        <v>32</v>
      </c>
      <c r="T218" t="s">
        <v>33</v>
      </c>
      <c r="U218" t="s">
        <v>46</v>
      </c>
      <c r="V218" t="str">
        <f>IF(B218&lt;=18,"Children",IF(B218&lt;=35,"Young adult",IF(B218&lt;=60,"Adult", "Senior Citizen")))</f>
        <v>Young adult</v>
      </c>
      <c r="W218" t="str">
        <f t="shared" si="21"/>
        <v>Aug</v>
      </c>
      <c r="X218">
        <f t="shared" si="22"/>
        <v>8</v>
      </c>
      <c r="Y218" t="str">
        <f t="shared" si="23"/>
        <v>Q3</v>
      </c>
      <c r="Z218">
        <f t="shared" si="24"/>
        <v>2025</v>
      </c>
      <c r="AA218" t="str">
        <f t="shared" si="25"/>
        <v>Tuesday</v>
      </c>
      <c r="AB218">
        <f t="shared" si="26"/>
        <v>-15</v>
      </c>
      <c r="AC218" t="str">
        <f>IF(OR(D218="Heart Disease",D218="Cancer",D218="Stroke"),"High",IF(OR(D218="Diabetes",D218="Asthma"),"Medium","Low"))</f>
        <v>Low</v>
      </c>
      <c r="AD218" t="str">
        <f t="shared" si="27"/>
        <v>No</v>
      </c>
      <c r="AE218" t="str">
        <f>IF(G218&lt;=2,"Short Stay", IF(G218&lt;=7,"Normal Stay", "Long Stay"))</f>
        <v>Long Stay</v>
      </c>
      <c r="AF218" t="str">
        <f>IF(F218&gt;60000,"Expensive",IF(F218&gt;30000,"Moderate","Affordable"))</f>
        <v>Affordable</v>
      </c>
      <c r="AG218" t="str">
        <f>IF(J218&gt;=4.5,"Excellent",IF(J218&gt;=3.5,"Good",IF(J218&gt;=2.5,"Average","Poor")))</f>
        <v>Excellent</v>
      </c>
      <c r="AH218" t="str">
        <f>IF(OR(TEXT(N218,"dddd")="Saturday",TEXT(N218,"dddd")="Sunday"),"Weekend","Weekday")</f>
        <v>Weekday</v>
      </c>
    </row>
    <row r="219" spans="1:34" x14ac:dyDescent="0.3">
      <c r="A219">
        <v>221</v>
      </c>
      <c r="B219">
        <v>52</v>
      </c>
      <c r="C219" t="s">
        <v>21</v>
      </c>
      <c r="D219" t="s">
        <v>94</v>
      </c>
      <c r="E219" t="s">
        <v>95</v>
      </c>
      <c r="F219">
        <v>800</v>
      </c>
      <c r="G219">
        <v>16</v>
      </c>
      <c r="H219" t="s">
        <v>24</v>
      </c>
      <c r="I219" t="s">
        <v>39</v>
      </c>
      <c r="J219">
        <v>4</v>
      </c>
      <c r="K219" t="s">
        <v>203</v>
      </c>
      <c r="L219" t="s">
        <v>561</v>
      </c>
      <c r="M219" t="s">
        <v>562</v>
      </c>
      <c r="N219" s="2">
        <v>45875</v>
      </c>
      <c r="O219" s="2">
        <v>45891</v>
      </c>
      <c r="P219" t="s">
        <v>29</v>
      </c>
      <c r="Q219" t="s">
        <v>44</v>
      </c>
      <c r="R219" t="s">
        <v>45</v>
      </c>
      <c r="S219" t="s">
        <v>84</v>
      </c>
      <c r="T219" t="s">
        <v>33</v>
      </c>
      <c r="U219" t="s">
        <v>46</v>
      </c>
      <c r="V219" t="str">
        <f>IF(B219&lt;=18,"Children",IF(B219&lt;=35,"Young adult",IF(B219&lt;=60,"Adult", "Senior Citizen")))</f>
        <v>Adult</v>
      </c>
      <c r="W219" t="str">
        <f t="shared" si="21"/>
        <v>Aug</v>
      </c>
      <c r="X219">
        <f t="shared" si="22"/>
        <v>8</v>
      </c>
      <c r="Y219" t="str">
        <f t="shared" si="23"/>
        <v>Q3</v>
      </c>
      <c r="Z219">
        <f t="shared" si="24"/>
        <v>2025</v>
      </c>
      <c r="AA219" t="str">
        <f t="shared" si="25"/>
        <v>Wednesday</v>
      </c>
      <c r="AB219">
        <f t="shared" si="26"/>
        <v>-16</v>
      </c>
      <c r="AC219" t="str">
        <f>IF(OR(D219="Heart Disease",D219="Cancer",D219="Stroke"),"High",IF(OR(D219="Diabetes",D219="Asthma"),"Medium","Low"))</f>
        <v>Low</v>
      </c>
      <c r="AD219" t="str">
        <f t="shared" si="27"/>
        <v>No</v>
      </c>
      <c r="AE219" t="str">
        <f>IF(G219&lt;=2,"Short Stay", IF(G219&lt;=7,"Normal Stay", "Long Stay"))</f>
        <v>Long Stay</v>
      </c>
      <c r="AF219" t="str">
        <f>IF(F219&gt;60000,"Expensive",IF(F219&gt;30000,"Moderate","Affordable"))</f>
        <v>Affordable</v>
      </c>
      <c r="AG219" t="str">
        <f>IF(J219&gt;=4.5,"Excellent",IF(J219&gt;=3.5,"Good",IF(J219&gt;=2.5,"Average","Poor")))</f>
        <v>Good</v>
      </c>
      <c r="AH219" t="str">
        <f>IF(OR(TEXT(N219,"dddd")="Saturday",TEXT(N219,"dddd")="Sunday"),"Weekend","Weekday")</f>
        <v>Weekday</v>
      </c>
    </row>
    <row r="220" spans="1:34" x14ac:dyDescent="0.3">
      <c r="A220">
        <v>222</v>
      </c>
      <c r="B220">
        <v>58</v>
      </c>
      <c r="C220" t="s">
        <v>35</v>
      </c>
      <c r="D220" t="s">
        <v>99</v>
      </c>
      <c r="E220" t="s">
        <v>100</v>
      </c>
      <c r="F220">
        <v>20000</v>
      </c>
      <c r="G220">
        <v>23</v>
      </c>
      <c r="H220" t="s">
        <v>24</v>
      </c>
      <c r="I220" t="s">
        <v>25</v>
      </c>
      <c r="J220">
        <v>3</v>
      </c>
      <c r="K220" t="s">
        <v>178</v>
      </c>
      <c r="L220" t="s">
        <v>563</v>
      </c>
      <c r="M220" t="s">
        <v>564</v>
      </c>
      <c r="N220" s="2">
        <v>45876</v>
      </c>
      <c r="O220" s="2">
        <v>45899</v>
      </c>
      <c r="P220" t="s">
        <v>29</v>
      </c>
      <c r="Q220" t="s">
        <v>71</v>
      </c>
      <c r="R220" t="s">
        <v>45</v>
      </c>
      <c r="S220" t="s">
        <v>32</v>
      </c>
      <c r="T220" t="s">
        <v>33</v>
      </c>
      <c r="U220" t="s">
        <v>34</v>
      </c>
      <c r="V220" t="str">
        <f>IF(B220&lt;=18,"Children",IF(B220&lt;=35,"Young adult",IF(B220&lt;=60,"Adult", "Senior Citizen")))</f>
        <v>Adult</v>
      </c>
      <c r="W220" t="str">
        <f t="shared" si="21"/>
        <v>Aug</v>
      </c>
      <c r="X220">
        <f t="shared" si="22"/>
        <v>8</v>
      </c>
      <c r="Y220" t="str">
        <f t="shared" si="23"/>
        <v>Q3</v>
      </c>
      <c r="Z220">
        <f t="shared" si="24"/>
        <v>2025</v>
      </c>
      <c r="AA220" t="str">
        <f t="shared" si="25"/>
        <v>Thursday</v>
      </c>
      <c r="AB220">
        <f t="shared" si="26"/>
        <v>-23</v>
      </c>
      <c r="AC220" t="str">
        <f>IF(OR(D220="Heart Disease",D220="Cancer",D220="Stroke"),"High",IF(OR(D220="Diabetes",D220="Asthma"),"Medium","Low"))</f>
        <v>Low</v>
      </c>
      <c r="AD220" t="str">
        <f t="shared" si="27"/>
        <v>No</v>
      </c>
      <c r="AE220" t="str">
        <f>IF(G220&lt;=2,"Short Stay", IF(G220&lt;=7,"Normal Stay", "Long Stay"))</f>
        <v>Long Stay</v>
      </c>
      <c r="AF220" t="str">
        <f>IF(F220&gt;60000,"Expensive",IF(F220&gt;30000,"Moderate","Affordable"))</f>
        <v>Affordable</v>
      </c>
      <c r="AG220" t="str">
        <f>IF(J220&gt;=4.5,"Excellent",IF(J220&gt;=3.5,"Good",IF(J220&gt;=2.5,"Average","Poor")))</f>
        <v>Average</v>
      </c>
      <c r="AH220" t="str">
        <f>IF(OR(TEXT(N220,"dddd")="Saturday",TEXT(N220,"dddd")="Sunday"),"Weekend","Weekday")</f>
        <v>Weekday</v>
      </c>
    </row>
    <row r="221" spans="1:34" x14ac:dyDescent="0.3">
      <c r="A221">
        <v>223</v>
      </c>
      <c r="B221">
        <v>32</v>
      </c>
      <c r="C221" t="s">
        <v>21</v>
      </c>
      <c r="D221" t="s">
        <v>105</v>
      </c>
      <c r="E221" t="s">
        <v>106</v>
      </c>
      <c r="F221">
        <v>12000</v>
      </c>
      <c r="G221">
        <v>17</v>
      </c>
      <c r="H221" t="s">
        <v>24</v>
      </c>
      <c r="I221" t="s">
        <v>25</v>
      </c>
      <c r="J221">
        <v>4</v>
      </c>
      <c r="K221" t="s">
        <v>187</v>
      </c>
      <c r="L221" t="s">
        <v>565</v>
      </c>
      <c r="M221" t="s">
        <v>566</v>
      </c>
      <c r="N221" s="2">
        <v>45877</v>
      </c>
      <c r="O221" s="2">
        <v>45894</v>
      </c>
      <c r="P221" t="s">
        <v>29</v>
      </c>
      <c r="Q221" t="s">
        <v>30</v>
      </c>
      <c r="R221" t="s">
        <v>45</v>
      </c>
      <c r="S221" t="s">
        <v>77</v>
      </c>
      <c r="T221" t="s">
        <v>33</v>
      </c>
      <c r="U221" t="s">
        <v>46</v>
      </c>
      <c r="V221" t="str">
        <f>IF(B221&lt;=18,"Children",IF(B221&lt;=35,"Young adult",IF(B221&lt;=60,"Adult", "Senior Citizen")))</f>
        <v>Young adult</v>
      </c>
      <c r="W221" t="str">
        <f t="shared" si="21"/>
        <v>Aug</v>
      </c>
      <c r="X221">
        <f t="shared" si="22"/>
        <v>8</v>
      </c>
      <c r="Y221" t="str">
        <f t="shared" si="23"/>
        <v>Q3</v>
      </c>
      <c r="Z221">
        <f t="shared" si="24"/>
        <v>2025</v>
      </c>
      <c r="AA221" t="str">
        <f t="shared" si="25"/>
        <v>Friday</v>
      </c>
      <c r="AB221">
        <f t="shared" si="26"/>
        <v>-17</v>
      </c>
      <c r="AC221" t="str">
        <f>IF(OR(D221="Heart Disease",D221="Cancer",D221="Stroke"),"High",IF(OR(D221="Diabetes",D221="Asthma"),"Medium","Low"))</f>
        <v>Low</v>
      </c>
      <c r="AD221" t="str">
        <f t="shared" si="27"/>
        <v>No</v>
      </c>
      <c r="AE221" t="str">
        <f>IF(G221&lt;=2,"Short Stay", IF(G221&lt;=7,"Normal Stay", "Long Stay"))</f>
        <v>Long Stay</v>
      </c>
      <c r="AF221" t="str">
        <f>IF(F221&gt;60000,"Expensive",IF(F221&gt;30000,"Moderate","Affordable"))</f>
        <v>Affordable</v>
      </c>
      <c r="AG221" t="str">
        <f>IF(J221&gt;=4.5,"Excellent",IF(J221&gt;=3.5,"Good",IF(J221&gt;=2.5,"Average","Poor")))</f>
        <v>Good</v>
      </c>
      <c r="AH221" t="str">
        <f>IF(OR(TEXT(N221,"dddd")="Saturday",TEXT(N221,"dddd")="Sunday"),"Weekend","Weekday")</f>
        <v>Weekday</v>
      </c>
    </row>
    <row r="222" spans="1:34" x14ac:dyDescent="0.3">
      <c r="A222">
        <v>224</v>
      </c>
      <c r="B222">
        <v>55</v>
      </c>
      <c r="C222" t="s">
        <v>35</v>
      </c>
      <c r="D222" t="s">
        <v>111</v>
      </c>
      <c r="E222" t="s">
        <v>112</v>
      </c>
      <c r="F222">
        <v>6000</v>
      </c>
      <c r="G222">
        <v>18</v>
      </c>
      <c r="H222" t="s">
        <v>24</v>
      </c>
      <c r="I222" t="s">
        <v>25</v>
      </c>
      <c r="J222">
        <v>3</v>
      </c>
      <c r="K222" t="s">
        <v>194</v>
      </c>
      <c r="L222" t="s">
        <v>567</v>
      </c>
      <c r="M222" t="s">
        <v>568</v>
      </c>
      <c r="N222" s="2">
        <v>45878</v>
      </c>
      <c r="O222" s="2">
        <v>45896</v>
      </c>
      <c r="P222" t="s">
        <v>29</v>
      </c>
      <c r="Q222" t="s">
        <v>139</v>
      </c>
      <c r="R222" t="s">
        <v>45</v>
      </c>
      <c r="S222" t="s">
        <v>77</v>
      </c>
      <c r="T222" t="s">
        <v>33</v>
      </c>
      <c r="U222" t="s">
        <v>34</v>
      </c>
      <c r="V222" t="str">
        <f>IF(B222&lt;=18,"Children",IF(B222&lt;=35,"Young adult",IF(B222&lt;=60,"Adult", "Senior Citizen")))</f>
        <v>Adult</v>
      </c>
      <c r="W222" t="str">
        <f t="shared" si="21"/>
        <v>Aug</v>
      </c>
      <c r="X222">
        <f t="shared" si="22"/>
        <v>8</v>
      </c>
      <c r="Y222" t="str">
        <f t="shared" si="23"/>
        <v>Q3</v>
      </c>
      <c r="Z222">
        <f t="shared" si="24"/>
        <v>2025</v>
      </c>
      <c r="AA222" t="str">
        <f t="shared" si="25"/>
        <v>Saturday</v>
      </c>
      <c r="AB222">
        <f t="shared" si="26"/>
        <v>-18</v>
      </c>
      <c r="AC222" t="str">
        <f>IF(OR(D222="Heart Disease",D222="Cancer",D222="Stroke"),"High",IF(OR(D222="Diabetes",D222="Asthma"),"Medium","Low"))</f>
        <v>Low</v>
      </c>
      <c r="AD222" t="str">
        <f t="shared" si="27"/>
        <v>No</v>
      </c>
      <c r="AE222" t="str">
        <f>IF(G222&lt;=2,"Short Stay", IF(G222&lt;=7,"Normal Stay", "Long Stay"))</f>
        <v>Long Stay</v>
      </c>
      <c r="AF222" t="str">
        <f>IF(F222&gt;60000,"Expensive",IF(F222&gt;30000,"Moderate","Affordable"))</f>
        <v>Affordable</v>
      </c>
      <c r="AG222" t="str">
        <f>IF(J222&gt;=4.5,"Excellent",IF(J222&gt;=3.5,"Good",IF(J222&gt;=2.5,"Average","Poor")))</f>
        <v>Average</v>
      </c>
      <c r="AH222" t="str">
        <f>IF(OR(TEXT(N222,"dddd")="Saturday",TEXT(N222,"dddd")="Sunday"),"Weekend","Weekday")</f>
        <v>Weekend</v>
      </c>
    </row>
    <row r="223" spans="1:34" x14ac:dyDescent="0.3">
      <c r="A223">
        <v>225</v>
      </c>
      <c r="B223">
        <v>65</v>
      </c>
      <c r="C223" t="s">
        <v>21</v>
      </c>
      <c r="D223" t="s">
        <v>116</v>
      </c>
      <c r="E223" t="s">
        <v>117</v>
      </c>
      <c r="F223">
        <v>4000</v>
      </c>
      <c r="G223">
        <v>19</v>
      </c>
      <c r="H223" t="s">
        <v>24</v>
      </c>
      <c r="I223" t="s">
        <v>39</v>
      </c>
      <c r="J223">
        <v>4</v>
      </c>
      <c r="K223" t="s">
        <v>128</v>
      </c>
      <c r="L223" t="s">
        <v>569</v>
      </c>
      <c r="M223" t="s">
        <v>570</v>
      </c>
      <c r="N223" s="2">
        <v>45879</v>
      </c>
      <c r="O223" s="2">
        <v>45898</v>
      </c>
      <c r="P223" t="s">
        <v>43</v>
      </c>
      <c r="Q223" t="s">
        <v>139</v>
      </c>
      <c r="R223" t="s">
        <v>45</v>
      </c>
      <c r="S223" t="s">
        <v>32</v>
      </c>
      <c r="T223" t="s">
        <v>33</v>
      </c>
      <c r="U223" t="s">
        <v>104</v>
      </c>
      <c r="V223" t="str">
        <f>IF(B223&lt;=18,"Children",IF(B223&lt;=35,"Young adult",IF(B223&lt;=60,"Adult", "Senior Citizen")))</f>
        <v>Senior Citizen</v>
      </c>
      <c r="W223" t="str">
        <f t="shared" si="21"/>
        <v>Aug</v>
      </c>
      <c r="X223">
        <f t="shared" si="22"/>
        <v>8</v>
      </c>
      <c r="Y223" t="str">
        <f t="shared" si="23"/>
        <v>Q3</v>
      </c>
      <c r="Z223">
        <f t="shared" si="24"/>
        <v>2025</v>
      </c>
      <c r="AA223" t="str">
        <f t="shared" si="25"/>
        <v>Sunday</v>
      </c>
      <c r="AB223">
        <f t="shared" si="26"/>
        <v>-19</v>
      </c>
      <c r="AC223" t="str">
        <f>IF(OR(D223="Heart Disease",D223="Cancer",D223="Stroke"),"High",IF(OR(D223="Diabetes",D223="Asthma"),"Medium","Low"))</f>
        <v>Low</v>
      </c>
      <c r="AD223" t="str">
        <f t="shared" si="27"/>
        <v>No</v>
      </c>
      <c r="AE223" t="str">
        <f>IF(G223&lt;=2,"Short Stay", IF(G223&lt;=7,"Normal Stay", "Long Stay"))</f>
        <v>Long Stay</v>
      </c>
      <c r="AF223" t="str">
        <f>IF(F223&gt;60000,"Expensive",IF(F223&gt;30000,"Moderate","Affordable"))</f>
        <v>Affordable</v>
      </c>
      <c r="AG223" t="str">
        <f>IF(J223&gt;=4.5,"Excellent",IF(J223&gt;=3.5,"Good",IF(J223&gt;=2.5,"Average","Poor")))</f>
        <v>Good</v>
      </c>
      <c r="AH223" t="str">
        <f>IF(OR(TEXT(N223,"dddd")="Saturday",TEXT(N223,"dddd")="Sunday"),"Weekend","Weekday")</f>
        <v>Weekend</v>
      </c>
    </row>
    <row r="224" spans="1:34" x14ac:dyDescent="0.3">
      <c r="A224">
        <v>226</v>
      </c>
      <c r="B224">
        <v>55</v>
      </c>
      <c r="C224" t="s">
        <v>21</v>
      </c>
      <c r="D224" t="s">
        <v>22</v>
      </c>
      <c r="E224" t="s">
        <v>23</v>
      </c>
      <c r="F224">
        <v>15000</v>
      </c>
      <c r="G224">
        <v>20</v>
      </c>
      <c r="H224" t="s">
        <v>38</v>
      </c>
      <c r="I224" t="s">
        <v>25</v>
      </c>
      <c r="J224">
        <v>3</v>
      </c>
      <c r="K224" t="s">
        <v>113</v>
      </c>
      <c r="L224" t="s">
        <v>571</v>
      </c>
      <c r="M224" t="s">
        <v>572</v>
      </c>
      <c r="N224" s="2">
        <v>45880</v>
      </c>
      <c r="O224" s="2">
        <v>45900</v>
      </c>
      <c r="P224" t="s">
        <v>29</v>
      </c>
      <c r="Q224" t="s">
        <v>71</v>
      </c>
      <c r="R224" t="s">
        <v>31</v>
      </c>
      <c r="S224" t="s">
        <v>32</v>
      </c>
      <c r="T224" t="s">
        <v>33</v>
      </c>
      <c r="U224" t="s">
        <v>46</v>
      </c>
      <c r="V224" t="str">
        <f>IF(B224&lt;=18,"Children",IF(B224&lt;=35,"Young adult",IF(B224&lt;=60,"Adult", "Senior Citizen")))</f>
        <v>Adult</v>
      </c>
      <c r="W224" t="str">
        <f t="shared" si="21"/>
        <v>Aug</v>
      </c>
      <c r="X224">
        <f t="shared" si="22"/>
        <v>8</v>
      </c>
      <c r="Y224" t="str">
        <f t="shared" si="23"/>
        <v>Q3</v>
      </c>
      <c r="Z224">
        <f t="shared" si="24"/>
        <v>2025</v>
      </c>
      <c r="AA224" t="str">
        <f t="shared" si="25"/>
        <v>Monday</v>
      </c>
      <c r="AB224">
        <f t="shared" si="26"/>
        <v>-20</v>
      </c>
      <c r="AC224" t="str">
        <f>IF(OR(D224="Heart Disease",D224="Cancer",D224="Stroke"),"High",IF(OR(D224="Diabetes",D224="Asthma"),"Medium","Low"))</f>
        <v>High</v>
      </c>
      <c r="AD224" t="str">
        <f t="shared" si="27"/>
        <v>Yes</v>
      </c>
      <c r="AE224" t="str">
        <f>IF(G224&lt;=2,"Short Stay", IF(G224&lt;=7,"Normal Stay", "Long Stay"))</f>
        <v>Long Stay</v>
      </c>
      <c r="AF224" t="str">
        <f>IF(F224&gt;60000,"Expensive",IF(F224&gt;30000,"Moderate","Affordable"))</f>
        <v>Affordable</v>
      </c>
      <c r="AG224" t="str">
        <f>IF(J224&gt;=4.5,"Excellent",IF(J224&gt;=3.5,"Good",IF(J224&gt;=2.5,"Average","Poor")))</f>
        <v>Average</v>
      </c>
      <c r="AH224" t="str">
        <f>IF(OR(TEXT(N224,"dddd")="Saturday",TEXT(N224,"dddd")="Sunday"),"Weekend","Weekday")</f>
        <v>Weekday</v>
      </c>
    </row>
    <row r="225" spans="1:34" x14ac:dyDescent="0.3">
      <c r="A225">
        <v>227</v>
      </c>
      <c r="B225">
        <v>62</v>
      </c>
      <c r="C225" t="s">
        <v>35</v>
      </c>
      <c r="D225" t="s">
        <v>36</v>
      </c>
      <c r="E225" t="s">
        <v>37</v>
      </c>
      <c r="F225">
        <v>2000</v>
      </c>
      <c r="G225">
        <v>18</v>
      </c>
      <c r="H225" t="s">
        <v>24</v>
      </c>
      <c r="I225" t="s">
        <v>39</v>
      </c>
      <c r="J225">
        <v>4</v>
      </c>
      <c r="K225" t="s">
        <v>101</v>
      </c>
      <c r="L225" t="s">
        <v>573</v>
      </c>
      <c r="M225" t="s">
        <v>574</v>
      </c>
      <c r="N225" s="2">
        <v>45881</v>
      </c>
      <c r="O225" s="2">
        <v>45899</v>
      </c>
      <c r="P225" t="s">
        <v>43</v>
      </c>
      <c r="Q225" t="s">
        <v>52</v>
      </c>
      <c r="R225" t="s">
        <v>45</v>
      </c>
      <c r="S225" t="s">
        <v>77</v>
      </c>
      <c r="T225" t="s">
        <v>33</v>
      </c>
      <c r="U225" t="s">
        <v>78</v>
      </c>
      <c r="V225" t="str">
        <f>IF(B225&lt;=18,"Children",IF(B225&lt;=35,"Young adult",IF(B225&lt;=60,"Adult", "Senior Citizen")))</f>
        <v>Senior Citizen</v>
      </c>
      <c r="W225" t="str">
        <f t="shared" si="21"/>
        <v>Aug</v>
      </c>
      <c r="X225">
        <f t="shared" si="22"/>
        <v>8</v>
      </c>
      <c r="Y225" t="str">
        <f t="shared" si="23"/>
        <v>Q3</v>
      </c>
      <c r="Z225">
        <f t="shared" si="24"/>
        <v>2025</v>
      </c>
      <c r="AA225" t="str">
        <f t="shared" si="25"/>
        <v>Tuesday</v>
      </c>
      <c r="AB225">
        <f t="shared" si="26"/>
        <v>-18</v>
      </c>
      <c r="AC225" t="str">
        <f>IF(OR(D225="Heart Disease",D225="Cancer",D225="Stroke"),"High",IF(OR(D225="Diabetes",D225="Asthma"),"Medium","Low"))</f>
        <v>Medium</v>
      </c>
      <c r="AD225" t="str">
        <f t="shared" si="27"/>
        <v>No</v>
      </c>
      <c r="AE225" t="str">
        <f>IF(G225&lt;=2,"Short Stay", IF(G225&lt;=7,"Normal Stay", "Long Stay"))</f>
        <v>Long Stay</v>
      </c>
      <c r="AF225" t="str">
        <f>IF(F225&gt;60000,"Expensive",IF(F225&gt;30000,"Moderate","Affordable"))</f>
        <v>Affordable</v>
      </c>
      <c r="AG225" t="str">
        <f>IF(J225&gt;=4.5,"Excellent",IF(J225&gt;=3.5,"Good",IF(J225&gt;=2.5,"Average","Poor")))</f>
        <v>Good</v>
      </c>
      <c r="AH225" t="str">
        <f>IF(OR(TEXT(N225,"dddd")="Saturday",TEXT(N225,"dddd")="Sunday"),"Weekend","Weekday")</f>
        <v>Weekday</v>
      </c>
    </row>
    <row r="226" spans="1:34" x14ac:dyDescent="0.3">
      <c r="A226">
        <v>228</v>
      </c>
      <c r="B226">
        <v>35</v>
      </c>
      <c r="C226" t="s">
        <v>21</v>
      </c>
      <c r="D226" t="s">
        <v>47</v>
      </c>
      <c r="E226" t="s">
        <v>48</v>
      </c>
      <c r="F226">
        <v>500</v>
      </c>
      <c r="G226">
        <v>16</v>
      </c>
      <c r="H226" t="s">
        <v>38</v>
      </c>
      <c r="I226" t="s">
        <v>25</v>
      </c>
      <c r="J226">
        <v>5</v>
      </c>
      <c r="K226" t="s">
        <v>200</v>
      </c>
      <c r="L226" t="s">
        <v>575</v>
      </c>
      <c r="M226" t="s">
        <v>576</v>
      </c>
      <c r="N226" s="2">
        <v>45882</v>
      </c>
      <c r="O226" s="2">
        <v>45898</v>
      </c>
      <c r="P226" t="s">
        <v>43</v>
      </c>
      <c r="Q226" t="s">
        <v>44</v>
      </c>
      <c r="R226" t="s">
        <v>45</v>
      </c>
      <c r="S226" t="s">
        <v>77</v>
      </c>
      <c r="T226" t="s">
        <v>33</v>
      </c>
      <c r="U226" t="s">
        <v>78</v>
      </c>
      <c r="V226" t="str">
        <f>IF(B226&lt;=18,"Children",IF(B226&lt;=35,"Young adult",IF(B226&lt;=60,"Adult", "Senior Citizen")))</f>
        <v>Young adult</v>
      </c>
      <c r="W226" t="str">
        <f t="shared" si="21"/>
        <v>Aug</v>
      </c>
      <c r="X226">
        <f t="shared" si="22"/>
        <v>8</v>
      </c>
      <c r="Y226" t="str">
        <f t="shared" si="23"/>
        <v>Q3</v>
      </c>
      <c r="Z226">
        <f t="shared" si="24"/>
        <v>2025</v>
      </c>
      <c r="AA226" t="str">
        <f t="shared" si="25"/>
        <v>Wednesday</v>
      </c>
      <c r="AB226">
        <f t="shared" si="26"/>
        <v>-16</v>
      </c>
      <c r="AC226" t="str">
        <f>IF(OR(D226="Heart Disease",D226="Cancer",D226="Stroke"),"High",IF(OR(D226="Diabetes",D226="Asthma"),"Medium","Low"))</f>
        <v>Low</v>
      </c>
      <c r="AD226" t="str">
        <f t="shared" si="27"/>
        <v>No</v>
      </c>
      <c r="AE226" t="str">
        <f>IF(G226&lt;=2,"Short Stay", IF(G226&lt;=7,"Normal Stay", "Long Stay"))</f>
        <v>Long Stay</v>
      </c>
      <c r="AF226" t="str">
        <f>IF(F226&gt;60000,"Expensive",IF(F226&gt;30000,"Moderate","Affordable"))</f>
        <v>Affordable</v>
      </c>
      <c r="AG226" t="str">
        <f>IF(J226&gt;=4.5,"Excellent",IF(J226&gt;=3.5,"Good",IF(J226&gt;=2.5,"Average","Poor")))</f>
        <v>Excellent</v>
      </c>
      <c r="AH226" t="str">
        <f>IF(OR(TEXT(N226,"dddd")="Saturday",TEXT(N226,"dddd")="Sunday"),"Weekend","Weekday")</f>
        <v>Weekday</v>
      </c>
    </row>
    <row r="227" spans="1:34" x14ac:dyDescent="0.3">
      <c r="A227">
        <v>229</v>
      </c>
      <c r="B227">
        <v>78</v>
      </c>
      <c r="C227" t="s">
        <v>35</v>
      </c>
      <c r="D227" t="s">
        <v>54</v>
      </c>
      <c r="E227" t="s">
        <v>55</v>
      </c>
      <c r="F227">
        <v>10000</v>
      </c>
      <c r="G227">
        <v>22</v>
      </c>
      <c r="H227" t="s">
        <v>24</v>
      </c>
      <c r="I227" t="s">
        <v>39</v>
      </c>
      <c r="J227">
        <v>2</v>
      </c>
      <c r="K227" t="s">
        <v>62</v>
      </c>
      <c r="L227" t="s">
        <v>577</v>
      </c>
      <c r="M227" t="s">
        <v>578</v>
      </c>
      <c r="N227" s="2">
        <v>45883</v>
      </c>
      <c r="O227" s="2">
        <v>45905</v>
      </c>
      <c r="P227" t="s">
        <v>43</v>
      </c>
      <c r="Q227" t="s">
        <v>139</v>
      </c>
      <c r="R227" t="s">
        <v>59</v>
      </c>
      <c r="S227" t="s">
        <v>110</v>
      </c>
      <c r="T227" t="s">
        <v>33</v>
      </c>
      <c r="U227" t="s">
        <v>104</v>
      </c>
      <c r="V227" t="str">
        <f>IF(B227&lt;=18,"Children",IF(B227&lt;=35,"Young adult",IF(B227&lt;=60,"Adult", "Senior Citizen")))</f>
        <v>Senior Citizen</v>
      </c>
      <c r="W227" t="str">
        <f t="shared" si="21"/>
        <v>Aug</v>
      </c>
      <c r="X227">
        <f t="shared" si="22"/>
        <v>8</v>
      </c>
      <c r="Y227" t="str">
        <f t="shared" si="23"/>
        <v>Q3</v>
      </c>
      <c r="Z227">
        <f t="shared" si="24"/>
        <v>2025</v>
      </c>
      <c r="AA227" t="str">
        <f t="shared" si="25"/>
        <v>Thursday</v>
      </c>
      <c r="AB227">
        <f t="shared" si="26"/>
        <v>-22</v>
      </c>
      <c r="AC227" t="str">
        <f>IF(OR(D227="Heart Disease",D227="Cancer",D227="Stroke"),"High",IF(OR(D227="Diabetes",D227="Asthma"),"Medium","Low"))</f>
        <v>High</v>
      </c>
      <c r="AD227" t="str">
        <f t="shared" si="27"/>
        <v>Yes</v>
      </c>
      <c r="AE227" t="str">
        <f>IF(G227&lt;=2,"Short Stay", IF(G227&lt;=7,"Normal Stay", "Long Stay"))</f>
        <v>Long Stay</v>
      </c>
      <c r="AF227" t="str">
        <f>IF(F227&gt;60000,"Expensive",IF(F227&gt;30000,"Moderate","Affordable"))</f>
        <v>Affordable</v>
      </c>
      <c r="AG227" t="str">
        <f>IF(J227&gt;=4.5,"Excellent",IF(J227&gt;=3.5,"Good",IF(J227&gt;=2.5,"Average","Poor")))</f>
        <v>Poor</v>
      </c>
      <c r="AH227" t="str">
        <f>IF(OR(TEXT(N227,"dddd")="Saturday",TEXT(N227,"dddd")="Sunday"),"Weekend","Weekday")</f>
        <v>Weekday</v>
      </c>
    </row>
    <row r="228" spans="1:34" x14ac:dyDescent="0.3">
      <c r="A228">
        <v>230</v>
      </c>
      <c r="B228">
        <v>53</v>
      </c>
      <c r="C228" t="s">
        <v>21</v>
      </c>
      <c r="D228" t="s">
        <v>60</v>
      </c>
      <c r="E228" t="s">
        <v>61</v>
      </c>
      <c r="F228">
        <v>25000</v>
      </c>
      <c r="G228">
        <v>25</v>
      </c>
      <c r="H228" t="s">
        <v>38</v>
      </c>
      <c r="I228" t="s">
        <v>25</v>
      </c>
      <c r="J228">
        <v>4</v>
      </c>
      <c r="K228" t="s">
        <v>68</v>
      </c>
      <c r="L228" t="s">
        <v>579</v>
      </c>
      <c r="M228" t="s">
        <v>580</v>
      </c>
      <c r="N228" s="2">
        <v>45884</v>
      </c>
      <c r="O228" s="2">
        <v>45909</v>
      </c>
      <c r="P228" t="s">
        <v>43</v>
      </c>
      <c r="Q228" t="s">
        <v>71</v>
      </c>
      <c r="R228" t="s">
        <v>65</v>
      </c>
      <c r="S228" t="s">
        <v>53</v>
      </c>
      <c r="T228" t="s">
        <v>33</v>
      </c>
      <c r="U228" t="s">
        <v>34</v>
      </c>
      <c r="V228" t="str">
        <f>IF(B228&lt;=18,"Children",IF(B228&lt;=35,"Young adult",IF(B228&lt;=60,"Adult", "Senior Citizen")))</f>
        <v>Adult</v>
      </c>
      <c r="W228" t="str">
        <f t="shared" si="21"/>
        <v>Aug</v>
      </c>
      <c r="X228">
        <f t="shared" si="22"/>
        <v>8</v>
      </c>
      <c r="Y228" t="str">
        <f t="shared" si="23"/>
        <v>Q3</v>
      </c>
      <c r="Z228">
        <f t="shared" si="24"/>
        <v>2025</v>
      </c>
      <c r="AA228" t="str">
        <f t="shared" si="25"/>
        <v>Friday</v>
      </c>
      <c r="AB228">
        <f t="shared" si="26"/>
        <v>-25</v>
      </c>
      <c r="AC228" t="str">
        <f>IF(OR(D228="Heart Disease",D228="Cancer",D228="Stroke"),"High",IF(OR(D228="Diabetes",D228="Asthma"),"Medium","Low"))</f>
        <v>High</v>
      </c>
      <c r="AD228" t="str">
        <f t="shared" si="27"/>
        <v>Yes</v>
      </c>
      <c r="AE228" t="str">
        <f>IF(G228&lt;=2,"Short Stay", IF(G228&lt;=7,"Normal Stay", "Long Stay"))</f>
        <v>Long Stay</v>
      </c>
      <c r="AF228" t="str">
        <f>IF(F228&gt;60000,"Expensive",IF(F228&gt;30000,"Moderate","Affordable"))</f>
        <v>Affordable</v>
      </c>
      <c r="AG228" t="str">
        <f>IF(J228&gt;=4.5,"Excellent",IF(J228&gt;=3.5,"Good",IF(J228&gt;=2.5,"Average","Poor")))</f>
        <v>Good</v>
      </c>
      <c r="AH228" t="str">
        <f>IF(OR(TEXT(N228,"dddd")="Saturday",TEXT(N228,"dddd")="Sunday"),"Weekend","Weekday")</f>
        <v>Weekday</v>
      </c>
    </row>
    <row r="229" spans="1:34" x14ac:dyDescent="0.3">
      <c r="A229">
        <v>231</v>
      </c>
      <c r="B229">
        <v>72</v>
      </c>
      <c r="C229" t="s">
        <v>35</v>
      </c>
      <c r="D229" t="s">
        <v>66</v>
      </c>
      <c r="E229" t="s">
        <v>67</v>
      </c>
      <c r="F229">
        <v>1000</v>
      </c>
      <c r="G229">
        <v>17</v>
      </c>
      <c r="H229" t="s">
        <v>24</v>
      </c>
      <c r="I229" t="s">
        <v>39</v>
      </c>
      <c r="J229">
        <v>4</v>
      </c>
      <c r="K229" t="s">
        <v>113</v>
      </c>
      <c r="L229" t="s">
        <v>581</v>
      </c>
      <c r="M229" t="s">
        <v>582</v>
      </c>
      <c r="N229" s="2">
        <v>45885</v>
      </c>
      <c r="O229" s="2">
        <v>45902</v>
      </c>
      <c r="P229" t="s">
        <v>43</v>
      </c>
      <c r="Q229" t="s">
        <v>44</v>
      </c>
      <c r="R229" t="s">
        <v>45</v>
      </c>
      <c r="S229" t="s">
        <v>72</v>
      </c>
      <c r="T229" t="s">
        <v>33</v>
      </c>
      <c r="U229" t="s">
        <v>104</v>
      </c>
      <c r="V229" t="str">
        <f>IF(B229&lt;=18,"Children",IF(B229&lt;=35,"Young adult",IF(B229&lt;=60,"Adult", "Senior Citizen")))</f>
        <v>Senior Citizen</v>
      </c>
      <c r="W229" t="str">
        <f t="shared" si="21"/>
        <v>Aug</v>
      </c>
      <c r="X229">
        <f t="shared" si="22"/>
        <v>8</v>
      </c>
      <c r="Y229" t="str">
        <f t="shared" si="23"/>
        <v>Q3</v>
      </c>
      <c r="Z229">
        <f t="shared" si="24"/>
        <v>2025</v>
      </c>
      <c r="AA229" t="str">
        <f t="shared" si="25"/>
        <v>Saturday</v>
      </c>
      <c r="AB229">
        <f t="shared" si="26"/>
        <v>-17</v>
      </c>
      <c r="AC229" t="str">
        <f>IF(OR(D229="Heart Disease",D229="Cancer",D229="Stroke"),"High",IF(OR(D229="Diabetes",D229="Asthma"),"Medium","Low"))</f>
        <v>Low</v>
      </c>
      <c r="AD229" t="str">
        <f t="shared" si="27"/>
        <v>No</v>
      </c>
      <c r="AE229" t="str">
        <f>IF(G229&lt;=2,"Short Stay", IF(G229&lt;=7,"Normal Stay", "Long Stay"))</f>
        <v>Long Stay</v>
      </c>
      <c r="AF229" t="str">
        <f>IF(F229&gt;60000,"Expensive",IF(F229&gt;30000,"Moderate","Affordable"))</f>
        <v>Affordable</v>
      </c>
      <c r="AG229" t="str">
        <f>IF(J229&gt;=4.5,"Excellent",IF(J229&gt;=3.5,"Good",IF(J229&gt;=2.5,"Average","Poor")))</f>
        <v>Good</v>
      </c>
      <c r="AH229" t="str">
        <f>IF(OR(TEXT(N229,"dddd")="Saturday",TEXT(N229,"dddd")="Sunday"),"Weekend","Weekday")</f>
        <v>Weekend</v>
      </c>
    </row>
    <row r="230" spans="1:34" x14ac:dyDescent="0.3">
      <c r="A230">
        <v>232</v>
      </c>
      <c r="B230">
        <v>60</v>
      </c>
      <c r="C230" t="s">
        <v>21</v>
      </c>
      <c r="D230" t="s">
        <v>73</v>
      </c>
      <c r="E230" t="s">
        <v>74</v>
      </c>
      <c r="F230">
        <v>8000</v>
      </c>
      <c r="G230">
        <v>19</v>
      </c>
      <c r="H230" t="s">
        <v>38</v>
      </c>
      <c r="I230" t="s">
        <v>25</v>
      </c>
      <c r="J230">
        <v>3</v>
      </c>
      <c r="K230" t="s">
        <v>169</v>
      </c>
      <c r="L230" t="s">
        <v>583</v>
      </c>
      <c r="M230" t="s">
        <v>584</v>
      </c>
      <c r="N230" s="2">
        <v>45886</v>
      </c>
      <c r="O230" s="2">
        <v>45905</v>
      </c>
      <c r="P230" t="s">
        <v>43</v>
      </c>
      <c r="Q230" t="s">
        <v>44</v>
      </c>
      <c r="R230" t="s">
        <v>45</v>
      </c>
      <c r="S230" t="s">
        <v>84</v>
      </c>
      <c r="T230" t="s">
        <v>33</v>
      </c>
      <c r="U230" t="s">
        <v>46</v>
      </c>
      <c r="V230" t="str">
        <f>IF(B230&lt;=18,"Children",IF(B230&lt;=35,"Young adult",IF(B230&lt;=60,"Adult", "Senior Citizen")))</f>
        <v>Adult</v>
      </c>
      <c r="W230" t="str">
        <f t="shared" si="21"/>
        <v>Aug</v>
      </c>
      <c r="X230">
        <f t="shared" si="22"/>
        <v>8</v>
      </c>
      <c r="Y230" t="str">
        <f t="shared" si="23"/>
        <v>Q3</v>
      </c>
      <c r="Z230">
        <f t="shared" si="24"/>
        <v>2025</v>
      </c>
      <c r="AA230" t="str">
        <f t="shared" si="25"/>
        <v>Sunday</v>
      </c>
      <c r="AB230">
        <f t="shared" si="26"/>
        <v>-19</v>
      </c>
      <c r="AC230" t="str">
        <f>IF(OR(D230="Heart Disease",D230="Cancer",D230="Stroke"),"High",IF(OR(D230="Diabetes",D230="Asthma"),"Medium","Low"))</f>
        <v>Low</v>
      </c>
      <c r="AD230" t="str">
        <f t="shared" si="27"/>
        <v>No</v>
      </c>
      <c r="AE230" t="str">
        <f>IF(G230&lt;=2,"Short Stay", IF(G230&lt;=7,"Normal Stay", "Long Stay"))</f>
        <v>Long Stay</v>
      </c>
      <c r="AF230" t="str">
        <f>IF(F230&gt;60000,"Expensive",IF(F230&gt;30000,"Moderate","Affordable"))</f>
        <v>Affordable</v>
      </c>
      <c r="AG230" t="str">
        <f>IF(J230&gt;=4.5,"Excellent",IF(J230&gt;=3.5,"Good",IF(J230&gt;=2.5,"Average","Poor")))</f>
        <v>Average</v>
      </c>
      <c r="AH230" t="str">
        <f>IF(OR(TEXT(N230,"dddd")="Saturday",TEXT(N230,"dddd")="Sunday"),"Weekend","Weekday")</f>
        <v>Weekend</v>
      </c>
    </row>
    <row r="231" spans="1:34" x14ac:dyDescent="0.3">
      <c r="A231">
        <v>233</v>
      </c>
      <c r="B231">
        <v>45</v>
      </c>
      <c r="C231" t="s">
        <v>35</v>
      </c>
      <c r="D231" t="s">
        <v>79</v>
      </c>
      <c r="E231" t="s">
        <v>80</v>
      </c>
      <c r="F231">
        <v>3000</v>
      </c>
      <c r="G231">
        <v>21</v>
      </c>
      <c r="H231" t="s">
        <v>24</v>
      </c>
      <c r="I231" t="s">
        <v>25</v>
      </c>
      <c r="J231">
        <v>4</v>
      </c>
      <c r="K231" t="s">
        <v>294</v>
      </c>
      <c r="L231" t="s">
        <v>585</v>
      </c>
      <c r="M231" t="s">
        <v>586</v>
      </c>
      <c r="N231" s="2">
        <v>45887</v>
      </c>
      <c r="O231" s="2">
        <v>45908</v>
      </c>
      <c r="P231" t="s">
        <v>29</v>
      </c>
      <c r="Q231" t="s">
        <v>139</v>
      </c>
      <c r="R231" t="s">
        <v>45</v>
      </c>
      <c r="S231" t="s">
        <v>32</v>
      </c>
      <c r="T231" t="s">
        <v>33</v>
      </c>
      <c r="U231" t="s">
        <v>46</v>
      </c>
      <c r="V231" t="str">
        <f>IF(B231&lt;=18,"Children",IF(B231&lt;=35,"Young adult",IF(B231&lt;=60,"Adult", "Senior Citizen")))</f>
        <v>Adult</v>
      </c>
      <c r="W231" t="str">
        <f t="shared" si="21"/>
        <v>Aug</v>
      </c>
      <c r="X231">
        <f t="shared" si="22"/>
        <v>8</v>
      </c>
      <c r="Y231" t="str">
        <f t="shared" si="23"/>
        <v>Q3</v>
      </c>
      <c r="Z231">
        <f t="shared" si="24"/>
        <v>2025</v>
      </c>
      <c r="AA231" t="str">
        <f t="shared" si="25"/>
        <v>Monday</v>
      </c>
      <c r="AB231">
        <f t="shared" si="26"/>
        <v>-21</v>
      </c>
      <c r="AC231" t="str">
        <f>IF(OR(D231="Heart Disease",D231="Cancer",D231="Stroke"),"High",IF(OR(D231="Diabetes",D231="Asthma"),"Medium","Low"))</f>
        <v>Low</v>
      </c>
      <c r="AD231" t="str">
        <f t="shared" si="27"/>
        <v>No</v>
      </c>
      <c r="AE231" t="str">
        <f>IF(G231&lt;=2,"Short Stay", IF(G231&lt;=7,"Normal Stay", "Long Stay"))</f>
        <v>Long Stay</v>
      </c>
      <c r="AF231" t="str">
        <f>IF(F231&gt;60000,"Expensive",IF(F231&gt;30000,"Moderate","Affordable"))</f>
        <v>Affordable</v>
      </c>
      <c r="AG231" t="str">
        <f>IF(J231&gt;=4.5,"Excellent",IF(J231&gt;=3.5,"Good",IF(J231&gt;=2.5,"Average","Poor")))</f>
        <v>Good</v>
      </c>
      <c r="AH231" t="str">
        <f>IF(OR(TEXT(N231,"dddd")="Saturday",TEXT(N231,"dddd")="Sunday"),"Weekend","Weekday")</f>
        <v>Weekday</v>
      </c>
    </row>
    <row r="232" spans="1:34" x14ac:dyDescent="0.3">
      <c r="A232">
        <v>234</v>
      </c>
      <c r="B232">
        <v>75</v>
      </c>
      <c r="C232" t="s">
        <v>21</v>
      </c>
      <c r="D232" t="s">
        <v>85</v>
      </c>
      <c r="E232" t="s">
        <v>86</v>
      </c>
      <c r="F232">
        <v>18000</v>
      </c>
      <c r="G232">
        <v>23</v>
      </c>
      <c r="H232" t="s">
        <v>38</v>
      </c>
      <c r="I232" t="s">
        <v>39</v>
      </c>
      <c r="J232">
        <v>2</v>
      </c>
      <c r="K232" t="s">
        <v>128</v>
      </c>
      <c r="L232" t="s">
        <v>587</v>
      </c>
      <c r="M232" t="s">
        <v>588</v>
      </c>
      <c r="N232" s="2">
        <v>45888</v>
      </c>
      <c r="O232" s="2">
        <v>45911</v>
      </c>
      <c r="P232" t="s">
        <v>43</v>
      </c>
      <c r="Q232" t="s">
        <v>44</v>
      </c>
      <c r="R232" t="s">
        <v>45</v>
      </c>
      <c r="S232" t="s">
        <v>72</v>
      </c>
      <c r="T232" t="s">
        <v>33</v>
      </c>
      <c r="U232" t="s">
        <v>104</v>
      </c>
      <c r="V232" t="str">
        <f>IF(B232&lt;=18,"Children",IF(B232&lt;=35,"Young adult",IF(B232&lt;=60,"Adult", "Senior Citizen")))</f>
        <v>Senior Citizen</v>
      </c>
      <c r="W232" t="str">
        <f t="shared" si="21"/>
        <v>Aug</v>
      </c>
      <c r="X232">
        <f t="shared" si="22"/>
        <v>8</v>
      </c>
      <c r="Y232" t="str">
        <f t="shared" si="23"/>
        <v>Q3</v>
      </c>
      <c r="Z232">
        <f t="shared" si="24"/>
        <v>2025</v>
      </c>
      <c r="AA232" t="str">
        <f t="shared" si="25"/>
        <v>Tuesday</v>
      </c>
      <c r="AB232">
        <f t="shared" si="26"/>
        <v>-23</v>
      </c>
      <c r="AC232" t="str">
        <f>IF(OR(D232="Heart Disease",D232="Cancer",D232="Stroke"),"High",IF(OR(D232="Diabetes",D232="Asthma"),"Medium","Low"))</f>
        <v>Low</v>
      </c>
      <c r="AD232" t="str">
        <f t="shared" si="27"/>
        <v>No</v>
      </c>
      <c r="AE232" t="str">
        <f>IF(G232&lt;=2,"Short Stay", IF(G232&lt;=7,"Normal Stay", "Long Stay"))</f>
        <v>Long Stay</v>
      </c>
      <c r="AF232" t="str">
        <f>IF(F232&gt;60000,"Expensive",IF(F232&gt;30000,"Moderate","Affordable"))</f>
        <v>Affordable</v>
      </c>
      <c r="AG232" t="str">
        <f>IF(J232&gt;=4.5,"Excellent",IF(J232&gt;=3.5,"Good",IF(J232&gt;=2.5,"Average","Poor")))</f>
        <v>Poor</v>
      </c>
      <c r="AH232" t="str">
        <f>IF(OR(TEXT(N232,"dddd")="Saturday",TEXT(N232,"dddd")="Sunday"),"Weekend","Weekday")</f>
        <v>Weekday</v>
      </c>
    </row>
    <row r="233" spans="1:34" x14ac:dyDescent="0.3">
      <c r="A233">
        <v>235</v>
      </c>
      <c r="B233">
        <v>28</v>
      </c>
      <c r="C233" t="s">
        <v>35</v>
      </c>
      <c r="D233" t="s">
        <v>89</v>
      </c>
      <c r="E233" t="s">
        <v>90</v>
      </c>
      <c r="F233">
        <v>100</v>
      </c>
      <c r="G233">
        <v>16</v>
      </c>
      <c r="H233" t="s">
        <v>24</v>
      </c>
      <c r="I233" t="s">
        <v>25</v>
      </c>
      <c r="J233">
        <v>5</v>
      </c>
      <c r="K233" t="s">
        <v>101</v>
      </c>
      <c r="L233" t="s">
        <v>589</v>
      </c>
      <c r="M233" t="s">
        <v>590</v>
      </c>
      <c r="N233" s="2">
        <v>45889</v>
      </c>
      <c r="O233" s="2">
        <v>45905</v>
      </c>
      <c r="P233" t="s">
        <v>29</v>
      </c>
      <c r="Q233" t="s">
        <v>139</v>
      </c>
      <c r="R233" t="s">
        <v>45</v>
      </c>
      <c r="S233" t="s">
        <v>32</v>
      </c>
      <c r="T233" t="s">
        <v>33</v>
      </c>
      <c r="U233" t="s">
        <v>46</v>
      </c>
      <c r="V233" t="str">
        <f>IF(B233&lt;=18,"Children",IF(B233&lt;=35,"Young adult",IF(B233&lt;=60,"Adult", "Senior Citizen")))</f>
        <v>Young adult</v>
      </c>
      <c r="W233" t="str">
        <f t="shared" si="21"/>
        <v>Aug</v>
      </c>
      <c r="X233">
        <f t="shared" si="22"/>
        <v>8</v>
      </c>
      <c r="Y233" t="str">
        <f t="shared" si="23"/>
        <v>Q3</v>
      </c>
      <c r="Z233">
        <f t="shared" si="24"/>
        <v>2025</v>
      </c>
      <c r="AA233" t="str">
        <f t="shared" si="25"/>
        <v>Wednesday</v>
      </c>
      <c r="AB233">
        <f t="shared" si="26"/>
        <v>-16</v>
      </c>
      <c r="AC233" t="str">
        <f>IF(OR(D233="Heart Disease",D233="Cancer",D233="Stroke"),"High",IF(OR(D233="Diabetes",D233="Asthma"),"Medium","Low"))</f>
        <v>Low</v>
      </c>
      <c r="AD233" t="str">
        <f t="shared" si="27"/>
        <v>No</v>
      </c>
      <c r="AE233" t="str">
        <f>IF(G233&lt;=2,"Short Stay", IF(G233&lt;=7,"Normal Stay", "Long Stay"))</f>
        <v>Long Stay</v>
      </c>
      <c r="AF233" t="str">
        <f>IF(F233&gt;60000,"Expensive",IF(F233&gt;30000,"Moderate","Affordable"))</f>
        <v>Affordable</v>
      </c>
      <c r="AG233" t="str">
        <f>IF(J233&gt;=4.5,"Excellent",IF(J233&gt;=3.5,"Good",IF(J233&gt;=2.5,"Average","Poor")))</f>
        <v>Excellent</v>
      </c>
      <c r="AH233" t="str">
        <f>IF(OR(TEXT(N233,"dddd")="Saturday",TEXT(N233,"dddd")="Sunday"),"Weekend","Weekday")</f>
        <v>Weekday</v>
      </c>
    </row>
    <row r="234" spans="1:34" x14ac:dyDescent="0.3">
      <c r="A234">
        <v>236</v>
      </c>
      <c r="B234">
        <v>52</v>
      </c>
      <c r="C234" t="s">
        <v>21</v>
      </c>
      <c r="D234" t="s">
        <v>94</v>
      </c>
      <c r="E234" t="s">
        <v>95</v>
      </c>
      <c r="F234">
        <v>800</v>
      </c>
      <c r="G234">
        <v>17</v>
      </c>
      <c r="H234" t="s">
        <v>24</v>
      </c>
      <c r="I234" t="s">
        <v>39</v>
      </c>
      <c r="J234">
        <v>4</v>
      </c>
      <c r="K234" t="s">
        <v>120</v>
      </c>
      <c r="L234" t="s">
        <v>591</v>
      </c>
      <c r="M234" t="s">
        <v>592</v>
      </c>
      <c r="N234" s="2">
        <v>45890</v>
      </c>
      <c r="O234" s="2">
        <v>45907</v>
      </c>
      <c r="P234" t="s">
        <v>29</v>
      </c>
      <c r="Q234" t="s">
        <v>139</v>
      </c>
      <c r="R234" t="s">
        <v>45</v>
      </c>
      <c r="S234" t="s">
        <v>84</v>
      </c>
      <c r="T234" t="s">
        <v>33</v>
      </c>
      <c r="U234" t="s">
        <v>104</v>
      </c>
      <c r="V234" t="str">
        <f>IF(B234&lt;=18,"Children",IF(B234&lt;=35,"Young adult",IF(B234&lt;=60,"Adult", "Senior Citizen")))</f>
        <v>Adult</v>
      </c>
      <c r="W234" t="str">
        <f t="shared" si="21"/>
        <v>Aug</v>
      </c>
      <c r="X234">
        <f t="shared" si="22"/>
        <v>8</v>
      </c>
      <c r="Y234" t="str">
        <f t="shared" si="23"/>
        <v>Q3</v>
      </c>
      <c r="Z234">
        <f t="shared" si="24"/>
        <v>2025</v>
      </c>
      <c r="AA234" t="str">
        <f t="shared" si="25"/>
        <v>Thursday</v>
      </c>
      <c r="AB234">
        <f t="shared" si="26"/>
        <v>-17</v>
      </c>
      <c r="AC234" t="str">
        <f>IF(OR(D234="Heart Disease",D234="Cancer",D234="Stroke"),"High",IF(OR(D234="Diabetes",D234="Asthma"),"Medium","Low"))</f>
        <v>Low</v>
      </c>
      <c r="AD234" t="str">
        <f t="shared" si="27"/>
        <v>No</v>
      </c>
      <c r="AE234" t="str">
        <f>IF(G234&lt;=2,"Short Stay", IF(G234&lt;=7,"Normal Stay", "Long Stay"))</f>
        <v>Long Stay</v>
      </c>
      <c r="AF234" t="str">
        <f>IF(F234&gt;60000,"Expensive",IF(F234&gt;30000,"Moderate","Affordable"))</f>
        <v>Affordable</v>
      </c>
      <c r="AG234" t="str">
        <f>IF(J234&gt;=4.5,"Excellent",IF(J234&gt;=3.5,"Good",IF(J234&gt;=2.5,"Average","Poor")))</f>
        <v>Good</v>
      </c>
      <c r="AH234" t="str">
        <f>IF(OR(TEXT(N234,"dddd")="Saturday",TEXT(N234,"dddd")="Sunday"),"Weekend","Weekday")</f>
        <v>Weekday</v>
      </c>
    </row>
    <row r="235" spans="1:34" x14ac:dyDescent="0.3">
      <c r="A235">
        <v>237</v>
      </c>
      <c r="B235">
        <v>67</v>
      </c>
      <c r="C235" t="s">
        <v>35</v>
      </c>
      <c r="D235" t="s">
        <v>99</v>
      </c>
      <c r="E235" t="s">
        <v>100</v>
      </c>
      <c r="F235">
        <v>20000</v>
      </c>
      <c r="G235">
        <v>24</v>
      </c>
      <c r="H235" t="s">
        <v>24</v>
      </c>
      <c r="I235" t="s">
        <v>25</v>
      </c>
      <c r="J235">
        <v>3</v>
      </c>
      <c r="K235" t="s">
        <v>172</v>
      </c>
      <c r="L235" t="s">
        <v>593</v>
      </c>
      <c r="M235" t="s">
        <v>594</v>
      </c>
      <c r="N235" s="2">
        <v>45891</v>
      </c>
      <c r="O235" s="2">
        <v>45915</v>
      </c>
      <c r="P235" t="s">
        <v>43</v>
      </c>
      <c r="Q235" t="s">
        <v>139</v>
      </c>
      <c r="R235" t="s">
        <v>45</v>
      </c>
      <c r="S235" t="s">
        <v>110</v>
      </c>
      <c r="T235" t="s">
        <v>33</v>
      </c>
      <c r="U235" t="s">
        <v>34</v>
      </c>
      <c r="V235" t="str">
        <f>IF(B235&lt;=18,"Children",IF(B235&lt;=35,"Young adult",IF(B235&lt;=60,"Adult", "Senior Citizen")))</f>
        <v>Senior Citizen</v>
      </c>
      <c r="W235" t="str">
        <f t="shared" si="21"/>
        <v>Aug</v>
      </c>
      <c r="X235">
        <f t="shared" si="22"/>
        <v>8</v>
      </c>
      <c r="Y235" t="str">
        <f t="shared" si="23"/>
        <v>Q3</v>
      </c>
      <c r="Z235">
        <f t="shared" si="24"/>
        <v>2025</v>
      </c>
      <c r="AA235" t="str">
        <f t="shared" si="25"/>
        <v>Friday</v>
      </c>
      <c r="AB235">
        <f t="shared" si="26"/>
        <v>-24</v>
      </c>
      <c r="AC235" t="str">
        <f>IF(OR(D235="Heart Disease",D235="Cancer",D235="Stroke"),"High",IF(OR(D235="Diabetes",D235="Asthma"),"Medium","Low"))</f>
        <v>Low</v>
      </c>
      <c r="AD235" t="str">
        <f t="shared" si="27"/>
        <v>No</v>
      </c>
      <c r="AE235" t="str">
        <f>IF(G235&lt;=2,"Short Stay", IF(G235&lt;=7,"Normal Stay", "Long Stay"))</f>
        <v>Long Stay</v>
      </c>
      <c r="AF235" t="str">
        <f>IF(F235&gt;60000,"Expensive",IF(F235&gt;30000,"Moderate","Affordable"))</f>
        <v>Affordable</v>
      </c>
      <c r="AG235" t="str">
        <f>IF(J235&gt;=4.5,"Excellent",IF(J235&gt;=3.5,"Good",IF(J235&gt;=2.5,"Average","Poor")))</f>
        <v>Average</v>
      </c>
      <c r="AH235" t="str">
        <f>IF(OR(TEXT(N235,"dddd")="Saturday",TEXT(N235,"dddd")="Sunday"),"Weekend","Weekday")</f>
        <v>Weekday</v>
      </c>
    </row>
    <row r="236" spans="1:34" x14ac:dyDescent="0.3">
      <c r="A236">
        <v>238</v>
      </c>
      <c r="B236">
        <v>35</v>
      </c>
      <c r="C236" t="s">
        <v>21</v>
      </c>
      <c r="D236" t="s">
        <v>105</v>
      </c>
      <c r="E236" t="s">
        <v>106</v>
      </c>
      <c r="F236">
        <v>12000</v>
      </c>
      <c r="G236">
        <v>18</v>
      </c>
      <c r="H236" t="s">
        <v>24</v>
      </c>
      <c r="I236" t="s">
        <v>25</v>
      </c>
      <c r="J236">
        <v>4</v>
      </c>
      <c r="K236" t="s">
        <v>215</v>
      </c>
      <c r="L236" t="s">
        <v>595</v>
      </c>
      <c r="M236" t="s">
        <v>596</v>
      </c>
      <c r="N236" s="2">
        <v>45892</v>
      </c>
      <c r="O236" s="2">
        <v>45910</v>
      </c>
      <c r="P236" t="s">
        <v>43</v>
      </c>
      <c r="Q236" t="s">
        <v>52</v>
      </c>
      <c r="R236" t="s">
        <v>45</v>
      </c>
      <c r="S236" t="s">
        <v>32</v>
      </c>
      <c r="T236" t="s">
        <v>33</v>
      </c>
      <c r="U236" t="s">
        <v>78</v>
      </c>
      <c r="V236" t="str">
        <f>IF(B236&lt;=18,"Children",IF(B236&lt;=35,"Young adult",IF(B236&lt;=60,"Adult", "Senior Citizen")))</f>
        <v>Young adult</v>
      </c>
      <c r="W236" t="str">
        <f t="shared" si="21"/>
        <v>Aug</v>
      </c>
      <c r="X236">
        <f t="shared" si="22"/>
        <v>8</v>
      </c>
      <c r="Y236" t="str">
        <f t="shared" si="23"/>
        <v>Q3</v>
      </c>
      <c r="Z236">
        <f t="shared" si="24"/>
        <v>2025</v>
      </c>
      <c r="AA236" t="str">
        <f t="shared" si="25"/>
        <v>Saturday</v>
      </c>
      <c r="AB236">
        <f t="shared" si="26"/>
        <v>-18</v>
      </c>
      <c r="AC236" t="str">
        <f>IF(OR(D236="Heart Disease",D236="Cancer",D236="Stroke"),"High",IF(OR(D236="Diabetes",D236="Asthma"),"Medium","Low"))</f>
        <v>Low</v>
      </c>
      <c r="AD236" t="str">
        <f t="shared" si="27"/>
        <v>No</v>
      </c>
      <c r="AE236" t="str">
        <f>IF(G236&lt;=2,"Short Stay", IF(G236&lt;=7,"Normal Stay", "Long Stay"))</f>
        <v>Long Stay</v>
      </c>
      <c r="AF236" t="str">
        <f>IF(F236&gt;60000,"Expensive",IF(F236&gt;30000,"Moderate","Affordable"))</f>
        <v>Affordable</v>
      </c>
      <c r="AG236" t="str">
        <f>IF(J236&gt;=4.5,"Excellent",IF(J236&gt;=3.5,"Good",IF(J236&gt;=2.5,"Average","Poor")))</f>
        <v>Good</v>
      </c>
      <c r="AH236" t="str">
        <f>IF(OR(TEXT(N236,"dddd")="Saturday",TEXT(N236,"dddd")="Sunday"),"Weekend","Weekday")</f>
        <v>Weekend</v>
      </c>
    </row>
    <row r="237" spans="1:34" x14ac:dyDescent="0.3">
      <c r="A237">
        <v>239</v>
      </c>
      <c r="B237">
        <v>50</v>
      </c>
      <c r="C237" t="s">
        <v>35</v>
      </c>
      <c r="D237" t="s">
        <v>111</v>
      </c>
      <c r="E237" t="s">
        <v>112</v>
      </c>
      <c r="F237">
        <v>6000</v>
      </c>
      <c r="G237">
        <v>19</v>
      </c>
      <c r="H237" t="s">
        <v>24</v>
      </c>
      <c r="I237" t="s">
        <v>25</v>
      </c>
      <c r="J237">
        <v>3</v>
      </c>
      <c r="K237" t="s">
        <v>81</v>
      </c>
      <c r="L237" t="s">
        <v>597</v>
      </c>
      <c r="M237" t="s">
        <v>598</v>
      </c>
      <c r="N237" s="2">
        <v>45893</v>
      </c>
      <c r="O237" s="2">
        <v>45912</v>
      </c>
      <c r="P237" t="s">
        <v>43</v>
      </c>
      <c r="Q237" t="s">
        <v>30</v>
      </c>
      <c r="R237" t="s">
        <v>45</v>
      </c>
      <c r="S237" t="s">
        <v>77</v>
      </c>
      <c r="T237" t="s">
        <v>33</v>
      </c>
      <c r="U237" t="s">
        <v>78</v>
      </c>
      <c r="V237" t="str">
        <f>IF(B237&lt;=18,"Children",IF(B237&lt;=35,"Young adult",IF(B237&lt;=60,"Adult", "Senior Citizen")))</f>
        <v>Adult</v>
      </c>
      <c r="W237" t="str">
        <f t="shared" si="21"/>
        <v>Aug</v>
      </c>
      <c r="X237">
        <f t="shared" si="22"/>
        <v>8</v>
      </c>
      <c r="Y237" t="str">
        <f t="shared" si="23"/>
        <v>Q3</v>
      </c>
      <c r="Z237">
        <f t="shared" si="24"/>
        <v>2025</v>
      </c>
      <c r="AA237" t="str">
        <f t="shared" si="25"/>
        <v>Sunday</v>
      </c>
      <c r="AB237">
        <f t="shared" si="26"/>
        <v>-19</v>
      </c>
      <c r="AC237" t="str">
        <f>IF(OR(D237="Heart Disease",D237="Cancer",D237="Stroke"),"High",IF(OR(D237="Diabetes",D237="Asthma"),"Medium","Low"))</f>
        <v>Low</v>
      </c>
      <c r="AD237" t="str">
        <f t="shared" si="27"/>
        <v>No</v>
      </c>
      <c r="AE237" t="str">
        <f>IF(G237&lt;=2,"Short Stay", IF(G237&lt;=7,"Normal Stay", "Long Stay"))</f>
        <v>Long Stay</v>
      </c>
      <c r="AF237" t="str">
        <f>IF(F237&gt;60000,"Expensive",IF(F237&gt;30000,"Moderate","Affordable"))</f>
        <v>Affordable</v>
      </c>
      <c r="AG237" t="str">
        <f>IF(J237&gt;=4.5,"Excellent",IF(J237&gt;=3.5,"Good",IF(J237&gt;=2.5,"Average","Poor")))</f>
        <v>Average</v>
      </c>
      <c r="AH237" t="str">
        <f>IF(OR(TEXT(N237,"dddd")="Saturday",TEXT(N237,"dddd")="Sunday"),"Weekend","Weekday")</f>
        <v>Weekend</v>
      </c>
    </row>
    <row r="238" spans="1:34" x14ac:dyDescent="0.3">
      <c r="A238">
        <v>240</v>
      </c>
      <c r="B238">
        <v>60</v>
      </c>
      <c r="C238" t="s">
        <v>21</v>
      </c>
      <c r="D238" t="s">
        <v>116</v>
      </c>
      <c r="E238" t="s">
        <v>117</v>
      </c>
      <c r="F238">
        <v>4000</v>
      </c>
      <c r="G238">
        <v>20</v>
      </c>
      <c r="H238" t="s">
        <v>24</v>
      </c>
      <c r="I238" t="s">
        <v>39</v>
      </c>
      <c r="J238">
        <v>4</v>
      </c>
      <c r="K238" t="s">
        <v>336</v>
      </c>
      <c r="L238" t="s">
        <v>599</v>
      </c>
      <c r="M238" t="s">
        <v>600</v>
      </c>
      <c r="N238" s="2">
        <v>45894</v>
      </c>
      <c r="O238" s="2">
        <v>45914</v>
      </c>
      <c r="P238" t="s">
        <v>43</v>
      </c>
      <c r="Q238" t="s">
        <v>30</v>
      </c>
      <c r="R238" t="s">
        <v>45</v>
      </c>
      <c r="S238" t="s">
        <v>53</v>
      </c>
      <c r="T238" t="s">
        <v>33</v>
      </c>
      <c r="U238" t="s">
        <v>78</v>
      </c>
      <c r="V238" t="str">
        <f>IF(B238&lt;=18,"Children",IF(B238&lt;=35,"Young adult",IF(B238&lt;=60,"Adult", "Senior Citizen")))</f>
        <v>Adult</v>
      </c>
      <c r="W238" t="str">
        <f t="shared" si="21"/>
        <v>Aug</v>
      </c>
      <c r="X238">
        <f t="shared" si="22"/>
        <v>8</v>
      </c>
      <c r="Y238" t="str">
        <f t="shared" si="23"/>
        <v>Q3</v>
      </c>
      <c r="Z238">
        <f t="shared" si="24"/>
        <v>2025</v>
      </c>
      <c r="AA238" t="str">
        <f t="shared" si="25"/>
        <v>Monday</v>
      </c>
      <c r="AB238">
        <f t="shared" si="26"/>
        <v>-20</v>
      </c>
      <c r="AC238" t="str">
        <f>IF(OR(D238="Heart Disease",D238="Cancer",D238="Stroke"),"High",IF(OR(D238="Diabetes",D238="Asthma"),"Medium","Low"))</f>
        <v>Low</v>
      </c>
      <c r="AD238" t="str">
        <f t="shared" si="27"/>
        <v>No</v>
      </c>
      <c r="AE238" t="str">
        <f>IF(G238&lt;=2,"Short Stay", IF(G238&lt;=7,"Normal Stay", "Long Stay"))</f>
        <v>Long Stay</v>
      </c>
      <c r="AF238" t="str">
        <f>IF(F238&gt;60000,"Expensive",IF(F238&gt;30000,"Moderate","Affordable"))</f>
        <v>Affordable</v>
      </c>
      <c r="AG238" t="str">
        <f>IF(J238&gt;=4.5,"Excellent",IF(J238&gt;=3.5,"Good",IF(J238&gt;=2.5,"Average","Poor")))</f>
        <v>Good</v>
      </c>
      <c r="AH238" t="str">
        <f>IF(OR(TEXT(N238,"dddd")="Saturday",TEXT(N238,"dddd")="Sunday"),"Weekend","Weekday")</f>
        <v>Weekday</v>
      </c>
    </row>
    <row r="239" spans="1:34" x14ac:dyDescent="0.3">
      <c r="A239">
        <v>241</v>
      </c>
      <c r="B239">
        <v>48</v>
      </c>
      <c r="C239" t="s">
        <v>21</v>
      </c>
      <c r="D239" t="s">
        <v>22</v>
      </c>
      <c r="E239" t="s">
        <v>23</v>
      </c>
      <c r="F239">
        <v>15000</v>
      </c>
      <c r="G239">
        <v>21</v>
      </c>
      <c r="H239" t="s">
        <v>38</v>
      </c>
      <c r="I239" t="s">
        <v>25</v>
      </c>
      <c r="J239">
        <v>4</v>
      </c>
      <c r="K239" t="s">
        <v>160</v>
      </c>
      <c r="L239" t="s">
        <v>601</v>
      </c>
      <c r="M239" t="s">
        <v>602</v>
      </c>
      <c r="N239" s="2">
        <v>45895</v>
      </c>
      <c r="O239" s="2">
        <v>45916</v>
      </c>
      <c r="P239" t="s">
        <v>43</v>
      </c>
      <c r="Q239" t="s">
        <v>139</v>
      </c>
      <c r="R239" t="s">
        <v>31</v>
      </c>
      <c r="S239" t="s">
        <v>77</v>
      </c>
      <c r="T239" t="s">
        <v>33</v>
      </c>
      <c r="U239" t="s">
        <v>34</v>
      </c>
      <c r="V239" t="str">
        <f>IF(B239&lt;=18,"Children",IF(B239&lt;=35,"Young adult",IF(B239&lt;=60,"Adult", "Senior Citizen")))</f>
        <v>Adult</v>
      </c>
      <c r="W239" t="str">
        <f t="shared" si="21"/>
        <v>Aug</v>
      </c>
      <c r="X239">
        <f t="shared" si="22"/>
        <v>8</v>
      </c>
      <c r="Y239" t="str">
        <f t="shared" si="23"/>
        <v>Q3</v>
      </c>
      <c r="Z239">
        <f t="shared" si="24"/>
        <v>2025</v>
      </c>
      <c r="AA239" t="str">
        <f t="shared" si="25"/>
        <v>Tuesday</v>
      </c>
      <c r="AB239">
        <f t="shared" si="26"/>
        <v>-21</v>
      </c>
      <c r="AC239" t="str">
        <f>IF(OR(D239="Heart Disease",D239="Cancer",D239="Stroke"),"High",IF(OR(D239="Diabetes",D239="Asthma"),"Medium","Low"))</f>
        <v>High</v>
      </c>
      <c r="AD239" t="str">
        <f t="shared" si="27"/>
        <v>Yes</v>
      </c>
      <c r="AE239" t="str">
        <f>IF(G239&lt;=2,"Short Stay", IF(G239&lt;=7,"Normal Stay", "Long Stay"))</f>
        <v>Long Stay</v>
      </c>
      <c r="AF239" t="str">
        <f>IF(F239&gt;60000,"Expensive",IF(F239&gt;30000,"Moderate","Affordable"))</f>
        <v>Affordable</v>
      </c>
      <c r="AG239" t="str">
        <f>IF(J239&gt;=4.5,"Excellent",IF(J239&gt;=3.5,"Good",IF(J239&gt;=2.5,"Average","Poor")))</f>
        <v>Good</v>
      </c>
      <c r="AH239" t="str">
        <f>IF(OR(TEXT(N239,"dddd")="Saturday",TEXT(N239,"dddd")="Sunday"),"Weekend","Weekday")</f>
        <v>Weekday</v>
      </c>
    </row>
    <row r="240" spans="1:34" x14ac:dyDescent="0.3">
      <c r="A240">
        <v>242</v>
      </c>
      <c r="B240">
        <v>65</v>
      </c>
      <c r="C240" t="s">
        <v>35</v>
      </c>
      <c r="D240" t="s">
        <v>36</v>
      </c>
      <c r="E240" t="s">
        <v>37</v>
      </c>
      <c r="F240">
        <v>2000</v>
      </c>
      <c r="G240">
        <v>19</v>
      </c>
      <c r="H240" t="s">
        <v>24</v>
      </c>
      <c r="I240" t="s">
        <v>39</v>
      </c>
      <c r="J240">
        <v>3</v>
      </c>
      <c r="K240" t="s">
        <v>200</v>
      </c>
      <c r="L240" t="s">
        <v>603</v>
      </c>
      <c r="M240" t="s">
        <v>604</v>
      </c>
      <c r="N240" s="2">
        <v>45896</v>
      </c>
      <c r="O240" s="2">
        <v>45915</v>
      </c>
      <c r="P240" t="s">
        <v>43</v>
      </c>
      <c r="Q240" t="s">
        <v>30</v>
      </c>
      <c r="R240" t="s">
        <v>45</v>
      </c>
      <c r="S240" t="s">
        <v>53</v>
      </c>
      <c r="T240" t="s">
        <v>33</v>
      </c>
      <c r="U240" t="s">
        <v>46</v>
      </c>
      <c r="V240" t="str">
        <f>IF(B240&lt;=18,"Children",IF(B240&lt;=35,"Young adult",IF(B240&lt;=60,"Adult", "Senior Citizen")))</f>
        <v>Senior Citizen</v>
      </c>
      <c r="W240" t="str">
        <f t="shared" si="21"/>
        <v>Aug</v>
      </c>
      <c r="X240">
        <f t="shared" si="22"/>
        <v>8</v>
      </c>
      <c r="Y240" t="str">
        <f t="shared" si="23"/>
        <v>Q3</v>
      </c>
      <c r="Z240">
        <f t="shared" si="24"/>
        <v>2025</v>
      </c>
      <c r="AA240" t="str">
        <f t="shared" si="25"/>
        <v>Wednesday</v>
      </c>
      <c r="AB240">
        <f t="shared" si="26"/>
        <v>-19</v>
      </c>
      <c r="AC240" t="str">
        <f>IF(OR(D240="Heart Disease",D240="Cancer",D240="Stroke"),"High",IF(OR(D240="Diabetes",D240="Asthma"),"Medium","Low"))</f>
        <v>Medium</v>
      </c>
      <c r="AD240" t="str">
        <f t="shared" si="27"/>
        <v>No</v>
      </c>
      <c r="AE240" t="str">
        <f>IF(G240&lt;=2,"Short Stay", IF(G240&lt;=7,"Normal Stay", "Long Stay"))</f>
        <v>Long Stay</v>
      </c>
      <c r="AF240" t="str">
        <f>IF(F240&gt;60000,"Expensive",IF(F240&gt;30000,"Moderate","Affordable"))</f>
        <v>Affordable</v>
      </c>
      <c r="AG240" t="str">
        <f>IF(J240&gt;=4.5,"Excellent",IF(J240&gt;=3.5,"Good",IF(J240&gt;=2.5,"Average","Poor")))</f>
        <v>Average</v>
      </c>
      <c r="AH240" t="str">
        <f>IF(OR(TEXT(N240,"dddd")="Saturday",TEXT(N240,"dddd")="Sunday"),"Weekend","Weekday")</f>
        <v>Weekday</v>
      </c>
    </row>
    <row r="241" spans="1:34" x14ac:dyDescent="0.3">
      <c r="A241">
        <v>244</v>
      </c>
      <c r="B241">
        <v>70</v>
      </c>
      <c r="C241" t="s">
        <v>35</v>
      </c>
      <c r="D241" t="s">
        <v>54</v>
      </c>
      <c r="E241" t="s">
        <v>55</v>
      </c>
      <c r="F241">
        <v>10000</v>
      </c>
      <c r="G241">
        <v>23</v>
      </c>
      <c r="H241" t="s">
        <v>38</v>
      </c>
      <c r="I241" t="s">
        <v>39</v>
      </c>
      <c r="J241">
        <v>2</v>
      </c>
      <c r="K241" t="s">
        <v>336</v>
      </c>
      <c r="L241" t="s">
        <v>605</v>
      </c>
      <c r="M241" t="s">
        <v>606</v>
      </c>
      <c r="N241" s="2">
        <v>45897</v>
      </c>
      <c r="O241" s="2">
        <v>45920</v>
      </c>
      <c r="P241" t="s">
        <v>29</v>
      </c>
      <c r="Q241" t="s">
        <v>52</v>
      </c>
      <c r="R241" t="s">
        <v>59</v>
      </c>
      <c r="S241" t="s">
        <v>84</v>
      </c>
      <c r="T241" t="s">
        <v>33</v>
      </c>
      <c r="U241" t="s">
        <v>104</v>
      </c>
      <c r="V241" t="str">
        <f>IF(B241&lt;=18,"Children",IF(B241&lt;=35,"Young adult",IF(B241&lt;=60,"Adult", "Senior Citizen")))</f>
        <v>Senior Citizen</v>
      </c>
      <c r="W241" t="str">
        <f t="shared" si="21"/>
        <v>Aug</v>
      </c>
      <c r="X241">
        <f t="shared" si="22"/>
        <v>8</v>
      </c>
      <c r="Y241" t="str">
        <f t="shared" si="23"/>
        <v>Q3</v>
      </c>
      <c r="Z241">
        <f t="shared" si="24"/>
        <v>2025</v>
      </c>
      <c r="AA241" t="str">
        <f t="shared" si="25"/>
        <v>Thursday</v>
      </c>
      <c r="AB241">
        <f t="shared" si="26"/>
        <v>-23</v>
      </c>
      <c r="AC241" t="str">
        <f>IF(OR(D241="Heart Disease",D241="Cancer",D241="Stroke"),"High",IF(OR(D241="Diabetes",D241="Asthma"),"Medium","Low"))</f>
        <v>High</v>
      </c>
      <c r="AD241" t="str">
        <f t="shared" si="27"/>
        <v>Yes</v>
      </c>
      <c r="AE241" t="str">
        <f>IF(G241&lt;=2,"Short Stay", IF(G241&lt;=7,"Normal Stay", "Long Stay"))</f>
        <v>Long Stay</v>
      </c>
      <c r="AF241" t="str">
        <f>IF(F241&gt;60000,"Expensive",IF(F241&gt;30000,"Moderate","Affordable"))</f>
        <v>Affordable</v>
      </c>
      <c r="AG241" t="str">
        <f>IF(J241&gt;=4.5,"Excellent",IF(J241&gt;=3.5,"Good",IF(J241&gt;=2.5,"Average","Poor")))</f>
        <v>Poor</v>
      </c>
      <c r="AH241" t="str">
        <f>IF(OR(TEXT(N241,"dddd")="Saturday",TEXT(N241,"dddd")="Sunday"),"Weekend","Weekday")</f>
        <v>Weekday</v>
      </c>
    </row>
    <row r="242" spans="1:34" x14ac:dyDescent="0.3">
      <c r="A242">
        <v>245</v>
      </c>
      <c r="B242">
        <v>55</v>
      </c>
      <c r="C242" t="s">
        <v>21</v>
      </c>
      <c r="D242" t="s">
        <v>60</v>
      </c>
      <c r="E242" t="s">
        <v>61</v>
      </c>
      <c r="F242">
        <v>25000</v>
      </c>
      <c r="G242">
        <v>26</v>
      </c>
      <c r="H242" t="s">
        <v>24</v>
      </c>
      <c r="I242" t="s">
        <v>25</v>
      </c>
      <c r="J242">
        <v>4</v>
      </c>
      <c r="K242" t="s">
        <v>144</v>
      </c>
      <c r="L242" t="s">
        <v>607</v>
      </c>
      <c r="M242" t="s">
        <v>608</v>
      </c>
      <c r="N242" s="2">
        <v>45898</v>
      </c>
      <c r="O242" s="2">
        <v>45924</v>
      </c>
      <c r="P242" t="s">
        <v>29</v>
      </c>
      <c r="Q242" t="s">
        <v>44</v>
      </c>
      <c r="R242" t="s">
        <v>65</v>
      </c>
      <c r="S242" t="s">
        <v>53</v>
      </c>
      <c r="T242" t="s">
        <v>33</v>
      </c>
      <c r="U242" t="s">
        <v>34</v>
      </c>
      <c r="V242" t="str">
        <f>IF(B242&lt;=18,"Children",IF(B242&lt;=35,"Young adult",IF(B242&lt;=60,"Adult", "Senior Citizen")))</f>
        <v>Adult</v>
      </c>
      <c r="W242" t="str">
        <f t="shared" si="21"/>
        <v>Aug</v>
      </c>
      <c r="X242">
        <f t="shared" si="22"/>
        <v>8</v>
      </c>
      <c r="Y242" t="str">
        <f t="shared" si="23"/>
        <v>Q3</v>
      </c>
      <c r="Z242">
        <f t="shared" si="24"/>
        <v>2025</v>
      </c>
      <c r="AA242" t="str">
        <f t="shared" si="25"/>
        <v>Friday</v>
      </c>
      <c r="AB242">
        <f t="shared" si="26"/>
        <v>-26</v>
      </c>
      <c r="AC242" t="str">
        <f>IF(OR(D242="Heart Disease",D242="Cancer",D242="Stroke"),"High",IF(OR(D242="Diabetes",D242="Asthma"),"Medium","Low"))</f>
        <v>High</v>
      </c>
      <c r="AD242" t="str">
        <f t="shared" si="27"/>
        <v>Yes</v>
      </c>
      <c r="AE242" t="str">
        <f>IF(G242&lt;=2,"Short Stay", IF(G242&lt;=7,"Normal Stay", "Long Stay"))</f>
        <v>Long Stay</v>
      </c>
      <c r="AF242" t="str">
        <f>IF(F242&gt;60000,"Expensive",IF(F242&gt;30000,"Moderate","Affordable"))</f>
        <v>Affordable</v>
      </c>
      <c r="AG242" t="str">
        <f>IF(J242&gt;=4.5,"Excellent",IF(J242&gt;=3.5,"Good",IF(J242&gt;=2.5,"Average","Poor")))</f>
        <v>Good</v>
      </c>
      <c r="AH242" t="str">
        <f>IF(OR(TEXT(N242,"dddd")="Saturday",TEXT(N242,"dddd")="Sunday"),"Weekend","Weekday")</f>
        <v>Weekday</v>
      </c>
    </row>
    <row r="243" spans="1:34" x14ac:dyDescent="0.3">
      <c r="A243">
        <v>246</v>
      </c>
      <c r="B243">
        <v>68</v>
      </c>
      <c r="C243" t="s">
        <v>35</v>
      </c>
      <c r="D243" t="s">
        <v>66</v>
      </c>
      <c r="E243" t="s">
        <v>67</v>
      </c>
      <c r="F243">
        <v>1000</v>
      </c>
      <c r="G243">
        <v>18</v>
      </c>
      <c r="H243" t="s">
        <v>24</v>
      </c>
      <c r="I243" t="s">
        <v>39</v>
      </c>
      <c r="J243">
        <v>4</v>
      </c>
      <c r="K243" t="s">
        <v>324</v>
      </c>
      <c r="L243" t="s">
        <v>609</v>
      </c>
      <c r="M243" t="s">
        <v>610</v>
      </c>
      <c r="N243" s="2">
        <v>45899</v>
      </c>
      <c r="O243" s="2">
        <v>45917</v>
      </c>
      <c r="P243" t="s">
        <v>43</v>
      </c>
      <c r="Q243" t="s">
        <v>71</v>
      </c>
      <c r="R243" t="s">
        <v>45</v>
      </c>
      <c r="S243" t="s">
        <v>110</v>
      </c>
      <c r="T243" t="s">
        <v>33</v>
      </c>
      <c r="U243" t="s">
        <v>104</v>
      </c>
      <c r="V243" t="str">
        <f>IF(B243&lt;=18,"Children",IF(B243&lt;=35,"Young adult",IF(B243&lt;=60,"Adult", "Senior Citizen")))</f>
        <v>Senior Citizen</v>
      </c>
      <c r="W243" t="str">
        <f t="shared" si="21"/>
        <v>Aug</v>
      </c>
      <c r="X243">
        <f t="shared" si="22"/>
        <v>8</v>
      </c>
      <c r="Y243" t="str">
        <f t="shared" si="23"/>
        <v>Q3</v>
      </c>
      <c r="Z243">
        <f t="shared" si="24"/>
        <v>2025</v>
      </c>
      <c r="AA243" t="str">
        <f t="shared" si="25"/>
        <v>Saturday</v>
      </c>
      <c r="AB243">
        <f t="shared" si="26"/>
        <v>-18</v>
      </c>
      <c r="AC243" t="str">
        <f>IF(OR(D243="Heart Disease",D243="Cancer",D243="Stroke"),"High",IF(OR(D243="Diabetes",D243="Asthma"),"Medium","Low"))</f>
        <v>Low</v>
      </c>
      <c r="AD243" t="str">
        <f t="shared" si="27"/>
        <v>No</v>
      </c>
      <c r="AE243" t="str">
        <f>IF(G243&lt;=2,"Short Stay", IF(G243&lt;=7,"Normal Stay", "Long Stay"))</f>
        <v>Long Stay</v>
      </c>
      <c r="AF243" t="str">
        <f>IF(F243&gt;60000,"Expensive",IF(F243&gt;30000,"Moderate","Affordable"))</f>
        <v>Affordable</v>
      </c>
      <c r="AG243" t="str">
        <f>IF(J243&gt;=4.5,"Excellent",IF(J243&gt;=3.5,"Good",IF(J243&gt;=2.5,"Average","Poor")))</f>
        <v>Good</v>
      </c>
      <c r="AH243" t="str">
        <f>IF(OR(TEXT(N243,"dddd")="Saturday",TEXT(N243,"dddd")="Sunday"),"Weekend","Weekday")</f>
        <v>Weekend</v>
      </c>
    </row>
    <row r="244" spans="1:34" x14ac:dyDescent="0.3">
      <c r="A244">
        <v>247</v>
      </c>
      <c r="B244">
        <v>45</v>
      </c>
      <c r="C244" t="s">
        <v>21</v>
      </c>
      <c r="D244" t="s">
        <v>73</v>
      </c>
      <c r="E244" t="s">
        <v>74</v>
      </c>
      <c r="F244">
        <v>8000</v>
      </c>
      <c r="G244">
        <v>20</v>
      </c>
      <c r="H244" t="s">
        <v>24</v>
      </c>
      <c r="I244" t="s">
        <v>25</v>
      </c>
      <c r="J244">
        <v>3</v>
      </c>
      <c r="K244" t="s">
        <v>120</v>
      </c>
      <c r="L244" t="s">
        <v>611</v>
      </c>
      <c r="M244" t="s">
        <v>612</v>
      </c>
      <c r="N244" s="2">
        <v>45900</v>
      </c>
      <c r="O244" s="2">
        <v>45920</v>
      </c>
      <c r="P244" t="s">
        <v>43</v>
      </c>
      <c r="Q244" t="s">
        <v>44</v>
      </c>
      <c r="R244" t="s">
        <v>45</v>
      </c>
      <c r="S244" t="s">
        <v>84</v>
      </c>
      <c r="T244" t="s">
        <v>33</v>
      </c>
      <c r="U244" t="s">
        <v>34</v>
      </c>
      <c r="V244" t="str">
        <f>IF(B244&lt;=18,"Children",IF(B244&lt;=35,"Young adult",IF(B244&lt;=60,"Adult", "Senior Citizen")))</f>
        <v>Adult</v>
      </c>
      <c r="W244" t="str">
        <f t="shared" si="21"/>
        <v>Aug</v>
      </c>
      <c r="X244">
        <f t="shared" si="22"/>
        <v>8</v>
      </c>
      <c r="Y244" t="str">
        <f t="shared" si="23"/>
        <v>Q3</v>
      </c>
      <c r="Z244">
        <f t="shared" si="24"/>
        <v>2025</v>
      </c>
      <c r="AA244" t="str">
        <f t="shared" si="25"/>
        <v>Sunday</v>
      </c>
      <c r="AB244">
        <f t="shared" si="26"/>
        <v>-20</v>
      </c>
      <c r="AC244" t="str">
        <f>IF(OR(D244="Heart Disease",D244="Cancer",D244="Stroke"),"High",IF(OR(D244="Diabetes",D244="Asthma"),"Medium","Low"))</f>
        <v>Low</v>
      </c>
      <c r="AD244" t="str">
        <f t="shared" si="27"/>
        <v>No</v>
      </c>
      <c r="AE244" t="str">
        <f>IF(G244&lt;=2,"Short Stay", IF(G244&lt;=7,"Normal Stay", "Long Stay"))</f>
        <v>Long Stay</v>
      </c>
      <c r="AF244" t="str">
        <f>IF(F244&gt;60000,"Expensive",IF(F244&gt;30000,"Moderate","Affordable"))</f>
        <v>Affordable</v>
      </c>
      <c r="AG244" t="str">
        <f>IF(J244&gt;=4.5,"Excellent",IF(J244&gt;=3.5,"Good",IF(J244&gt;=2.5,"Average","Poor")))</f>
        <v>Average</v>
      </c>
      <c r="AH244" t="str">
        <f>IF(OR(TEXT(N244,"dddd")="Saturday",TEXT(N244,"dddd")="Sunday"),"Weekend","Weekday")</f>
        <v>Weekend</v>
      </c>
    </row>
    <row r="245" spans="1:34" x14ac:dyDescent="0.3">
      <c r="A245">
        <v>248</v>
      </c>
      <c r="B245">
        <v>40</v>
      </c>
      <c r="C245" t="s">
        <v>35</v>
      </c>
      <c r="D245" t="s">
        <v>79</v>
      </c>
      <c r="E245" t="s">
        <v>80</v>
      </c>
      <c r="F245">
        <v>3000</v>
      </c>
      <c r="G245">
        <v>22</v>
      </c>
      <c r="H245" t="s">
        <v>24</v>
      </c>
      <c r="I245" t="s">
        <v>25</v>
      </c>
      <c r="J245">
        <v>4</v>
      </c>
      <c r="K245" t="s">
        <v>194</v>
      </c>
      <c r="L245" t="s">
        <v>613</v>
      </c>
      <c r="M245" t="s">
        <v>614</v>
      </c>
      <c r="N245" s="2">
        <v>45901</v>
      </c>
      <c r="O245" s="2">
        <v>45923</v>
      </c>
      <c r="P245" t="s">
        <v>43</v>
      </c>
      <c r="Q245" t="s">
        <v>139</v>
      </c>
      <c r="R245" t="s">
        <v>45</v>
      </c>
      <c r="S245" t="s">
        <v>110</v>
      </c>
      <c r="T245" t="s">
        <v>33</v>
      </c>
      <c r="U245" t="s">
        <v>78</v>
      </c>
      <c r="V245" t="str">
        <f>IF(B245&lt;=18,"Children",IF(B245&lt;=35,"Young adult",IF(B245&lt;=60,"Adult", "Senior Citizen")))</f>
        <v>Adult</v>
      </c>
      <c r="W245" t="str">
        <f t="shared" si="21"/>
        <v>Sep</v>
      </c>
      <c r="X245">
        <f t="shared" si="22"/>
        <v>9</v>
      </c>
      <c r="Y245" t="str">
        <f t="shared" si="23"/>
        <v>Q3</v>
      </c>
      <c r="Z245">
        <f t="shared" si="24"/>
        <v>2025</v>
      </c>
      <c r="AA245" t="str">
        <f t="shared" si="25"/>
        <v>Monday</v>
      </c>
      <c r="AB245">
        <f t="shared" si="26"/>
        <v>-22</v>
      </c>
      <c r="AC245" t="str">
        <f>IF(OR(D245="Heart Disease",D245="Cancer",D245="Stroke"),"High",IF(OR(D245="Diabetes",D245="Asthma"),"Medium","Low"))</f>
        <v>Low</v>
      </c>
      <c r="AD245" t="str">
        <f t="shared" si="27"/>
        <v>No</v>
      </c>
      <c r="AE245" t="str">
        <f>IF(G245&lt;=2,"Short Stay", IF(G245&lt;=7,"Normal Stay", "Long Stay"))</f>
        <v>Long Stay</v>
      </c>
      <c r="AF245" t="str">
        <f>IF(F245&gt;60000,"Expensive",IF(F245&gt;30000,"Moderate","Affordable"))</f>
        <v>Affordable</v>
      </c>
      <c r="AG245" t="str">
        <f>IF(J245&gt;=4.5,"Excellent",IF(J245&gt;=3.5,"Good",IF(J245&gt;=2.5,"Average","Poor")))</f>
        <v>Good</v>
      </c>
      <c r="AH245" t="str">
        <f>IF(OR(TEXT(N245,"dddd")="Saturday",TEXT(N245,"dddd")="Sunday"),"Weekend","Weekday")</f>
        <v>Weekday</v>
      </c>
    </row>
    <row r="246" spans="1:34" x14ac:dyDescent="0.3">
      <c r="A246">
        <v>249</v>
      </c>
      <c r="B246">
        <v>78</v>
      </c>
      <c r="C246" t="s">
        <v>21</v>
      </c>
      <c r="D246" t="s">
        <v>85</v>
      </c>
      <c r="E246" t="s">
        <v>86</v>
      </c>
      <c r="F246">
        <v>18000</v>
      </c>
      <c r="G246">
        <v>24</v>
      </c>
      <c r="H246" t="s">
        <v>38</v>
      </c>
      <c r="I246" t="s">
        <v>39</v>
      </c>
      <c r="J246">
        <v>2</v>
      </c>
      <c r="K246" t="s">
        <v>194</v>
      </c>
      <c r="L246" t="s">
        <v>615</v>
      </c>
      <c r="M246" t="s">
        <v>616</v>
      </c>
      <c r="N246" s="2">
        <v>45902</v>
      </c>
      <c r="O246" s="2">
        <v>45926</v>
      </c>
      <c r="P246" t="s">
        <v>29</v>
      </c>
      <c r="Q246" t="s">
        <v>44</v>
      </c>
      <c r="R246" t="s">
        <v>45</v>
      </c>
      <c r="S246" t="s">
        <v>84</v>
      </c>
      <c r="T246" t="s">
        <v>33</v>
      </c>
      <c r="U246" t="s">
        <v>34</v>
      </c>
      <c r="V246" t="str">
        <f>IF(B246&lt;=18,"Children",IF(B246&lt;=35,"Young adult",IF(B246&lt;=60,"Adult", "Senior Citizen")))</f>
        <v>Senior Citizen</v>
      </c>
      <c r="W246" t="str">
        <f t="shared" si="21"/>
        <v>Sep</v>
      </c>
      <c r="X246">
        <f t="shared" si="22"/>
        <v>9</v>
      </c>
      <c r="Y246" t="str">
        <f t="shared" si="23"/>
        <v>Q3</v>
      </c>
      <c r="Z246">
        <f t="shared" si="24"/>
        <v>2025</v>
      </c>
      <c r="AA246" t="str">
        <f t="shared" si="25"/>
        <v>Tuesday</v>
      </c>
      <c r="AB246">
        <f t="shared" si="26"/>
        <v>-24</v>
      </c>
      <c r="AC246" t="str">
        <f>IF(OR(D246="Heart Disease",D246="Cancer",D246="Stroke"),"High",IF(OR(D246="Diabetes",D246="Asthma"),"Medium","Low"))</f>
        <v>Low</v>
      </c>
      <c r="AD246" t="str">
        <f t="shared" si="27"/>
        <v>No</v>
      </c>
      <c r="AE246" t="str">
        <f>IF(G246&lt;=2,"Short Stay", IF(G246&lt;=7,"Normal Stay", "Long Stay"))</f>
        <v>Long Stay</v>
      </c>
      <c r="AF246" t="str">
        <f>IF(F246&gt;60000,"Expensive",IF(F246&gt;30000,"Moderate","Affordable"))</f>
        <v>Affordable</v>
      </c>
      <c r="AG246" t="str">
        <f>IF(J246&gt;=4.5,"Excellent",IF(J246&gt;=3.5,"Good",IF(J246&gt;=2.5,"Average","Poor")))</f>
        <v>Poor</v>
      </c>
      <c r="AH246" t="str">
        <f>IF(OR(TEXT(N246,"dddd")="Saturday",TEXT(N246,"dddd")="Sunday"),"Weekend","Weekday")</f>
        <v>Weekday</v>
      </c>
    </row>
    <row r="247" spans="1:34" x14ac:dyDescent="0.3">
      <c r="A247">
        <v>250</v>
      </c>
      <c r="B247">
        <v>25</v>
      </c>
      <c r="C247" t="s">
        <v>35</v>
      </c>
      <c r="D247" t="s">
        <v>89</v>
      </c>
      <c r="E247" t="s">
        <v>90</v>
      </c>
      <c r="F247">
        <v>100</v>
      </c>
      <c r="G247">
        <v>17</v>
      </c>
      <c r="H247" t="s">
        <v>24</v>
      </c>
      <c r="I247" t="s">
        <v>25</v>
      </c>
      <c r="J247">
        <v>5</v>
      </c>
      <c r="K247" t="s">
        <v>223</v>
      </c>
      <c r="L247" t="s">
        <v>617</v>
      </c>
      <c r="M247" t="s">
        <v>618</v>
      </c>
      <c r="N247" s="2">
        <v>45903</v>
      </c>
      <c r="O247" s="2">
        <v>45920</v>
      </c>
      <c r="P247" t="s">
        <v>29</v>
      </c>
      <c r="Q247" t="s">
        <v>30</v>
      </c>
      <c r="R247" t="s">
        <v>45</v>
      </c>
      <c r="S247" t="s">
        <v>53</v>
      </c>
      <c r="T247" t="s">
        <v>33</v>
      </c>
      <c r="U247" t="s">
        <v>46</v>
      </c>
      <c r="V247" t="str">
        <f>IF(B247&lt;=18,"Children",IF(B247&lt;=35,"Young adult",IF(B247&lt;=60,"Adult", "Senior Citizen")))</f>
        <v>Young adult</v>
      </c>
      <c r="W247" t="str">
        <f t="shared" si="21"/>
        <v>Sep</v>
      </c>
      <c r="X247">
        <f t="shared" si="22"/>
        <v>9</v>
      </c>
      <c r="Y247" t="str">
        <f t="shared" si="23"/>
        <v>Q3</v>
      </c>
      <c r="Z247">
        <f t="shared" si="24"/>
        <v>2025</v>
      </c>
      <c r="AA247" t="str">
        <f t="shared" si="25"/>
        <v>Wednesday</v>
      </c>
      <c r="AB247">
        <f t="shared" si="26"/>
        <v>-17</v>
      </c>
      <c r="AC247" t="str">
        <f>IF(OR(D247="Heart Disease",D247="Cancer",D247="Stroke"),"High",IF(OR(D247="Diabetes",D247="Asthma"),"Medium","Low"))</f>
        <v>Low</v>
      </c>
      <c r="AD247" t="str">
        <f t="shared" si="27"/>
        <v>No</v>
      </c>
      <c r="AE247" t="str">
        <f>IF(G247&lt;=2,"Short Stay", IF(G247&lt;=7,"Normal Stay", "Long Stay"))</f>
        <v>Long Stay</v>
      </c>
      <c r="AF247" t="str">
        <f>IF(F247&gt;60000,"Expensive",IF(F247&gt;30000,"Moderate","Affordable"))</f>
        <v>Affordable</v>
      </c>
      <c r="AG247" t="str">
        <f>IF(J247&gt;=4.5,"Excellent",IF(J247&gt;=3.5,"Good",IF(J247&gt;=2.5,"Average","Poor")))</f>
        <v>Excellent</v>
      </c>
      <c r="AH247" t="str">
        <f>IF(OR(TEXT(N247,"dddd")="Saturday",TEXT(N247,"dddd")="Sunday"),"Weekend","Weekday")</f>
        <v>Weekday</v>
      </c>
    </row>
    <row r="248" spans="1:34" x14ac:dyDescent="0.3">
      <c r="A248">
        <v>251</v>
      </c>
      <c r="B248">
        <v>52</v>
      </c>
      <c r="C248" t="s">
        <v>21</v>
      </c>
      <c r="D248" t="s">
        <v>94</v>
      </c>
      <c r="E248" t="s">
        <v>95</v>
      </c>
      <c r="F248">
        <v>800</v>
      </c>
      <c r="G248">
        <v>18</v>
      </c>
      <c r="H248" t="s">
        <v>24</v>
      </c>
      <c r="I248" t="s">
        <v>39</v>
      </c>
      <c r="J248">
        <v>4</v>
      </c>
      <c r="K248" t="s">
        <v>96</v>
      </c>
      <c r="L248" t="s">
        <v>619</v>
      </c>
      <c r="M248" t="s">
        <v>620</v>
      </c>
      <c r="N248" s="2">
        <v>45904</v>
      </c>
      <c r="O248" s="2">
        <v>45922</v>
      </c>
      <c r="P248" t="s">
        <v>43</v>
      </c>
      <c r="Q248" t="s">
        <v>44</v>
      </c>
      <c r="R248" t="s">
        <v>45</v>
      </c>
      <c r="S248" t="s">
        <v>72</v>
      </c>
      <c r="T248" t="s">
        <v>33</v>
      </c>
      <c r="U248" t="s">
        <v>34</v>
      </c>
      <c r="V248" t="str">
        <f>IF(B248&lt;=18,"Children",IF(B248&lt;=35,"Young adult",IF(B248&lt;=60,"Adult", "Senior Citizen")))</f>
        <v>Adult</v>
      </c>
      <c r="W248" t="str">
        <f t="shared" si="21"/>
        <v>Sep</v>
      </c>
      <c r="X248">
        <f t="shared" si="22"/>
        <v>9</v>
      </c>
      <c r="Y248" t="str">
        <f t="shared" si="23"/>
        <v>Q3</v>
      </c>
      <c r="Z248">
        <f t="shared" si="24"/>
        <v>2025</v>
      </c>
      <c r="AA248" t="str">
        <f t="shared" si="25"/>
        <v>Thursday</v>
      </c>
      <c r="AB248">
        <f t="shared" si="26"/>
        <v>-18</v>
      </c>
      <c r="AC248" t="str">
        <f>IF(OR(D248="Heart Disease",D248="Cancer",D248="Stroke"),"High",IF(OR(D248="Diabetes",D248="Asthma"),"Medium","Low"))</f>
        <v>Low</v>
      </c>
      <c r="AD248" t="str">
        <f t="shared" si="27"/>
        <v>No</v>
      </c>
      <c r="AE248" t="str">
        <f>IF(G248&lt;=2,"Short Stay", IF(G248&lt;=7,"Normal Stay", "Long Stay"))</f>
        <v>Long Stay</v>
      </c>
      <c r="AF248" t="str">
        <f>IF(F248&gt;60000,"Expensive",IF(F248&gt;30000,"Moderate","Affordable"))</f>
        <v>Affordable</v>
      </c>
      <c r="AG248" t="str">
        <f>IF(J248&gt;=4.5,"Excellent",IF(J248&gt;=3.5,"Good",IF(J248&gt;=2.5,"Average","Poor")))</f>
        <v>Good</v>
      </c>
      <c r="AH248" t="str">
        <f>IF(OR(TEXT(N248,"dddd")="Saturday",TEXT(N248,"dddd")="Sunday"),"Weekend","Weekday")</f>
        <v>Weekday</v>
      </c>
    </row>
    <row r="249" spans="1:34" x14ac:dyDescent="0.3">
      <c r="A249">
        <v>252</v>
      </c>
      <c r="B249">
        <v>58</v>
      </c>
      <c r="C249" t="s">
        <v>35</v>
      </c>
      <c r="D249" t="s">
        <v>99</v>
      </c>
      <c r="E249" t="s">
        <v>100</v>
      </c>
      <c r="F249">
        <v>20000</v>
      </c>
      <c r="G249">
        <v>25</v>
      </c>
      <c r="H249" t="s">
        <v>24</v>
      </c>
      <c r="I249" t="s">
        <v>25</v>
      </c>
      <c r="J249">
        <v>3</v>
      </c>
      <c r="K249" t="s">
        <v>210</v>
      </c>
      <c r="L249" t="s">
        <v>621</v>
      </c>
      <c r="M249" t="s">
        <v>622</v>
      </c>
      <c r="N249" s="2">
        <v>45905</v>
      </c>
      <c r="O249" s="2">
        <v>45930</v>
      </c>
      <c r="P249" t="s">
        <v>43</v>
      </c>
      <c r="Q249" t="s">
        <v>139</v>
      </c>
      <c r="R249" t="s">
        <v>45</v>
      </c>
      <c r="S249" t="s">
        <v>53</v>
      </c>
      <c r="T249" t="s">
        <v>33</v>
      </c>
      <c r="U249" t="s">
        <v>78</v>
      </c>
      <c r="V249" t="str">
        <f>IF(B249&lt;=18,"Children",IF(B249&lt;=35,"Young adult",IF(B249&lt;=60,"Adult", "Senior Citizen")))</f>
        <v>Adult</v>
      </c>
      <c r="W249" t="str">
        <f t="shared" si="21"/>
        <v>Sep</v>
      </c>
      <c r="X249">
        <f t="shared" si="22"/>
        <v>9</v>
      </c>
      <c r="Y249" t="str">
        <f t="shared" si="23"/>
        <v>Q3</v>
      </c>
      <c r="Z249">
        <f t="shared" si="24"/>
        <v>2025</v>
      </c>
      <c r="AA249" t="str">
        <f t="shared" si="25"/>
        <v>Friday</v>
      </c>
      <c r="AB249">
        <f t="shared" si="26"/>
        <v>-25</v>
      </c>
      <c r="AC249" t="str">
        <f>IF(OR(D249="Heart Disease",D249="Cancer",D249="Stroke"),"High",IF(OR(D249="Diabetes",D249="Asthma"),"Medium","Low"))</f>
        <v>Low</v>
      </c>
      <c r="AD249" t="str">
        <f t="shared" si="27"/>
        <v>No</v>
      </c>
      <c r="AE249" t="str">
        <f>IF(G249&lt;=2,"Short Stay", IF(G249&lt;=7,"Normal Stay", "Long Stay"))</f>
        <v>Long Stay</v>
      </c>
      <c r="AF249" t="str">
        <f>IF(F249&gt;60000,"Expensive",IF(F249&gt;30000,"Moderate","Affordable"))</f>
        <v>Affordable</v>
      </c>
      <c r="AG249" t="str">
        <f>IF(J249&gt;=4.5,"Excellent",IF(J249&gt;=3.5,"Good",IF(J249&gt;=2.5,"Average","Poor")))</f>
        <v>Average</v>
      </c>
      <c r="AH249" t="str">
        <f>IF(OR(TEXT(N249,"dddd")="Saturday",TEXT(N249,"dddd")="Sunday"),"Weekend","Weekday")</f>
        <v>Weekday</v>
      </c>
    </row>
    <row r="250" spans="1:34" x14ac:dyDescent="0.3">
      <c r="A250">
        <v>253</v>
      </c>
      <c r="B250">
        <v>32</v>
      </c>
      <c r="C250" t="s">
        <v>21</v>
      </c>
      <c r="D250" t="s">
        <v>105</v>
      </c>
      <c r="E250" t="s">
        <v>106</v>
      </c>
      <c r="F250">
        <v>12000</v>
      </c>
      <c r="G250">
        <v>19</v>
      </c>
      <c r="H250" t="s">
        <v>24</v>
      </c>
      <c r="I250" t="s">
        <v>25</v>
      </c>
      <c r="J250">
        <v>4</v>
      </c>
      <c r="K250" t="s">
        <v>482</v>
      </c>
      <c r="L250" t="s">
        <v>623</v>
      </c>
      <c r="M250" t="s">
        <v>624</v>
      </c>
      <c r="N250" s="2">
        <v>45906</v>
      </c>
      <c r="O250" s="2">
        <v>45925</v>
      </c>
      <c r="P250" t="s">
        <v>43</v>
      </c>
      <c r="Q250" t="s">
        <v>139</v>
      </c>
      <c r="R250" t="s">
        <v>45</v>
      </c>
      <c r="S250" t="s">
        <v>53</v>
      </c>
      <c r="T250" t="s">
        <v>33</v>
      </c>
      <c r="U250" t="s">
        <v>46</v>
      </c>
      <c r="V250" t="str">
        <f>IF(B250&lt;=18,"Children",IF(B250&lt;=35,"Young adult",IF(B250&lt;=60,"Adult", "Senior Citizen")))</f>
        <v>Young adult</v>
      </c>
      <c r="W250" t="str">
        <f t="shared" si="21"/>
        <v>Sep</v>
      </c>
      <c r="X250">
        <f t="shared" si="22"/>
        <v>9</v>
      </c>
      <c r="Y250" t="str">
        <f t="shared" si="23"/>
        <v>Q3</v>
      </c>
      <c r="Z250">
        <f t="shared" si="24"/>
        <v>2025</v>
      </c>
      <c r="AA250" t="str">
        <f t="shared" si="25"/>
        <v>Saturday</v>
      </c>
      <c r="AB250">
        <f t="shared" si="26"/>
        <v>-19</v>
      </c>
      <c r="AC250" t="str">
        <f>IF(OR(D250="Heart Disease",D250="Cancer",D250="Stroke"),"High",IF(OR(D250="Diabetes",D250="Asthma"),"Medium","Low"))</f>
        <v>Low</v>
      </c>
      <c r="AD250" t="str">
        <f t="shared" si="27"/>
        <v>No</v>
      </c>
      <c r="AE250" t="str">
        <f>IF(G250&lt;=2,"Short Stay", IF(G250&lt;=7,"Normal Stay", "Long Stay"))</f>
        <v>Long Stay</v>
      </c>
      <c r="AF250" t="str">
        <f>IF(F250&gt;60000,"Expensive",IF(F250&gt;30000,"Moderate","Affordable"))</f>
        <v>Affordable</v>
      </c>
      <c r="AG250" t="str">
        <f>IF(J250&gt;=4.5,"Excellent",IF(J250&gt;=3.5,"Good",IF(J250&gt;=2.5,"Average","Poor")))</f>
        <v>Good</v>
      </c>
      <c r="AH250" t="str">
        <f>IF(OR(TEXT(N250,"dddd")="Saturday",TEXT(N250,"dddd")="Sunday"),"Weekend","Weekday")</f>
        <v>Weekend</v>
      </c>
    </row>
    <row r="251" spans="1:34" x14ac:dyDescent="0.3">
      <c r="A251">
        <v>254</v>
      </c>
      <c r="B251">
        <v>55</v>
      </c>
      <c r="C251" t="s">
        <v>35</v>
      </c>
      <c r="D251" t="s">
        <v>111</v>
      </c>
      <c r="E251" t="s">
        <v>112</v>
      </c>
      <c r="F251">
        <v>6000</v>
      </c>
      <c r="G251">
        <v>20</v>
      </c>
      <c r="H251" t="s">
        <v>24</v>
      </c>
      <c r="I251" t="s">
        <v>25</v>
      </c>
      <c r="J251">
        <v>3</v>
      </c>
      <c r="K251" t="s">
        <v>172</v>
      </c>
      <c r="L251" t="s">
        <v>625</v>
      </c>
      <c r="M251" t="s">
        <v>626</v>
      </c>
      <c r="N251" s="2">
        <v>45907</v>
      </c>
      <c r="O251" s="2">
        <v>45927</v>
      </c>
      <c r="P251" t="s">
        <v>29</v>
      </c>
      <c r="Q251" t="s">
        <v>139</v>
      </c>
      <c r="R251" t="s">
        <v>45</v>
      </c>
      <c r="S251" t="s">
        <v>84</v>
      </c>
      <c r="T251" t="s">
        <v>33</v>
      </c>
      <c r="U251" t="s">
        <v>104</v>
      </c>
      <c r="V251" t="str">
        <f>IF(B251&lt;=18,"Children",IF(B251&lt;=35,"Young adult",IF(B251&lt;=60,"Adult", "Senior Citizen")))</f>
        <v>Adult</v>
      </c>
      <c r="W251" t="str">
        <f t="shared" si="21"/>
        <v>Sep</v>
      </c>
      <c r="X251">
        <f t="shared" si="22"/>
        <v>9</v>
      </c>
      <c r="Y251" t="str">
        <f t="shared" si="23"/>
        <v>Q3</v>
      </c>
      <c r="Z251">
        <f t="shared" si="24"/>
        <v>2025</v>
      </c>
      <c r="AA251" t="str">
        <f t="shared" si="25"/>
        <v>Sunday</v>
      </c>
      <c r="AB251">
        <f t="shared" si="26"/>
        <v>-20</v>
      </c>
      <c r="AC251" t="str">
        <f>IF(OR(D251="Heart Disease",D251="Cancer",D251="Stroke"),"High",IF(OR(D251="Diabetes",D251="Asthma"),"Medium","Low"))</f>
        <v>Low</v>
      </c>
      <c r="AD251" t="str">
        <f t="shared" si="27"/>
        <v>No</v>
      </c>
      <c r="AE251" t="str">
        <f>IF(G251&lt;=2,"Short Stay", IF(G251&lt;=7,"Normal Stay", "Long Stay"))</f>
        <v>Long Stay</v>
      </c>
      <c r="AF251" t="str">
        <f>IF(F251&gt;60000,"Expensive",IF(F251&gt;30000,"Moderate","Affordable"))</f>
        <v>Affordable</v>
      </c>
      <c r="AG251" t="str">
        <f>IF(J251&gt;=4.5,"Excellent",IF(J251&gt;=3.5,"Good",IF(J251&gt;=2.5,"Average","Poor")))</f>
        <v>Average</v>
      </c>
      <c r="AH251" t="str">
        <f>IF(OR(TEXT(N251,"dddd")="Saturday",TEXT(N251,"dddd")="Sunday"),"Weekend","Weekday")</f>
        <v>Weekend</v>
      </c>
    </row>
    <row r="252" spans="1:34" x14ac:dyDescent="0.3">
      <c r="A252">
        <v>255</v>
      </c>
      <c r="B252">
        <v>65</v>
      </c>
      <c r="C252" t="s">
        <v>21</v>
      </c>
      <c r="D252" t="s">
        <v>116</v>
      </c>
      <c r="E252" t="s">
        <v>117</v>
      </c>
      <c r="F252">
        <v>4000</v>
      </c>
      <c r="G252">
        <v>21</v>
      </c>
      <c r="H252" t="s">
        <v>24</v>
      </c>
      <c r="I252" t="s">
        <v>39</v>
      </c>
      <c r="J252">
        <v>4</v>
      </c>
      <c r="K252" t="s">
        <v>194</v>
      </c>
      <c r="L252" t="s">
        <v>627</v>
      </c>
      <c r="M252" t="s">
        <v>628</v>
      </c>
      <c r="N252" s="2">
        <v>45908</v>
      </c>
      <c r="O252" s="2">
        <v>45929</v>
      </c>
      <c r="P252" t="s">
        <v>29</v>
      </c>
      <c r="Q252" t="s">
        <v>44</v>
      </c>
      <c r="R252" t="s">
        <v>45</v>
      </c>
      <c r="S252" t="s">
        <v>32</v>
      </c>
      <c r="T252" t="s">
        <v>33</v>
      </c>
      <c r="U252" t="s">
        <v>46</v>
      </c>
      <c r="V252" t="str">
        <f>IF(B252&lt;=18,"Children",IF(B252&lt;=35,"Young adult",IF(B252&lt;=60,"Adult", "Senior Citizen")))</f>
        <v>Senior Citizen</v>
      </c>
      <c r="W252" t="str">
        <f t="shared" si="21"/>
        <v>Sep</v>
      </c>
      <c r="X252">
        <f t="shared" si="22"/>
        <v>9</v>
      </c>
      <c r="Y252" t="str">
        <f t="shared" si="23"/>
        <v>Q3</v>
      </c>
      <c r="Z252">
        <f t="shared" si="24"/>
        <v>2025</v>
      </c>
      <c r="AA252" t="str">
        <f t="shared" si="25"/>
        <v>Monday</v>
      </c>
      <c r="AB252">
        <f t="shared" si="26"/>
        <v>-21</v>
      </c>
      <c r="AC252" t="str">
        <f>IF(OR(D252="Heart Disease",D252="Cancer",D252="Stroke"),"High",IF(OR(D252="Diabetes",D252="Asthma"),"Medium","Low"))</f>
        <v>Low</v>
      </c>
      <c r="AD252" t="str">
        <f t="shared" si="27"/>
        <v>No</v>
      </c>
      <c r="AE252" t="str">
        <f>IF(G252&lt;=2,"Short Stay", IF(G252&lt;=7,"Normal Stay", "Long Stay"))</f>
        <v>Long Stay</v>
      </c>
      <c r="AF252" t="str">
        <f>IF(F252&gt;60000,"Expensive",IF(F252&gt;30000,"Moderate","Affordable"))</f>
        <v>Affordable</v>
      </c>
      <c r="AG252" t="str">
        <f>IF(J252&gt;=4.5,"Excellent",IF(J252&gt;=3.5,"Good",IF(J252&gt;=2.5,"Average","Poor")))</f>
        <v>Good</v>
      </c>
      <c r="AH252" t="str">
        <f>IF(OR(TEXT(N252,"dddd")="Saturday",TEXT(N252,"dddd")="Sunday"),"Weekend","Weekday")</f>
        <v>Weekday</v>
      </c>
    </row>
    <row r="253" spans="1:34" x14ac:dyDescent="0.3">
      <c r="A253">
        <v>256</v>
      </c>
      <c r="B253">
        <v>55</v>
      </c>
      <c r="C253" t="s">
        <v>21</v>
      </c>
      <c r="D253" t="s">
        <v>22</v>
      </c>
      <c r="E253" t="s">
        <v>23</v>
      </c>
      <c r="F253">
        <v>15000</v>
      </c>
      <c r="G253">
        <v>22</v>
      </c>
      <c r="H253" t="s">
        <v>38</v>
      </c>
      <c r="I253" t="s">
        <v>25</v>
      </c>
      <c r="J253">
        <v>3</v>
      </c>
      <c r="K253" t="s">
        <v>136</v>
      </c>
      <c r="L253" t="s">
        <v>629</v>
      </c>
      <c r="M253" t="s">
        <v>630</v>
      </c>
      <c r="N253" s="2">
        <v>45909</v>
      </c>
      <c r="O253" s="2">
        <v>45931</v>
      </c>
      <c r="P253" t="s">
        <v>29</v>
      </c>
      <c r="Q253" t="s">
        <v>71</v>
      </c>
      <c r="R253" t="s">
        <v>31</v>
      </c>
      <c r="S253" t="s">
        <v>110</v>
      </c>
      <c r="T253" t="s">
        <v>33</v>
      </c>
      <c r="U253" t="s">
        <v>46</v>
      </c>
      <c r="V253" t="str">
        <f>IF(B253&lt;=18,"Children",IF(B253&lt;=35,"Young adult",IF(B253&lt;=60,"Adult", "Senior Citizen")))</f>
        <v>Adult</v>
      </c>
      <c r="W253" t="str">
        <f t="shared" si="21"/>
        <v>Sep</v>
      </c>
      <c r="X253">
        <f t="shared" si="22"/>
        <v>9</v>
      </c>
      <c r="Y253" t="str">
        <f t="shared" si="23"/>
        <v>Q3</v>
      </c>
      <c r="Z253">
        <f t="shared" si="24"/>
        <v>2025</v>
      </c>
      <c r="AA253" t="str">
        <f t="shared" si="25"/>
        <v>Tuesday</v>
      </c>
      <c r="AB253">
        <f t="shared" si="26"/>
        <v>-22</v>
      </c>
      <c r="AC253" t="str">
        <f>IF(OR(D253="Heart Disease",D253="Cancer",D253="Stroke"),"High",IF(OR(D253="Diabetes",D253="Asthma"),"Medium","Low"))</f>
        <v>High</v>
      </c>
      <c r="AD253" t="str">
        <f t="shared" si="27"/>
        <v>Yes</v>
      </c>
      <c r="AE253" t="str">
        <f>IF(G253&lt;=2,"Short Stay", IF(G253&lt;=7,"Normal Stay", "Long Stay"))</f>
        <v>Long Stay</v>
      </c>
      <c r="AF253" t="str">
        <f>IF(F253&gt;60000,"Expensive",IF(F253&gt;30000,"Moderate","Affordable"))</f>
        <v>Affordable</v>
      </c>
      <c r="AG253" t="str">
        <f>IF(J253&gt;=4.5,"Excellent",IF(J253&gt;=3.5,"Good",IF(J253&gt;=2.5,"Average","Poor")))</f>
        <v>Average</v>
      </c>
      <c r="AH253" t="str">
        <f>IF(OR(TEXT(N253,"dddd")="Saturday",TEXT(N253,"dddd")="Sunday"),"Weekend","Weekday")</f>
        <v>Weekday</v>
      </c>
    </row>
    <row r="254" spans="1:34" x14ac:dyDescent="0.3">
      <c r="A254">
        <v>257</v>
      </c>
      <c r="B254">
        <v>62</v>
      </c>
      <c r="C254" t="s">
        <v>35</v>
      </c>
      <c r="D254" t="s">
        <v>36</v>
      </c>
      <c r="E254" t="s">
        <v>37</v>
      </c>
      <c r="F254">
        <v>2000</v>
      </c>
      <c r="G254">
        <v>20</v>
      </c>
      <c r="H254" t="s">
        <v>24</v>
      </c>
      <c r="I254" t="s">
        <v>39</v>
      </c>
      <c r="J254">
        <v>4</v>
      </c>
      <c r="K254" t="s">
        <v>133</v>
      </c>
      <c r="L254" t="s">
        <v>631</v>
      </c>
      <c r="M254" t="s">
        <v>632</v>
      </c>
      <c r="N254" s="2">
        <v>45910</v>
      </c>
      <c r="O254" s="2">
        <v>45930</v>
      </c>
      <c r="P254" t="s">
        <v>43</v>
      </c>
      <c r="Q254" t="s">
        <v>71</v>
      </c>
      <c r="R254" t="s">
        <v>45</v>
      </c>
      <c r="S254" t="s">
        <v>53</v>
      </c>
      <c r="T254" t="s">
        <v>33</v>
      </c>
      <c r="U254" t="s">
        <v>46</v>
      </c>
      <c r="V254" t="str">
        <f>IF(B254&lt;=18,"Children",IF(B254&lt;=35,"Young adult",IF(B254&lt;=60,"Adult", "Senior Citizen")))</f>
        <v>Senior Citizen</v>
      </c>
      <c r="W254" t="str">
        <f t="shared" si="21"/>
        <v>Sep</v>
      </c>
      <c r="X254">
        <f t="shared" si="22"/>
        <v>9</v>
      </c>
      <c r="Y254" t="str">
        <f t="shared" si="23"/>
        <v>Q3</v>
      </c>
      <c r="Z254">
        <f t="shared" si="24"/>
        <v>2025</v>
      </c>
      <c r="AA254" t="str">
        <f t="shared" si="25"/>
        <v>Wednesday</v>
      </c>
      <c r="AB254">
        <f t="shared" si="26"/>
        <v>-20</v>
      </c>
      <c r="AC254" t="str">
        <f>IF(OR(D254="Heart Disease",D254="Cancer",D254="Stroke"),"High",IF(OR(D254="Diabetes",D254="Asthma"),"Medium","Low"))</f>
        <v>Medium</v>
      </c>
      <c r="AD254" t="str">
        <f t="shared" si="27"/>
        <v>No</v>
      </c>
      <c r="AE254" t="str">
        <f>IF(G254&lt;=2,"Short Stay", IF(G254&lt;=7,"Normal Stay", "Long Stay"))</f>
        <v>Long Stay</v>
      </c>
      <c r="AF254" t="str">
        <f>IF(F254&gt;60000,"Expensive",IF(F254&gt;30000,"Moderate","Affordable"))</f>
        <v>Affordable</v>
      </c>
      <c r="AG254" t="str">
        <f>IF(J254&gt;=4.5,"Excellent",IF(J254&gt;=3.5,"Good",IF(J254&gt;=2.5,"Average","Poor")))</f>
        <v>Good</v>
      </c>
      <c r="AH254" t="str">
        <f>IF(OR(TEXT(N254,"dddd")="Saturday",TEXT(N254,"dddd")="Sunday"),"Weekend","Weekday")</f>
        <v>Weekday</v>
      </c>
    </row>
    <row r="255" spans="1:34" x14ac:dyDescent="0.3">
      <c r="A255">
        <v>258</v>
      </c>
      <c r="B255">
        <v>35</v>
      </c>
      <c r="C255" t="s">
        <v>21</v>
      </c>
      <c r="D255" t="s">
        <v>47</v>
      </c>
      <c r="E255" t="s">
        <v>48</v>
      </c>
      <c r="F255">
        <v>500</v>
      </c>
      <c r="G255">
        <v>18</v>
      </c>
      <c r="H255" t="s">
        <v>38</v>
      </c>
      <c r="I255" t="s">
        <v>25</v>
      </c>
      <c r="J255">
        <v>5</v>
      </c>
      <c r="K255" t="s">
        <v>96</v>
      </c>
      <c r="L255" t="s">
        <v>633</v>
      </c>
      <c r="M255" t="s">
        <v>634</v>
      </c>
      <c r="N255" s="2">
        <v>45911</v>
      </c>
      <c r="O255" s="2">
        <v>45929</v>
      </c>
      <c r="P255" t="s">
        <v>43</v>
      </c>
      <c r="Q255" t="s">
        <v>30</v>
      </c>
      <c r="R255" t="s">
        <v>45</v>
      </c>
      <c r="S255" t="s">
        <v>110</v>
      </c>
      <c r="T255" t="s">
        <v>33</v>
      </c>
      <c r="U255" t="s">
        <v>104</v>
      </c>
      <c r="V255" t="str">
        <f>IF(B255&lt;=18,"Children",IF(B255&lt;=35,"Young adult",IF(B255&lt;=60,"Adult", "Senior Citizen")))</f>
        <v>Young adult</v>
      </c>
      <c r="W255" t="str">
        <f t="shared" si="21"/>
        <v>Sep</v>
      </c>
      <c r="X255">
        <f t="shared" si="22"/>
        <v>9</v>
      </c>
      <c r="Y255" t="str">
        <f t="shared" si="23"/>
        <v>Q3</v>
      </c>
      <c r="Z255">
        <f t="shared" si="24"/>
        <v>2025</v>
      </c>
      <c r="AA255" t="str">
        <f t="shared" si="25"/>
        <v>Thursday</v>
      </c>
      <c r="AB255">
        <f t="shared" si="26"/>
        <v>-18</v>
      </c>
      <c r="AC255" t="str">
        <f>IF(OR(D255="Heart Disease",D255="Cancer",D255="Stroke"),"High",IF(OR(D255="Diabetes",D255="Asthma"),"Medium","Low"))</f>
        <v>Low</v>
      </c>
      <c r="AD255" t="str">
        <f t="shared" si="27"/>
        <v>No</v>
      </c>
      <c r="AE255" t="str">
        <f>IF(G255&lt;=2,"Short Stay", IF(G255&lt;=7,"Normal Stay", "Long Stay"))</f>
        <v>Long Stay</v>
      </c>
      <c r="AF255" t="str">
        <f>IF(F255&gt;60000,"Expensive",IF(F255&gt;30000,"Moderate","Affordable"))</f>
        <v>Affordable</v>
      </c>
      <c r="AG255" t="str">
        <f>IF(J255&gt;=4.5,"Excellent",IF(J255&gt;=3.5,"Good",IF(J255&gt;=2.5,"Average","Poor")))</f>
        <v>Excellent</v>
      </c>
      <c r="AH255" t="str">
        <f>IF(OR(TEXT(N255,"dddd")="Saturday",TEXT(N255,"dddd")="Sunday"),"Weekend","Weekday")</f>
        <v>Weekday</v>
      </c>
    </row>
    <row r="256" spans="1:34" x14ac:dyDescent="0.3">
      <c r="A256">
        <v>259</v>
      </c>
      <c r="B256">
        <v>78</v>
      </c>
      <c r="C256" t="s">
        <v>35</v>
      </c>
      <c r="D256" t="s">
        <v>54</v>
      </c>
      <c r="E256" t="s">
        <v>55</v>
      </c>
      <c r="F256">
        <v>10000</v>
      </c>
      <c r="G256">
        <v>24</v>
      </c>
      <c r="H256" t="s">
        <v>24</v>
      </c>
      <c r="I256" t="s">
        <v>39</v>
      </c>
      <c r="J256">
        <v>2</v>
      </c>
      <c r="K256" t="s">
        <v>26</v>
      </c>
      <c r="L256" t="s">
        <v>635</v>
      </c>
      <c r="M256" t="s">
        <v>636</v>
      </c>
      <c r="N256" s="2">
        <v>45912</v>
      </c>
      <c r="O256" s="2">
        <v>45936</v>
      </c>
      <c r="P256" t="s">
        <v>29</v>
      </c>
      <c r="Q256" t="s">
        <v>44</v>
      </c>
      <c r="R256" t="s">
        <v>59</v>
      </c>
      <c r="S256" t="s">
        <v>110</v>
      </c>
      <c r="T256" t="s">
        <v>33</v>
      </c>
      <c r="U256" t="s">
        <v>78</v>
      </c>
      <c r="V256" t="str">
        <f>IF(B256&lt;=18,"Children",IF(B256&lt;=35,"Young adult",IF(B256&lt;=60,"Adult", "Senior Citizen")))</f>
        <v>Senior Citizen</v>
      </c>
      <c r="W256" t="str">
        <f t="shared" si="21"/>
        <v>Sep</v>
      </c>
      <c r="X256">
        <f t="shared" si="22"/>
        <v>9</v>
      </c>
      <c r="Y256" t="str">
        <f t="shared" si="23"/>
        <v>Q3</v>
      </c>
      <c r="Z256">
        <f t="shared" si="24"/>
        <v>2025</v>
      </c>
      <c r="AA256" t="str">
        <f t="shared" si="25"/>
        <v>Friday</v>
      </c>
      <c r="AB256">
        <f t="shared" si="26"/>
        <v>-24</v>
      </c>
      <c r="AC256" t="str">
        <f>IF(OR(D256="Heart Disease",D256="Cancer",D256="Stroke"),"High",IF(OR(D256="Diabetes",D256="Asthma"),"Medium","Low"))</f>
        <v>High</v>
      </c>
      <c r="AD256" t="str">
        <f t="shared" si="27"/>
        <v>Yes</v>
      </c>
      <c r="AE256" t="str">
        <f>IF(G256&lt;=2,"Short Stay", IF(G256&lt;=7,"Normal Stay", "Long Stay"))</f>
        <v>Long Stay</v>
      </c>
      <c r="AF256" t="str">
        <f>IF(F256&gt;60000,"Expensive",IF(F256&gt;30000,"Moderate","Affordable"))</f>
        <v>Affordable</v>
      </c>
      <c r="AG256" t="str">
        <f>IF(J256&gt;=4.5,"Excellent",IF(J256&gt;=3.5,"Good",IF(J256&gt;=2.5,"Average","Poor")))</f>
        <v>Poor</v>
      </c>
      <c r="AH256" t="str">
        <f>IF(OR(TEXT(N256,"dddd")="Saturday",TEXT(N256,"dddd")="Sunday"),"Weekend","Weekday")</f>
        <v>Weekday</v>
      </c>
    </row>
    <row r="257" spans="1:34" x14ac:dyDescent="0.3">
      <c r="A257">
        <v>260</v>
      </c>
      <c r="B257">
        <v>53</v>
      </c>
      <c r="C257" t="s">
        <v>21</v>
      </c>
      <c r="D257" t="s">
        <v>60</v>
      </c>
      <c r="E257" t="s">
        <v>61</v>
      </c>
      <c r="F257">
        <v>25000</v>
      </c>
      <c r="G257">
        <v>27</v>
      </c>
      <c r="H257" t="s">
        <v>38</v>
      </c>
      <c r="I257" t="s">
        <v>25</v>
      </c>
      <c r="J257">
        <v>4</v>
      </c>
      <c r="K257" t="s">
        <v>26</v>
      </c>
      <c r="L257" t="s">
        <v>637</v>
      </c>
      <c r="M257" t="s">
        <v>638</v>
      </c>
      <c r="N257" s="2">
        <v>45913</v>
      </c>
      <c r="O257" s="2">
        <v>45940</v>
      </c>
      <c r="P257" t="s">
        <v>43</v>
      </c>
      <c r="Q257" t="s">
        <v>30</v>
      </c>
      <c r="R257" t="s">
        <v>65</v>
      </c>
      <c r="S257" t="s">
        <v>32</v>
      </c>
      <c r="T257" t="s">
        <v>33</v>
      </c>
      <c r="U257" t="s">
        <v>104</v>
      </c>
      <c r="V257" t="str">
        <f>IF(B257&lt;=18,"Children",IF(B257&lt;=35,"Young adult",IF(B257&lt;=60,"Adult", "Senior Citizen")))</f>
        <v>Adult</v>
      </c>
      <c r="W257" t="str">
        <f t="shared" si="21"/>
        <v>Sep</v>
      </c>
      <c r="X257">
        <f t="shared" si="22"/>
        <v>9</v>
      </c>
      <c r="Y257" t="str">
        <f t="shared" si="23"/>
        <v>Q3</v>
      </c>
      <c r="Z257">
        <f t="shared" si="24"/>
        <v>2025</v>
      </c>
      <c r="AA257" t="str">
        <f t="shared" si="25"/>
        <v>Saturday</v>
      </c>
      <c r="AB257">
        <f t="shared" si="26"/>
        <v>-27</v>
      </c>
      <c r="AC257" t="str">
        <f>IF(OR(D257="Heart Disease",D257="Cancer",D257="Stroke"),"High",IF(OR(D257="Diabetes",D257="Asthma"),"Medium","Low"))</f>
        <v>High</v>
      </c>
      <c r="AD257" t="str">
        <f t="shared" si="27"/>
        <v>Yes</v>
      </c>
      <c r="AE257" t="str">
        <f>IF(G257&lt;=2,"Short Stay", IF(G257&lt;=7,"Normal Stay", "Long Stay"))</f>
        <v>Long Stay</v>
      </c>
      <c r="AF257" t="str">
        <f>IF(F257&gt;60000,"Expensive",IF(F257&gt;30000,"Moderate","Affordable"))</f>
        <v>Affordable</v>
      </c>
      <c r="AG257" t="str">
        <f>IF(J257&gt;=4.5,"Excellent",IF(J257&gt;=3.5,"Good",IF(J257&gt;=2.5,"Average","Poor")))</f>
        <v>Good</v>
      </c>
      <c r="AH257" t="str">
        <f>IF(OR(TEXT(N257,"dddd")="Saturday",TEXT(N257,"dddd")="Sunday"),"Weekend","Weekday")</f>
        <v>Weekend</v>
      </c>
    </row>
    <row r="258" spans="1:34" x14ac:dyDescent="0.3">
      <c r="A258">
        <v>261</v>
      </c>
      <c r="B258">
        <v>72</v>
      </c>
      <c r="C258" t="s">
        <v>35</v>
      </c>
      <c r="D258" t="s">
        <v>66</v>
      </c>
      <c r="E258" t="s">
        <v>67</v>
      </c>
      <c r="F258">
        <v>1000</v>
      </c>
      <c r="G258">
        <v>19</v>
      </c>
      <c r="H258" t="s">
        <v>24</v>
      </c>
      <c r="I258" t="s">
        <v>39</v>
      </c>
      <c r="J258">
        <v>4</v>
      </c>
      <c r="K258" t="s">
        <v>133</v>
      </c>
      <c r="L258" t="s">
        <v>639</v>
      </c>
      <c r="M258" t="s">
        <v>640</v>
      </c>
      <c r="N258" s="2">
        <v>45914</v>
      </c>
      <c r="O258" s="2">
        <v>45933</v>
      </c>
      <c r="P258" t="s">
        <v>29</v>
      </c>
      <c r="Q258" t="s">
        <v>44</v>
      </c>
      <c r="R258" t="s">
        <v>45</v>
      </c>
      <c r="S258" t="s">
        <v>84</v>
      </c>
      <c r="T258" t="s">
        <v>33</v>
      </c>
      <c r="U258" t="s">
        <v>78</v>
      </c>
      <c r="V258" t="str">
        <f>IF(B258&lt;=18,"Children",IF(B258&lt;=35,"Young adult",IF(B258&lt;=60,"Adult", "Senior Citizen")))</f>
        <v>Senior Citizen</v>
      </c>
      <c r="W258" t="str">
        <f t="shared" si="21"/>
        <v>Sep</v>
      </c>
      <c r="X258">
        <f t="shared" si="22"/>
        <v>9</v>
      </c>
      <c r="Y258" t="str">
        <f t="shared" si="23"/>
        <v>Q3</v>
      </c>
      <c r="Z258">
        <f t="shared" si="24"/>
        <v>2025</v>
      </c>
      <c r="AA258" t="str">
        <f t="shared" si="25"/>
        <v>Sunday</v>
      </c>
      <c r="AB258">
        <f t="shared" si="26"/>
        <v>-19</v>
      </c>
      <c r="AC258" t="str">
        <f>IF(OR(D258="Heart Disease",D258="Cancer",D258="Stroke"),"High",IF(OR(D258="Diabetes",D258="Asthma"),"Medium","Low"))</f>
        <v>Low</v>
      </c>
      <c r="AD258" t="str">
        <f t="shared" si="27"/>
        <v>No</v>
      </c>
      <c r="AE258" t="str">
        <f>IF(G258&lt;=2,"Short Stay", IF(G258&lt;=7,"Normal Stay", "Long Stay"))</f>
        <v>Long Stay</v>
      </c>
      <c r="AF258" t="str">
        <f>IF(F258&gt;60000,"Expensive",IF(F258&gt;30000,"Moderate","Affordable"))</f>
        <v>Affordable</v>
      </c>
      <c r="AG258" t="str">
        <f>IF(J258&gt;=4.5,"Excellent",IF(J258&gt;=3.5,"Good",IF(J258&gt;=2.5,"Average","Poor")))</f>
        <v>Good</v>
      </c>
      <c r="AH258" t="str">
        <f>IF(OR(TEXT(N258,"dddd")="Saturday",TEXT(N258,"dddd")="Sunday"),"Weekend","Weekday")</f>
        <v>Weekend</v>
      </c>
    </row>
    <row r="259" spans="1:34" x14ac:dyDescent="0.3">
      <c r="A259">
        <v>262</v>
      </c>
      <c r="B259">
        <v>60</v>
      </c>
      <c r="C259" t="s">
        <v>21</v>
      </c>
      <c r="D259" t="s">
        <v>73</v>
      </c>
      <c r="E259" t="s">
        <v>74</v>
      </c>
      <c r="F259">
        <v>8000</v>
      </c>
      <c r="G259">
        <v>21</v>
      </c>
      <c r="H259" t="s">
        <v>38</v>
      </c>
      <c r="I259" t="s">
        <v>25</v>
      </c>
      <c r="J259">
        <v>3</v>
      </c>
      <c r="K259" t="s">
        <v>154</v>
      </c>
      <c r="L259" t="s">
        <v>641</v>
      </c>
      <c r="M259" t="s">
        <v>642</v>
      </c>
      <c r="N259" s="2">
        <v>45915</v>
      </c>
      <c r="O259" s="2">
        <v>45936</v>
      </c>
      <c r="P259" t="s">
        <v>43</v>
      </c>
      <c r="Q259" t="s">
        <v>139</v>
      </c>
      <c r="R259" t="s">
        <v>45</v>
      </c>
      <c r="S259" t="s">
        <v>72</v>
      </c>
      <c r="T259" t="s">
        <v>33</v>
      </c>
      <c r="U259" t="s">
        <v>104</v>
      </c>
      <c r="V259" t="str">
        <f>IF(B259&lt;=18,"Children",IF(B259&lt;=35,"Young adult",IF(B259&lt;=60,"Adult", "Senior Citizen")))</f>
        <v>Adult</v>
      </c>
      <c r="W259" t="str">
        <f t="shared" ref="W259:W322" si="28">TEXT(N259,"MMM")</f>
        <v>Sep</v>
      </c>
      <c r="X259">
        <f t="shared" ref="X259:X322" si="29">MONTH(N259)</f>
        <v>9</v>
      </c>
      <c r="Y259" t="str">
        <f t="shared" ref="Y259:Y322" si="30">"Q"&amp;ROUNDUP(MONTH(N259)/3,0)</f>
        <v>Q3</v>
      </c>
      <c r="Z259">
        <f t="shared" ref="Z259:Z322" si="31">YEAR(N259)</f>
        <v>2025</v>
      </c>
      <c r="AA259" t="str">
        <f t="shared" ref="AA259:AA322" si="32">TEXT(N259, "dddd")</f>
        <v>Monday</v>
      </c>
      <c r="AB259">
        <f t="shared" ref="AB259:AB322" si="33">N259-O259</f>
        <v>-21</v>
      </c>
      <c r="AC259" t="str">
        <f>IF(OR(D259="Heart Disease",D259="Cancer",D259="Stroke"),"High",IF(OR(D259="Diabetes",D259="Asthma"),"Medium","Low"))</f>
        <v>Low</v>
      </c>
      <c r="AD259" t="str">
        <f t="shared" ref="AD259:AD322" si="34">IF(AC259="High","Yes","No")</f>
        <v>No</v>
      </c>
      <c r="AE259" t="str">
        <f>IF(G259&lt;=2,"Short Stay", IF(G259&lt;=7,"Normal Stay", "Long Stay"))</f>
        <v>Long Stay</v>
      </c>
      <c r="AF259" t="str">
        <f>IF(F259&gt;60000,"Expensive",IF(F259&gt;30000,"Moderate","Affordable"))</f>
        <v>Affordable</v>
      </c>
      <c r="AG259" t="str">
        <f>IF(J259&gt;=4.5,"Excellent",IF(J259&gt;=3.5,"Good",IF(J259&gt;=2.5,"Average","Poor")))</f>
        <v>Average</v>
      </c>
      <c r="AH259" t="str">
        <f>IF(OR(TEXT(N259,"dddd")="Saturday",TEXT(N259,"dddd")="Sunday"),"Weekend","Weekday")</f>
        <v>Weekday</v>
      </c>
    </row>
    <row r="260" spans="1:34" x14ac:dyDescent="0.3">
      <c r="A260">
        <v>263</v>
      </c>
      <c r="B260">
        <v>45</v>
      </c>
      <c r="C260" t="s">
        <v>35</v>
      </c>
      <c r="D260" t="s">
        <v>79</v>
      </c>
      <c r="E260" t="s">
        <v>80</v>
      </c>
      <c r="F260">
        <v>3000</v>
      </c>
      <c r="G260">
        <v>23</v>
      </c>
      <c r="H260" t="s">
        <v>24</v>
      </c>
      <c r="I260" t="s">
        <v>25</v>
      </c>
      <c r="J260">
        <v>4</v>
      </c>
      <c r="K260" t="s">
        <v>49</v>
      </c>
      <c r="L260" t="s">
        <v>643</v>
      </c>
      <c r="M260" t="s">
        <v>644</v>
      </c>
      <c r="N260" s="2">
        <v>45916</v>
      </c>
      <c r="O260" s="2">
        <v>45939</v>
      </c>
      <c r="P260" t="s">
        <v>29</v>
      </c>
      <c r="Q260" t="s">
        <v>30</v>
      </c>
      <c r="R260" t="s">
        <v>45</v>
      </c>
      <c r="S260" t="s">
        <v>77</v>
      </c>
      <c r="T260" t="s">
        <v>33</v>
      </c>
      <c r="U260" t="s">
        <v>104</v>
      </c>
      <c r="V260" t="str">
        <f>IF(B260&lt;=18,"Children",IF(B260&lt;=35,"Young adult",IF(B260&lt;=60,"Adult", "Senior Citizen")))</f>
        <v>Adult</v>
      </c>
      <c r="W260" t="str">
        <f t="shared" si="28"/>
        <v>Sep</v>
      </c>
      <c r="X260">
        <f t="shared" si="29"/>
        <v>9</v>
      </c>
      <c r="Y260" t="str">
        <f t="shared" si="30"/>
        <v>Q3</v>
      </c>
      <c r="Z260">
        <f t="shared" si="31"/>
        <v>2025</v>
      </c>
      <c r="AA260" t="str">
        <f t="shared" si="32"/>
        <v>Tuesday</v>
      </c>
      <c r="AB260">
        <f t="shared" si="33"/>
        <v>-23</v>
      </c>
      <c r="AC260" t="str">
        <f>IF(OR(D260="Heart Disease",D260="Cancer",D260="Stroke"),"High",IF(OR(D260="Diabetes",D260="Asthma"),"Medium","Low"))</f>
        <v>Low</v>
      </c>
      <c r="AD260" t="str">
        <f t="shared" si="34"/>
        <v>No</v>
      </c>
      <c r="AE260" t="str">
        <f>IF(G260&lt;=2,"Short Stay", IF(G260&lt;=7,"Normal Stay", "Long Stay"))</f>
        <v>Long Stay</v>
      </c>
      <c r="AF260" t="str">
        <f>IF(F260&gt;60000,"Expensive",IF(F260&gt;30000,"Moderate","Affordable"))</f>
        <v>Affordable</v>
      </c>
      <c r="AG260" t="str">
        <f>IF(J260&gt;=4.5,"Excellent",IF(J260&gt;=3.5,"Good",IF(J260&gt;=2.5,"Average","Poor")))</f>
        <v>Good</v>
      </c>
      <c r="AH260" t="str">
        <f>IF(OR(TEXT(N260,"dddd")="Saturday",TEXT(N260,"dddd")="Sunday"),"Weekend","Weekday")</f>
        <v>Weekday</v>
      </c>
    </row>
    <row r="261" spans="1:34" x14ac:dyDescent="0.3">
      <c r="A261">
        <v>264</v>
      </c>
      <c r="B261">
        <v>75</v>
      </c>
      <c r="C261" t="s">
        <v>21</v>
      </c>
      <c r="D261" t="s">
        <v>85</v>
      </c>
      <c r="E261" t="s">
        <v>86</v>
      </c>
      <c r="F261">
        <v>18000</v>
      </c>
      <c r="G261">
        <v>25</v>
      </c>
      <c r="H261" t="s">
        <v>38</v>
      </c>
      <c r="I261" t="s">
        <v>39</v>
      </c>
      <c r="J261">
        <v>2</v>
      </c>
      <c r="K261" t="s">
        <v>200</v>
      </c>
      <c r="L261" t="s">
        <v>645</v>
      </c>
      <c r="M261" t="s">
        <v>646</v>
      </c>
      <c r="N261" s="2">
        <v>45917</v>
      </c>
      <c r="O261" s="2">
        <v>45942</v>
      </c>
      <c r="P261" t="s">
        <v>43</v>
      </c>
      <c r="Q261" t="s">
        <v>139</v>
      </c>
      <c r="R261" t="s">
        <v>45</v>
      </c>
      <c r="S261" t="s">
        <v>72</v>
      </c>
      <c r="T261" t="s">
        <v>33</v>
      </c>
      <c r="U261" t="s">
        <v>46</v>
      </c>
      <c r="V261" t="str">
        <f>IF(B261&lt;=18,"Children",IF(B261&lt;=35,"Young adult",IF(B261&lt;=60,"Adult", "Senior Citizen")))</f>
        <v>Senior Citizen</v>
      </c>
      <c r="W261" t="str">
        <f t="shared" si="28"/>
        <v>Sep</v>
      </c>
      <c r="X261">
        <f t="shared" si="29"/>
        <v>9</v>
      </c>
      <c r="Y261" t="str">
        <f t="shared" si="30"/>
        <v>Q3</v>
      </c>
      <c r="Z261">
        <f t="shared" si="31"/>
        <v>2025</v>
      </c>
      <c r="AA261" t="str">
        <f t="shared" si="32"/>
        <v>Wednesday</v>
      </c>
      <c r="AB261">
        <f t="shared" si="33"/>
        <v>-25</v>
      </c>
      <c r="AC261" t="str">
        <f>IF(OR(D261="Heart Disease",D261="Cancer",D261="Stroke"),"High",IF(OR(D261="Diabetes",D261="Asthma"),"Medium","Low"))</f>
        <v>Low</v>
      </c>
      <c r="AD261" t="str">
        <f t="shared" si="34"/>
        <v>No</v>
      </c>
      <c r="AE261" t="str">
        <f>IF(G261&lt;=2,"Short Stay", IF(G261&lt;=7,"Normal Stay", "Long Stay"))</f>
        <v>Long Stay</v>
      </c>
      <c r="AF261" t="str">
        <f>IF(F261&gt;60000,"Expensive",IF(F261&gt;30000,"Moderate","Affordable"))</f>
        <v>Affordable</v>
      </c>
      <c r="AG261" t="str">
        <f>IF(J261&gt;=4.5,"Excellent",IF(J261&gt;=3.5,"Good",IF(J261&gt;=2.5,"Average","Poor")))</f>
        <v>Poor</v>
      </c>
      <c r="AH261" t="str">
        <f>IF(OR(TEXT(N261,"dddd")="Saturday",TEXT(N261,"dddd")="Sunday"),"Weekend","Weekday")</f>
        <v>Weekday</v>
      </c>
    </row>
    <row r="262" spans="1:34" x14ac:dyDescent="0.3">
      <c r="A262">
        <v>265</v>
      </c>
      <c r="B262">
        <v>28</v>
      </c>
      <c r="C262" t="s">
        <v>35</v>
      </c>
      <c r="D262" t="s">
        <v>89</v>
      </c>
      <c r="E262" t="s">
        <v>90</v>
      </c>
      <c r="F262">
        <v>100</v>
      </c>
      <c r="G262">
        <v>18</v>
      </c>
      <c r="H262" t="s">
        <v>24</v>
      </c>
      <c r="I262" t="s">
        <v>25</v>
      </c>
      <c r="J262">
        <v>5</v>
      </c>
      <c r="K262" t="s">
        <v>429</v>
      </c>
      <c r="L262" t="s">
        <v>647</v>
      </c>
      <c r="M262" t="s">
        <v>648</v>
      </c>
      <c r="N262" s="2">
        <v>45918</v>
      </c>
      <c r="O262" s="2">
        <v>45936</v>
      </c>
      <c r="P262" t="s">
        <v>43</v>
      </c>
      <c r="Q262" t="s">
        <v>71</v>
      </c>
      <c r="R262" t="s">
        <v>45</v>
      </c>
      <c r="S262" t="s">
        <v>72</v>
      </c>
      <c r="T262" t="s">
        <v>33</v>
      </c>
      <c r="U262" t="s">
        <v>104</v>
      </c>
      <c r="V262" t="str">
        <f>IF(B262&lt;=18,"Children",IF(B262&lt;=35,"Young adult",IF(B262&lt;=60,"Adult", "Senior Citizen")))</f>
        <v>Young adult</v>
      </c>
      <c r="W262" t="str">
        <f t="shared" si="28"/>
        <v>Sep</v>
      </c>
      <c r="X262">
        <f t="shared" si="29"/>
        <v>9</v>
      </c>
      <c r="Y262" t="str">
        <f t="shared" si="30"/>
        <v>Q3</v>
      </c>
      <c r="Z262">
        <f t="shared" si="31"/>
        <v>2025</v>
      </c>
      <c r="AA262" t="str">
        <f t="shared" si="32"/>
        <v>Thursday</v>
      </c>
      <c r="AB262">
        <f t="shared" si="33"/>
        <v>-18</v>
      </c>
      <c r="AC262" t="str">
        <f>IF(OR(D262="Heart Disease",D262="Cancer",D262="Stroke"),"High",IF(OR(D262="Diabetes",D262="Asthma"),"Medium","Low"))</f>
        <v>Low</v>
      </c>
      <c r="AD262" t="str">
        <f t="shared" si="34"/>
        <v>No</v>
      </c>
      <c r="AE262" t="str">
        <f>IF(G262&lt;=2,"Short Stay", IF(G262&lt;=7,"Normal Stay", "Long Stay"))</f>
        <v>Long Stay</v>
      </c>
      <c r="AF262" t="str">
        <f>IF(F262&gt;60000,"Expensive",IF(F262&gt;30000,"Moderate","Affordable"))</f>
        <v>Affordable</v>
      </c>
      <c r="AG262" t="str">
        <f>IF(J262&gt;=4.5,"Excellent",IF(J262&gt;=3.5,"Good",IF(J262&gt;=2.5,"Average","Poor")))</f>
        <v>Excellent</v>
      </c>
      <c r="AH262" t="str">
        <f>IF(OR(TEXT(N262,"dddd")="Saturday",TEXT(N262,"dddd")="Sunday"),"Weekend","Weekday")</f>
        <v>Weekday</v>
      </c>
    </row>
    <row r="263" spans="1:34" x14ac:dyDescent="0.3">
      <c r="A263">
        <v>266</v>
      </c>
      <c r="B263">
        <v>52</v>
      </c>
      <c r="C263" t="s">
        <v>21</v>
      </c>
      <c r="D263" t="s">
        <v>94</v>
      </c>
      <c r="E263" t="s">
        <v>95</v>
      </c>
      <c r="F263">
        <v>800</v>
      </c>
      <c r="G263">
        <v>19</v>
      </c>
      <c r="H263" t="s">
        <v>24</v>
      </c>
      <c r="I263" t="s">
        <v>39</v>
      </c>
      <c r="J263">
        <v>4</v>
      </c>
      <c r="K263" t="s">
        <v>250</v>
      </c>
      <c r="L263" t="s">
        <v>649</v>
      </c>
      <c r="M263" t="s">
        <v>650</v>
      </c>
      <c r="N263" s="2">
        <v>45919</v>
      </c>
      <c r="O263" s="2">
        <v>45938</v>
      </c>
      <c r="P263" t="s">
        <v>43</v>
      </c>
      <c r="Q263" t="s">
        <v>52</v>
      </c>
      <c r="R263" t="s">
        <v>45</v>
      </c>
      <c r="S263" t="s">
        <v>53</v>
      </c>
      <c r="T263" t="s">
        <v>33</v>
      </c>
      <c r="U263" t="s">
        <v>78</v>
      </c>
      <c r="V263" t="str">
        <f>IF(B263&lt;=18,"Children",IF(B263&lt;=35,"Young adult",IF(B263&lt;=60,"Adult", "Senior Citizen")))</f>
        <v>Adult</v>
      </c>
      <c r="W263" t="str">
        <f t="shared" si="28"/>
        <v>Sep</v>
      </c>
      <c r="X263">
        <f t="shared" si="29"/>
        <v>9</v>
      </c>
      <c r="Y263" t="str">
        <f t="shared" si="30"/>
        <v>Q3</v>
      </c>
      <c r="Z263">
        <f t="shared" si="31"/>
        <v>2025</v>
      </c>
      <c r="AA263" t="str">
        <f t="shared" si="32"/>
        <v>Friday</v>
      </c>
      <c r="AB263">
        <f t="shared" si="33"/>
        <v>-19</v>
      </c>
      <c r="AC263" t="str">
        <f>IF(OR(D263="Heart Disease",D263="Cancer",D263="Stroke"),"High",IF(OR(D263="Diabetes",D263="Asthma"),"Medium","Low"))</f>
        <v>Low</v>
      </c>
      <c r="AD263" t="str">
        <f t="shared" si="34"/>
        <v>No</v>
      </c>
      <c r="AE263" t="str">
        <f>IF(G263&lt;=2,"Short Stay", IF(G263&lt;=7,"Normal Stay", "Long Stay"))</f>
        <v>Long Stay</v>
      </c>
      <c r="AF263" t="str">
        <f>IF(F263&gt;60000,"Expensive",IF(F263&gt;30000,"Moderate","Affordable"))</f>
        <v>Affordable</v>
      </c>
      <c r="AG263" t="str">
        <f>IF(J263&gt;=4.5,"Excellent",IF(J263&gt;=3.5,"Good",IF(J263&gt;=2.5,"Average","Poor")))</f>
        <v>Good</v>
      </c>
      <c r="AH263" t="str">
        <f>IF(OR(TEXT(N263,"dddd")="Saturday",TEXT(N263,"dddd")="Sunday"),"Weekend","Weekday")</f>
        <v>Weekday</v>
      </c>
    </row>
    <row r="264" spans="1:34" x14ac:dyDescent="0.3">
      <c r="A264">
        <v>267</v>
      </c>
      <c r="B264">
        <v>67</v>
      </c>
      <c r="C264" t="s">
        <v>35</v>
      </c>
      <c r="D264" t="s">
        <v>99</v>
      </c>
      <c r="E264" t="s">
        <v>100</v>
      </c>
      <c r="F264">
        <v>20000</v>
      </c>
      <c r="G264">
        <v>26</v>
      </c>
      <c r="H264" t="s">
        <v>24</v>
      </c>
      <c r="I264" t="s">
        <v>25</v>
      </c>
      <c r="J264">
        <v>3</v>
      </c>
      <c r="K264" t="s">
        <v>218</v>
      </c>
      <c r="L264" t="s">
        <v>651</v>
      </c>
      <c r="M264" t="s">
        <v>652</v>
      </c>
      <c r="N264" s="2">
        <v>45920</v>
      </c>
      <c r="O264" s="2">
        <v>45946</v>
      </c>
      <c r="P264" t="s">
        <v>29</v>
      </c>
      <c r="Q264" t="s">
        <v>71</v>
      </c>
      <c r="R264" t="s">
        <v>45</v>
      </c>
      <c r="S264" t="s">
        <v>84</v>
      </c>
      <c r="T264" t="s">
        <v>33</v>
      </c>
      <c r="U264" t="s">
        <v>34</v>
      </c>
      <c r="V264" t="str">
        <f>IF(B264&lt;=18,"Children",IF(B264&lt;=35,"Young adult",IF(B264&lt;=60,"Adult", "Senior Citizen")))</f>
        <v>Senior Citizen</v>
      </c>
      <c r="W264" t="str">
        <f t="shared" si="28"/>
        <v>Sep</v>
      </c>
      <c r="X264">
        <f t="shared" si="29"/>
        <v>9</v>
      </c>
      <c r="Y264" t="str">
        <f t="shared" si="30"/>
        <v>Q3</v>
      </c>
      <c r="Z264">
        <f t="shared" si="31"/>
        <v>2025</v>
      </c>
      <c r="AA264" t="str">
        <f t="shared" si="32"/>
        <v>Saturday</v>
      </c>
      <c r="AB264">
        <f t="shared" si="33"/>
        <v>-26</v>
      </c>
      <c r="AC264" t="str">
        <f>IF(OR(D264="Heart Disease",D264="Cancer",D264="Stroke"),"High",IF(OR(D264="Diabetes",D264="Asthma"),"Medium","Low"))</f>
        <v>Low</v>
      </c>
      <c r="AD264" t="str">
        <f t="shared" si="34"/>
        <v>No</v>
      </c>
      <c r="AE264" t="str">
        <f>IF(G264&lt;=2,"Short Stay", IF(G264&lt;=7,"Normal Stay", "Long Stay"))</f>
        <v>Long Stay</v>
      </c>
      <c r="AF264" t="str">
        <f>IF(F264&gt;60000,"Expensive",IF(F264&gt;30000,"Moderate","Affordable"))</f>
        <v>Affordable</v>
      </c>
      <c r="AG264" t="str">
        <f>IF(J264&gt;=4.5,"Excellent",IF(J264&gt;=3.5,"Good",IF(J264&gt;=2.5,"Average","Poor")))</f>
        <v>Average</v>
      </c>
      <c r="AH264" t="str">
        <f>IF(OR(TEXT(N264,"dddd")="Saturday",TEXT(N264,"dddd")="Sunday"),"Weekend","Weekday")</f>
        <v>Weekend</v>
      </c>
    </row>
    <row r="265" spans="1:34" x14ac:dyDescent="0.3">
      <c r="A265">
        <v>268</v>
      </c>
      <c r="B265">
        <v>35</v>
      </c>
      <c r="C265" t="s">
        <v>21</v>
      </c>
      <c r="D265" t="s">
        <v>105</v>
      </c>
      <c r="E265" t="s">
        <v>106</v>
      </c>
      <c r="F265">
        <v>12000</v>
      </c>
      <c r="G265">
        <v>20</v>
      </c>
      <c r="H265" t="s">
        <v>24</v>
      </c>
      <c r="I265" t="s">
        <v>25</v>
      </c>
      <c r="J265">
        <v>4</v>
      </c>
      <c r="K265" t="s">
        <v>281</v>
      </c>
      <c r="L265" t="s">
        <v>653</v>
      </c>
      <c r="M265" t="s">
        <v>654</v>
      </c>
      <c r="N265" s="2">
        <v>45921</v>
      </c>
      <c r="O265" s="2">
        <v>45941</v>
      </c>
      <c r="P265" t="s">
        <v>43</v>
      </c>
      <c r="Q265" t="s">
        <v>71</v>
      </c>
      <c r="R265" t="s">
        <v>45</v>
      </c>
      <c r="S265" t="s">
        <v>77</v>
      </c>
      <c r="T265" t="s">
        <v>33</v>
      </c>
      <c r="U265" t="s">
        <v>34</v>
      </c>
      <c r="V265" t="str">
        <f>IF(B265&lt;=18,"Children",IF(B265&lt;=35,"Young adult",IF(B265&lt;=60,"Adult", "Senior Citizen")))</f>
        <v>Young adult</v>
      </c>
      <c r="W265" t="str">
        <f t="shared" si="28"/>
        <v>Sep</v>
      </c>
      <c r="X265">
        <f t="shared" si="29"/>
        <v>9</v>
      </c>
      <c r="Y265" t="str">
        <f t="shared" si="30"/>
        <v>Q3</v>
      </c>
      <c r="Z265">
        <f t="shared" si="31"/>
        <v>2025</v>
      </c>
      <c r="AA265" t="str">
        <f t="shared" si="32"/>
        <v>Sunday</v>
      </c>
      <c r="AB265">
        <f t="shared" si="33"/>
        <v>-20</v>
      </c>
      <c r="AC265" t="str">
        <f>IF(OR(D265="Heart Disease",D265="Cancer",D265="Stroke"),"High",IF(OR(D265="Diabetes",D265="Asthma"),"Medium","Low"))</f>
        <v>Low</v>
      </c>
      <c r="AD265" t="str">
        <f t="shared" si="34"/>
        <v>No</v>
      </c>
      <c r="AE265" t="str">
        <f>IF(G265&lt;=2,"Short Stay", IF(G265&lt;=7,"Normal Stay", "Long Stay"))</f>
        <v>Long Stay</v>
      </c>
      <c r="AF265" t="str">
        <f>IF(F265&gt;60000,"Expensive",IF(F265&gt;30000,"Moderate","Affordable"))</f>
        <v>Affordable</v>
      </c>
      <c r="AG265" t="str">
        <f>IF(J265&gt;=4.5,"Excellent",IF(J265&gt;=3.5,"Good",IF(J265&gt;=2.5,"Average","Poor")))</f>
        <v>Good</v>
      </c>
      <c r="AH265" t="str">
        <f>IF(OR(TEXT(N265,"dddd")="Saturday",TEXT(N265,"dddd")="Sunday"),"Weekend","Weekday")</f>
        <v>Weekend</v>
      </c>
    </row>
    <row r="266" spans="1:34" x14ac:dyDescent="0.3">
      <c r="A266">
        <v>269</v>
      </c>
      <c r="B266">
        <v>50</v>
      </c>
      <c r="C266" t="s">
        <v>35</v>
      </c>
      <c r="D266" t="s">
        <v>111</v>
      </c>
      <c r="E266" t="s">
        <v>112</v>
      </c>
      <c r="F266">
        <v>6000</v>
      </c>
      <c r="G266">
        <v>21</v>
      </c>
      <c r="H266" t="s">
        <v>24</v>
      </c>
      <c r="I266" t="s">
        <v>25</v>
      </c>
      <c r="J266">
        <v>3</v>
      </c>
      <c r="K266" t="s">
        <v>128</v>
      </c>
      <c r="L266" t="s">
        <v>655</v>
      </c>
      <c r="M266" t="s">
        <v>656</v>
      </c>
      <c r="N266" s="2">
        <v>45922</v>
      </c>
      <c r="O266" s="2">
        <v>45943</v>
      </c>
      <c r="P266" t="s">
        <v>29</v>
      </c>
      <c r="Q266" t="s">
        <v>30</v>
      </c>
      <c r="R266" t="s">
        <v>45</v>
      </c>
      <c r="S266" t="s">
        <v>32</v>
      </c>
      <c r="T266" t="s">
        <v>33</v>
      </c>
      <c r="U266" t="s">
        <v>34</v>
      </c>
      <c r="V266" t="str">
        <f>IF(B266&lt;=18,"Children",IF(B266&lt;=35,"Young adult",IF(B266&lt;=60,"Adult", "Senior Citizen")))</f>
        <v>Adult</v>
      </c>
      <c r="W266" t="str">
        <f t="shared" si="28"/>
        <v>Sep</v>
      </c>
      <c r="X266">
        <f t="shared" si="29"/>
        <v>9</v>
      </c>
      <c r="Y266" t="str">
        <f t="shared" si="30"/>
        <v>Q3</v>
      </c>
      <c r="Z266">
        <f t="shared" si="31"/>
        <v>2025</v>
      </c>
      <c r="AA266" t="str">
        <f t="shared" si="32"/>
        <v>Monday</v>
      </c>
      <c r="AB266">
        <f t="shared" si="33"/>
        <v>-21</v>
      </c>
      <c r="AC266" t="str">
        <f>IF(OR(D266="Heart Disease",D266="Cancer",D266="Stroke"),"High",IF(OR(D266="Diabetes",D266="Asthma"),"Medium","Low"))</f>
        <v>Low</v>
      </c>
      <c r="AD266" t="str">
        <f t="shared" si="34"/>
        <v>No</v>
      </c>
      <c r="AE266" t="str">
        <f>IF(G266&lt;=2,"Short Stay", IF(G266&lt;=7,"Normal Stay", "Long Stay"))</f>
        <v>Long Stay</v>
      </c>
      <c r="AF266" t="str">
        <f>IF(F266&gt;60000,"Expensive",IF(F266&gt;30000,"Moderate","Affordable"))</f>
        <v>Affordable</v>
      </c>
      <c r="AG266" t="str">
        <f>IF(J266&gt;=4.5,"Excellent",IF(J266&gt;=3.5,"Good",IF(J266&gt;=2.5,"Average","Poor")))</f>
        <v>Average</v>
      </c>
      <c r="AH266" t="str">
        <f>IF(OR(TEXT(N266,"dddd")="Saturday",TEXT(N266,"dddd")="Sunday"),"Weekend","Weekday")</f>
        <v>Weekday</v>
      </c>
    </row>
    <row r="267" spans="1:34" x14ac:dyDescent="0.3">
      <c r="A267">
        <v>270</v>
      </c>
      <c r="B267">
        <v>60</v>
      </c>
      <c r="C267" t="s">
        <v>21</v>
      </c>
      <c r="D267" t="s">
        <v>116</v>
      </c>
      <c r="E267" t="s">
        <v>117</v>
      </c>
      <c r="F267">
        <v>4000</v>
      </c>
      <c r="G267">
        <v>22</v>
      </c>
      <c r="H267" t="s">
        <v>24</v>
      </c>
      <c r="I267" t="s">
        <v>39</v>
      </c>
      <c r="J267">
        <v>4</v>
      </c>
      <c r="K267" t="s">
        <v>62</v>
      </c>
      <c r="L267" t="s">
        <v>657</v>
      </c>
      <c r="M267" t="s">
        <v>658</v>
      </c>
      <c r="N267" s="2">
        <v>45923</v>
      </c>
      <c r="O267" s="2">
        <v>45945</v>
      </c>
      <c r="P267" t="s">
        <v>43</v>
      </c>
      <c r="Q267" t="s">
        <v>139</v>
      </c>
      <c r="R267" t="s">
        <v>45</v>
      </c>
      <c r="S267" t="s">
        <v>72</v>
      </c>
      <c r="T267" t="s">
        <v>33</v>
      </c>
      <c r="U267" t="s">
        <v>46</v>
      </c>
      <c r="V267" t="str">
        <f>IF(B267&lt;=18,"Children",IF(B267&lt;=35,"Young adult",IF(B267&lt;=60,"Adult", "Senior Citizen")))</f>
        <v>Adult</v>
      </c>
      <c r="W267" t="str">
        <f t="shared" si="28"/>
        <v>Sep</v>
      </c>
      <c r="X267">
        <f t="shared" si="29"/>
        <v>9</v>
      </c>
      <c r="Y267" t="str">
        <f t="shared" si="30"/>
        <v>Q3</v>
      </c>
      <c r="Z267">
        <f t="shared" si="31"/>
        <v>2025</v>
      </c>
      <c r="AA267" t="str">
        <f t="shared" si="32"/>
        <v>Tuesday</v>
      </c>
      <c r="AB267">
        <f t="shared" si="33"/>
        <v>-22</v>
      </c>
      <c r="AC267" t="str">
        <f>IF(OR(D267="Heart Disease",D267="Cancer",D267="Stroke"),"High",IF(OR(D267="Diabetes",D267="Asthma"),"Medium","Low"))</f>
        <v>Low</v>
      </c>
      <c r="AD267" t="str">
        <f t="shared" si="34"/>
        <v>No</v>
      </c>
      <c r="AE267" t="str">
        <f>IF(G267&lt;=2,"Short Stay", IF(G267&lt;=7,"Normal Stay", "Long Stay"))</f>
        <v>Long Stay</v>
      </c>
      <c r="AF267" t="str">
        <f>IF(F267&gt;60000,"Expensive",IF(F267&gt;30000,"Moderate","Affordable"))</f>
        <v>Affordable</v>
      </c>
      <c r="AG267" t="str">
        <f>IF(J267&gt;=4.5,"Excellent",IF(J267&gt;=3.5,"Good",IF(J267&gt;=2.5,"Average","Poor")))</f>
        <v>Good</v>
      </c>
      <c r="AH267" t="str">
        <f>IF(OR(TEXT(N267,"dddd")="Saturday",TEXT(N267,"dddd")="Sunday"),"Weekend","Weekday")</f>
        <v>Weekday</v>
      </c>
    </row>
    <row r="268" spans="1:34" x14ac:dyDescent="0.3">
      <c r="A268">
        <v>271</v>
      </c>
      <c r="B268">
        <v>48</v>
      </c>
      <c r="C268" t="s">
        <v>21</v>
      </c>
      <c r="D268" t="s">
        <v>22</v>
      </c>
      <c r="E268" t="s">
        <v>23</v>
      </c>
      <c r="F268">
        <v>15000</v>
      </c>
      <c r="G268">
        <v>23</v>
      </c>
      <c r="H268" t="s">
        <v>38</v>
      </c>
      <c r="I268" t="s">
        <v>25</v>
      </c>
      <c r="J268">
        <v>4</v>
      </c>
      <c r="K268" t="s">
        <v>81</v>
      </c>
      <c r="L268" t="s">
        <v>659</v>
      </c>
      <c r="M268" t="s">
        <v>660</v>
      </c>
      <c r="N268" s="2">
        <v>45924</v>
      </c>
      <c r="O268" s="2">
        <v>45947</v>
      </c>
      <c r="P268" t="s">
        <v>43</v>
      </c>
      <c r="Q268" t="s">
        <v>52</v>
      </c>
      <c r="R268" t="s">
        <v>31</v>
      </c>
      <c r="S268" t="s">
        <v>77</v>
      </c>
      <c r="T268" t="s">
        <v>33</v>
      </c>
      <c r="U268" t="s">
        <v>78</v>
      </c>
      <c r="V268" t="str">
        <f>IF(B268&lt;=18,"Children",IF(B268&lt;=35,"Young adult",IF(B268&lt;=60,"Adult", "Senior Citizen")))</f>
        <v>Adult</v>
      </c>
      <c r="W268" t="str">
        <f t="shared" si="28"/>
        <v>Sep</v>
      </c>
      <c r="X268">
        <f t="shared" si="29"/>
        <v>9</v>
      </c>
      <c r="Y268" t="str">
        <f t="shared" si="30"/>
        <v>Q3</v>
      </c>
      <c r="Z268">
        <f t="shared" si="31"/>
        <v>2025</v>
      </c>
      <c r="AA268" t="str">
        <f t="shared" si="32"/>
        <v>Wednesday</v>
      </c>
      <c r="AB268">
        <f t="shared" si="33"/>
        <v>-23</v>
      </c>
      <c r="AC268" t="str">
        <f>IF(OR(D268="Heart Disease",D268="Cancer",D268="Stroke"),"High",IF(OR(D268="Diabetes",D268="Asthma"),"Medium","Low"))</f>
        <v>High</v>
      </c>
      <c r="AD268" t="str">
        <f t="shared" si="34"/>
        <v>Yes</v>
      </c>
      <c r="AE268" t="str">
        <f>IF(G268&lt;=2,"Short Stay", IF(G268&lt;=7,"Normal Stay", "Long Stay"))</f>
        <v>Long Stay</v>
      </c>
      <c r="AF268" t="str">
        <f>IF(F268&gt;60000,"Expensive",IF(F268&gt;30000,"Moderate","Affordable"))</f>
        <v>Affordable</v>
      </c>
      <c r="AG268" t="str">
        <f>IF(J268&gt;=4.5,"Excellent",IF(J268&gt;=3.5,"Good",IF(J268&gt;=2.5,"Average","Poor")))</f>
        <v>Good</v>
      </c>
      <c r="AH268" t="str">
        <f>IF(OR(TEXT(N268,"dddd")="Saturday",TEXT(N268,"dddd")="Sunday"),"Weekend","Weekday")</f>
        <v>Weekday</v>
      </c>
    </row>
    <row r="269" spans="1:34" x14ac:dyDescent="0.3">
      <c r="A269">
        <v>272</v>
      </c>
      <c r="B269">
        <v>65</v>
      </c>
      <c r="C269" t="s">
        <v>35</v>
      </c>
      <c r="D269" t="s">
        <v>36</v>
      </c>
      <c r="E269" t="s">
        <v>37</v>
      </c>
      <c r="F269">
        <v>2000</v>
      </c>
      <c r="G269">
        <v>21</v>
      </c>
      <c r="H269" t="s">
        <v>24</v>
      </c>
      <c r="I269" t="s">
        <v>39</v>
      </c>
      <c r="J269">
        <v>3</v>
      </c>
      <c r="K269" t="s">
        <v>136</v>
      </c>
      <c r="L269" t="s">
        <v>661</v>
      </c>
      <c r="M269" t="s">
        <v>662</v>
      </c>
      <c r="N269" s="2">
        <v>45925</v>
      </c>
      <c r="O269" s="2">
        <v>45946</v>
      </c>
      <c r="P269" t="s">
        <v>29</v>
      </c>
      <c r="Q269" t="s">
        <v>30</v>
      </c>
      <c r="R269" t="s">
        <v>45</v>
      </c>
      <c r="S269" t="s">
        <v>53</v>
      </c>
      <c r="T269" t="s">
        <v>33</v>
      </c>
      <c r="U269" t="s">
        <v>78</v>
      </c>
      <c r="V269" t="str">
        <f>IF(B269&lt;=18,"Children",IF(B269&lt;=35,"Young adult",IF(B269&lt;=60,"Adult", "Senior Citizen")))</f>
        <v>Senior Citizen</v>
      </c>
      <c r="W269" t="str">
        <f t="shared" si="28"/>
        <v>Sep</v>
      </c>
      <c r="X269">
        <f t="shared" si="29"/>
        <v>9</v>
      </c>
      <c r="Y269" t="str">
        <f t="shared" si="30"/>
        <v>Q3</v>
      </c>
      <c r="Z269">
        <f t="shared" si="31"/>
        <v>2025</v>
      </c>
      <c r="AA269" t="str">
        <f t="shared" si="32"/>
        <v>Thursday</v>
      </c>
      <c r="AB269">
        <f t="shared" si="33"/>
        <v>-21</v>
      </c>
      <c r="AC269" t="str">
        <f>IF(OR(D269="Heart Disease",D269="Cancer",D269="Stroke"),"High",IF(OR(D269="Diabetes",D269="Asthma"),"Medium","Low"))</f>
        <v>Medium</v>
      </c>
      <c r="AD269" t="str">
        <f t="shared" si="34"/>
        <v>No</v>
      </c>
      <c r="AE269" t="str">
        <f>IF(G269&lt;=2,"Short Stay", IF(G269&lt;=7,"Normal Stay", "Long Stay"))</f>
        <v>Long Stay</v>
      </c>
      <c r="AF269" t="str">
        <f>IF(F269&gt;60000,"Expensive",IF(F269&gt;30000,"Moderate","Affordable"))</f>
        <v>Affordable</v>
      </c>
      <c r="AG269" t="str">
        <f>IF(J269&gt;=4.5,"Excellent",IF(J269&gt;=3.5,"Good",IF(J269&gt;=2.5,"Average","Poor")))</f>
        <v>Average</v>
      </c>
      <c r="AH269" t="str">
        <f>IF(OR(TEXT(N269,"dddd")="Saturday",TEXT(N269,"dddd")="Sunday"),"Weekend","Weekday")</f>
        <v>Weekday</v>
      </c>
    </row>
    <row r="270" spans="1:34" x14ac:dyDescent="0.3">
      <c r="A270">
        <v>273</v>
      </c>
      <c r="B270">
        <v>30</v>
      </c>
      <c r="C270" t="s">
        <v>21</v>
      </c>
      <c r="D270" t="s">
        <v>47</v>
      </c>
      <c r="E270" t="s">
        <v>48</v>
      </c>
      <c r="F270">
        <v>500</v>
      </c>
      <c r="G270">
        <v>19</v>
      </c>
      <c r="H270" t="s">
        <v>24</v>
      </c>
      <c r="I270" t="s">
        <v>25</v>
      </c>
      <c r="J270">
        <v>5</v>
      </c>
      <c r="K270" t="s">
        <v>175</v>
      </c>
      <c r="L270" t="s">
        <v>663</v>
      </c>
      <c r="M270" t="s">
        <v>664</v>
      </c>
      <c r="N270" s="2">
        <v>45926</v>
      </c>
      <c r="O270" s="2">
        <v>45945</v>
      </c>
      <c r="P270" t="s">
        <v>29</v>
      </c>
      <c r="Q270" t="s">
        <v>30</v>
      </c>
      <c r="R270" t="s">
        <v>45</v>
      </c>
      <c r="S270" t="s">
        <v>72</v>
      </c>
      <c r="T270" t="s">
        <v>33</v>
      </c>
      <c r="U270" t="s">
        <v>34</v>
      </c>
      <c r="V270" t="str">
        <f>IF(B270&lt;=18,"Children",IF(B270&lt;=35,"Young adult",IF(B270&lt;=60,"Adult", "Senior Citizen")))</f>
        <v>Young adult</v>
      </c>
      <c r="W270" t="str">
        <f t="shared" si="28"/>
        <v>Sep</v>
      </c>
      <c r="X270">
        <f t="shared" si="29"/>
        <v>9</v>
      </c>
      <c r="Y270" t="str">
        <f t="shared" si="30"/>
        <v>Q3</v>
      </c>
      <c r="Z270">
        <f t="shared" si="31"/>
        <v>2025</v>
      </c>
      <c r="AA270" t="str">
        <f t="shared" si="32"/>
        <v>Friday</v>
      </c>
      <c r="AB270">
        <f t="shared" si="33"/>
        <v>-19</v>
      </c>
      <c r="AC270" t="str">
        <f>IF(OR(D270="Heart Disease",D270="Cancer",D270="Stroke"),"High",IF(OR(D270="Diabetes",D270="Asthma"),"Medium","Low"))</f>
        <v>Low</v>
      </c>
      <c r="AD270" t="str">
        <f t="shared" si="34"/>
        <v>No</v>
      </c>
      <c r="AE270" t="str">
        <f>IF(G270&lt;=2,"Short Stay", IF(G270&lt;=7,"Normal Stay", "Long Stay"))</f>
        <v>Long Stay</v>
      </c>
      <c r="AF270" t="str">
        <f>IF(F270&gt;60000,"Expensive",IF(F270&gt;30000,"Moderate","Affordable"))</f>
        <v>Affordable</v>
      </c>
      <c r="AG270" t="str">
        <f>IF(J270&gt;=4.5,"Excellent",IF(J270&gt;=3.5,"Good",IF(J270&gt;=2.5,"Average","Poor")))</f>
        <v>Excellent</v>
      </c>
      <c r="AH270" t="str">
        <f>IF(OR(TEXT(N270,"dddd")="Saturday",TEXT(N270,"dddd")="Sunday"),"Weekend","Weekday")</f>
        <v>Weekday</v>
      </c>
    </row>
    <row r="271" spans="1:34" x14ac:dyDescent="0.3">
      <c r="A271">
        <v>274</v>
      </c>
      <c r="B271">
        <v>70</v>
      </c>
      <c r="C271" t="s">
        <v>35</v>
      </c>
      <c r="D271" t="s">
        <v>54</v>
      </c>
      <c r="E271" t="s">
        <v>55</v>
      </c>
      <c r="F271">
        <v>10000</v>
      </c>
      <c r="G271">
        <v>25</v>
      </c>
      <c r="H271" t="s">
        <v>38</v>
      </c>
      <c r="I271" t="s">
        <v>39</v>
      </c>
      <c r="J271">
        <v>2</v>
      </c>
      <c r="K271" t="s">
        <v>250</v>
      </c>
      <c r="L271" t="s">
        <v>665</v>
      </c>
      <c r="M271" t="s">
        <v>666</v>
      </c>
      <c r="N271" s="2">
        <v>45927</v>
      </c>
      <c r="O271" s="2">
        <v>45952</v>
      </c>
      <c r="P271" t="s">
        <v>29</v>
      </c>
      <c r="Q271" t="s">
        <v>71</v>
      </c>
      <c r="R271" t="s">
        <v>59</v>
      </c>
      <c r="S271" t="s">
        <v>110</v>
      </c>
      <c r="T271" t="s">
        <v>33</v>
      </c>
      <c r="U271" t="s">
        <v>78</v>
      </c>
      <c r="V271" t="str">
        <f>IF(B271&lt;=18,"Children",IF(B271&lt;=35,"Young adult",IF(B271&lt;=60,"Adult", "Senior Citizen")))</f>
        <v>Senior Citizen</v>
      </c>
      <c r="W271" t="str">
        <f t="shared" si="28"/>
        <v>Sep</v>
      </c>
      <c r="X271">
        <f t="shared" si="29"/>
        <v>9</v>
      </c>
      <c r="Y271" t="str">
        <f t="shared" si="30"/>
        <v>Q3</v>
      </c>
      <c r="Z271">
        <f t="shared" si="31"/>
        <v>2025</v>
      </c>
      <c r="AA271" t="str">
        <f t="shared" si="32"/>
        <v>Saturday</v>
      </c>
      <c r="AB271">
        <f t="shared" si="33"/>
        <v>-25</v>
      </c>
      <c r="AC271" t="str">
        <f>IF(OR(D271="Heart Disease",D271="Cancer",D271="Stroke"),"High",IF(OR(D271="Diabetes",D271="Asthma"),"Medium","Low"))</f>
        <v>High</v>
      </c>
      <c r="AD271" t="str">
        <f t="shared" si="34"/>
        <v>Yes</v>
      </c>
      <c r="AE271" t="str">
        <f>IF(G271&lt;=2,"Short Stay", IF(G271&lt;=7,"Normal Stay", "Long Stay"))</f>
        <v>Long Stay</v>
      </c>
      <c r="AF271" t="str">
        <f>IF(F271&gt;60000,"Expensive",IF(F271&gt;30000,"Moderate","Affordable"))</f>
        <v>Affordable</v>
      </c>
      <c r="AG271" t="str">
        <f>IF(J271&gt;=4.5,"Excellent",IF(J271&gt;=3.5,"Good",IF(J271&gt;=2.5,"Average","Poor")))</f>
        <v>Poor</v>
      </c>
      <c r="AH271" t="str">
        <f>IF(OR(TEXT(N271,"dddd")="Saturday",TEXT(N271,"dddd")="Sunday"),"Weekend","Weekday")</f>
        <v>Weekend</v>
      </c>
    </row>
    <row r="272" spans="1:34" x14ac:dyDescent="0.3">
      <c r="A272">
        <v>275</v>
      </c>
      <c r="B272">
        <v>55</v>
      </c>
      <c r="C272" t="s">
        <v>21</v>
      </c>
      <c r="D272" t="s">
        <v>60</v>
      </c>
      <c r="E272" t="s">
        <v>61</v>
      </c>
      <c r="F272">
        <v>25000</v>
      </c>
      <c r="G272">
        <v>28</v>
      </c>
      <c r="H272" t="s">
        <v>24</v>
      </c>
      <c r="I272" t="s">
        <v>25</v>
      </c>
      <c r="J272">
        <v>4</v>
      </c>
      <c r="K272" t="s">
        <v>223</v>
      </c>
      <c r="L272" t="s">
        <v>667</v>
      </c>
      <c r="M272" t="s">
        <v>668</v>
      </c>
      <c r="N272" s="2">
        <v>45928</v>
      </c>
      <c r="O272" s="2">
        <v>45956</v>
      </c>
      <c r="P272" t="s">
        <v>29</v>
      </c>
      <c r="Q272" t="s">
        <v>30</v>
      </c>
      <c r="R272" t="s">
        <v>65</v>
      </c>
      <c r="S272" t="s">
        <v>110</v>
      </c>
      <c r="T272" t="s">
        <v>33</v>
      </c>
      <c r="U272" t="s">
        <v>34</v>
      </c>
      <c r="V272" t="str">
        <f>IF(B272&lt;=18,"Children",IF(B272&lt;=35,"Young adult",IF(B272&lt;=60,"Adult", "Senior Citizen")))</f>
        <v>Adult</v>
      </c>
      <c r="W272" t="str">
        <f t="shared" si="28"/>
        <v>Sep</v>
      </c>
      <c r="X272">
        <f t="shared" si="29"/>
        <v>9</v>
      </c>
      <c r="Y272" t="str">
        <f t="shared" si="30"/>
        <v>Q3</v>
      </c>
      <c r="Z272">
        <f t="shared" si="31"/>
        <v>2025</v>
      </c>
      <c r="AA272" t="str">
        <f t="shared" si="32"/>
        <v>Sunday</v>
      </c>
      <c r="AB272">
        <f t="shared" si="33"/>
        <v>-28</v>
      </c>
      <c r="AC272" t="str">
        <f>IF(OR(D272="Heart Disease",D272="Cancer",D272="Stroke"),"High",IF(OR(D272="Diabetes",D272="Asthma"),"Medium","Low"))</f>
        <v>High</v>
      </c>
      <c r="AD272" t="str">
        <f t="shared" si="34"/>
        <v>Yes</v>
      </c>
      <c r="AE272" t="str">
        <f>IF(G272&lt;=2,"Short Stay", IF(G272&lt;=7,"Normal Stay", "Long Stay"))</f>
        <v>Long Stay</v>
      </c>
      <c r="AF272" t="str">
        <f>IF(F272&gt;60000,"Expensive",IF(F272&gt;30000,"Moderate","Affordable"))</f>
        <v>Affordable</v>
      </c>
      <c r="AG272" t="str">
        <f>IF(J272&gt;=4.5,"Excellent",IF(J272&gt;=3.5,"Good",IF(J272&gt;=2.5,"Average","Poor")))</f>
        <v>Good</v>
      </c>
      <c r="AH272" t="str">
        <f>IF(OR(TEXT(N272,"dddd")="Saturday",TEXT(N272,"dddd")="Sunday"),"Weekend","Weekday")</f>
        <v>Weekend</v>
      </c>
    </row>
    <row r="273" spans="1:34" x14ac:dyDescent="0.3">
      <c r="A273">
        <v>276</v>
      </c>
      <c r="B273">
        <v>68</v>
      </c>
      <c r="C273" t="s">
        <v>35</v>
      </c>
      <c r="D273" t="s">
        <v>66</v>
      </c>
      <c r="E273" t="s">
        <v>67</v>
      </c>
      <c r="F273">
        <v>1000</v>
      </c>
      <c r="G273">
        <v>20</v>
      </c>
      <c r="H273" t="s">
        <v>24</v>
      </c>
      <c r="I273" t="s">
        <v>39</v>
      </c>
      <c r="J273">
        <v>4</v>
      </c>
      <c r="K273" t="s">
        <v>62</v>
      </c>
      <c r="L273" t="s">
        <v>669</v>
      </c>
      <c r="M273" t="s">
        <v>670</v>
      </c>
      <c r="N273" s="2">
        <v>45929</v>
      </c>
      <c r="O273" s="2">
        <v>45949</v>
      </c>
      <c r="P273" t="s">
        <v>43</v>
      </c>
      <c r="Q273" t="s">
        <v>52</v>
      </c>
      <c r="R273" t="s">
        <v>45</v>
      </c>
      <c r="S273" t="s">
        <v>84</v>
      </c>
      <c r="T273" t="s">
        <v>33</v>
      </c>
      <c r="U273" t="s">
        <v>34</v>
      </c>
      <c r="V273" t="str">
        <f>IF(B273&lt;=18,"Children",IF(B273&lt;=35,"Young adult",IF(B273&lt;=60,"Adult", "Senior Citizen")))</f>
        <v>Senior Citizen</v>
      </c>
      <c r="W273" t="str">
        <f t="shared" si="28"/>
        <v>Sep</v>
      </c>
      <c r="X273">
        <f t="shared" si="29"/>
        <v>9</v>
      </c>
      <c r="Y273" t="str">
        <f t="shared" si="30"/>
        <v>Q3</v>
      </c>
      <c r="Z273">
        <f t="shared" si="31"/>
        <v>2025</v>
      </c>
      <c r="AA273" t="str">
        <f t="shared" si="32"/>
        <v>Monday</v>
      </c>
      <c r="AB273">
        <f t="shared" si="33"/>
        <v>-20</v>
      </c>
      <c r="AC273" t="str">
        <f>IF(OR(D273="Heart Disease",D273="Cancer",D273="Stroke"),"High",IF(OR(D273="Diabetes",D273="Asthma"),"Medium","Low"))</f>
        <v>Low</v>
      </c>
      <c r="AD273" t="str">
        <f t="shared" si="34"/>
        <v>No</v>
      </c>
      <c r="AE273" t="str">
        <f>IF(G273&lt;=2,"Short Stay", IF(G273&lt;=7,"Normal Stay", "Long Stay"))</f>
        <v>Long Stay</v>
      </c>
      <c r="AF273" t="str">
        <f>IF(F273&gt;60000,"Expensive",IF(F273&gt;30000,"Moderate","Affordable"))</f>
        <v>Affordable</v>
      </c>
      <c r="AG273" t="str">
        <f>IF(J273&gt;=4.5,"Excellent",IF(J273&gt;=3.5,"Good",IF(J273&gt;=2.5,"Average","Poor")))</f>
        <v>Good</v>
      </c>
      <c r="AH273" t="str">
        <f>IF(OR(TEXT(N273,"dddd")="Saturday",TEXT(N273,"dddd")="Sunday"),"Weekend","Weekday")</f>
        <v>Weekday</v>
      </c>
    </row>
    <row r="274" spans="1:34" x14ac:dyDescent="0.3">
      <c r="A274">
        <v>277</v>
      </c>
      <c r="B274">
        <v>45</v>
      </c>
      <c r="C274" t="s">
        <v>21</v>
      </c>
      <c r="D274" t="s">
        <v>73</v>
      </c>
      <c r="E274" t="s">
        <v>74</v>
      </c>
      <c r="F274">
        <v>8000</v>
      </c>
      <c r="G274">
        <v>22</v>
      </c>
      <c r="H274" t="s">
        <v>24</v>
      </c>
      <c r="I274" t="s">
        <v>25</v>
      </c>
      <c r="J274">
        <v>3</v>
      </c>
      <c r="K274" t="s">
        <v>149</v>
      </c>
      <c r="L274" t="s">
        <v>671</v>
      </c>
      <c r="M274" t="s">
        <v>672</v>
      </c>
      <c r="N274" s="2">
        <v>45930</v>
      </c>
      <c r="O274" s="2">
        <v>45952</v>
      </c>
      <c r="P274" t="s">
        <v>29</v>
      </c>
      <c r="Q274" t="s">
        <v>44</v>
      </c>
      <c r="R274" t="s">
        <v>45</v>
      </c>
      <c r="S274" t="s">
        <v>53</v>
      </c>
      <c r="T274" t="s">
        <v>33</v>
      </c>
      <c r="U274" t="s">
        <v>104</v>
      </c>
      <c r="V274" t="str">
        <f>IF(B274&lt;=18,"Children",IF(B274&lt;=35,"Young adult",IF(B274&lt;=60,"Adult", "Senior Citizen")))</f>
        <v>Adult</v>
      </c>
      <c r="W274" t="str">
        <f t="shared" si="28"/>
        <v>Sep</v>
      </c>
      <c r="X274">
        <f t="shared" si="29"/>
        <v>9</v>
      </c>
      <c r="Y274" t="str">
        <f t="shared" si="30"/>
        <v>Q3</v>
      </c>
      <c r="Z274">
        <f t="shared" si="31"/>
        <v>2025</v>
      </c>
      <c r="AA274" t="str">
        <f t="shared" si="32"/>
        <v>Tuesday</v>
      </c>
      <c r="AB274">
        <f t="shared" si="33"/>
        <v>-22</v>
      </c>
      <c r="AC274" t="str">
        <f>IF(OR(D274="Heart Disease",D274="Cancer",D274="Stroke"),"High",IF(OR(D274="Diabetes",D274="Asthma"),"Medium","Low"))</f>
        <v>Low</v>
      </c>
      <c r="AD274" t="str">
        <f t="shared" si="34"/>
        <v>No</v>
      </c>
      <c r="AE274" t="str">
        <f>IF(G274&lt;=2,"Short Stay", IF(G274&lt;=7,"Normal Stay", "Long Stay"))</f>
        <v>Long Stay</v>
      </c>
      <c r="AF274" t="str">
        <f>IF(F274&gt;60000,"Expensive",IF(F274&gt;30000,"Moderate","Affordable"))</f>
        <v>Affordable</v>
      </c>
      <c r="AG274" t="str">
        <f>IF(J274&gt;=4.5,"Excellent",IF(J274&gt;=3.5,"Good",IF(J274&gt;=2.5,"Average","Poor")))</f>
        <v>Average</v>
      </c>
      <c r="AH274" t="str">
        <f>IF(OR(TEXT(N274,"dddd")="Saturday",TEXT(N274,"dddd")="Sunday"),"Weekend","Weekday")</f>
        <v>Weekday</v>
      </c>
    </row>
    <row r="275" spans="1:34" x14ac:dyDescent="0.3">
      <c r="A275">
        <v>278</v>
      </c>
      <c r="B275">
        <v>40</v>
      </c>
      <c r="C275" t="s">
        <v>35</v>
      </c>
      <c r="D275" t="s">
        <v>79</v>
      </c>
      <c r="E275" t="s">
        <v>80</v>
      </c>
      <c r="F275">
        <v>3000</v>
      </c>
      <c r="G275">
        <v>24</v>
      </c>
      <c r="H275" t="s">
        <v>24</v>
      </c>
      <c r="I275" t="s">
        <v>25</v>
      </c>
      <c r="J275">
        <v>4</v>
      </c>
      <c r="K275" t="s">
        <v>172</v>
      </c>
      <c r="L275" t="s">
        <v>673</v>
      </c>
      <c r="M275" t="s">
        <v>674</v>
      </c>
      <c r="N275" s="2">
        <v>45931</v>
      </c>
      <c r="O275" s="2">
        <v>45955</v>
      </c>
      <c r="P275" t="s">
        <v>29</v>
      </c>
      <c r="Q275" t="s">
        <v>44</v>
      </c>
      <c r="R275" t="s">
        <v>45</v>
      </c>
      <c r="S275" t="s">
        <v>53</v>
      </c>
      <c r="T275" t="s">
        <v>33</v>
      </c>
      <c r="U275" t="s">
        <v>78</v>
      </c>
      <c r="V275" t="str">
        <f>IF(B275&lt;=18,"Children",IF(B275&lt;=35,"Young adult",IF(B275&lt;=60,"Adult", "Senior Citizen")))</f>
        <v>Adult</v>
      </c>
      <c r="W275" t="str">
        <f t="shared" si="28"/>
        <v>Oct</v>
      </c>
      <c r="X275">
        <f t="shared" si="29"/>
        <v>10</v>
      </c>
      <c r="Y275" t="str">
        <f t="shared" si="30"/>
        <v>Q4</v>
      </c>
      <c r="Z275">
        <f t="shared" si="31"/>
        <v>2025</v>
      </c>
      <c r="AA275" t="str">
        <f t="shared" si="32"/>
        <v>Wednesday</v>
      </c>
      <c r="AB275">
        <f t="shared" si="33"/>
        <v>-24</v>
      </c>
      <c r="AC275" t="str">
        <f>IF(OR(D275="Heart Disease",D275="Cancer",D275="Stroke"),"High",IF(OR(D275="Diabetes",D275="Asthma"),"Medium","Low"))</f>
        <v>Low</v>
      </c>
      <c r="AD275" t="str">
        <f t="shared" si="34"/>
        <v>No</v>
      </c>
      <c r="AE275" t="str">
        <f>IF(G275&lt;=2,"Short Stay", IF(G275&lt;=7,"Normal Stay", "Long Stay"))</f>
        <v>Long Stay</v>
      </c>
      <c r="AF275" t="str">
        <f>IF(F275&gt;60000,"Expensive",IF(F275&gt;30000,"Moderate","Affordable"))</f>
        <v>Affordable</v>
      </c>
      <c r="AG275" t="str">
        <f>IF(J275&gt;=4.5,"Excellent",IF(J275&gt;=3.5,"Good",IF(J275&gt;=2.5,"Average","Poor")))</f>
        <v>Good</v>
      </c>
      <c r="AH275" t="str">
        <f>IF(OR(TEXT(N275,"dddd")="Saturday",TEXT(N275,"dddd")="Sunday"),"Weekend","Weekday")</f>
        <v>Weekday</v>
      </c>
    </row>
    <row r="276" spans="1:34" x14ac:dyDescent="0.3">
      <c r="A276">
        <v>279</v>
      </c>
      <c r="B276">
        <v>78</v>
      </c>
      <c r="C276" t="s">
        <v>21</v>
      </c>
      <c r="D276" t="s">
        <v>85</v>
      </c>
      <c r="E276" t="s">
        <v>86</v>
      </c>
      <c r="F276">
        <v>18000</v>
      </c>
      <c r="G276">
        <v>26</v>
      </c>
      <c r="H276" t="s">
        <v>38</v>
      </c>
      <c r="I276" t="s">
        <v>39</v>
      </c>
      <c r="J276">
        <v>2</v>
      </c>
      <c r="K276" t="s">
        <v>380</v>
      </c>
      <c r="L276" t="s">
        <v>675</v>
      </c>
      <c r="M276" t="s">
        <v>676</v>
      </c>
      <c r="N276" s="2">
        <v>45932</v>
      </c>
      <c r="O276" s="2">
        <v>45958</v>
      </c>
      <c r="P276" t="s">
        <v>29</v>
      </c>
      <c r="Q276" t="s">
        <v>139</v>
      </c>
      <c r="R276" t="s">
        <v>45</v>
      </c>
      <c r="S276" t="s">
        <v>32</v>
      </c>
      <c r="T276" t="s">
        <v>33</v>
      </c>
      <c r="U276" t="s">
        <v>104</v>
      </c>
      <c r="V276" t="str">
        <f>IF(B276&lt;=18,"Children",IF(B276&lt;=35,"Young adult",IF(B276&lt;=60,"Adult", "Senior Citizen")))</f>
        <v>Senior Citizen</v>
      </c>
      <c r="W276" t="str">
        <f t="shared" si="28"/>
        <v>Oct</v>
      </c>
      <c r="X276">
        <f t="shared" si="29"/>
        <v>10</v>
      </c>
      <c r="Y276" t="str">
        <f t="shared" si="30"/>
        <v>Q4</v>
      </c>
      <c r="Z276">
        <f t="shared" si="31"/>
        <v>2025</v>
      </c>
      <c r="AA276" t="str">
        <f t="shared" si="32"/>
        <v>Thursday</v>
      </c>
      <c r="AB276">
        <f t="shared" si="33"/>
        <v>-26</v>
      </c>
      <c r="AC276" t="str">
        <f>IF(OR(D276="Heart Disease",D276="Cancer",D276="Stroke"),"High",IF(OR(D276="Diabetes",D276="Asthma"),"Medium","Low"))</f>
        <v>Low</v>
      </c>
      <c r="AD276" t="str">
        <f t="shared" si="34"/>
        <v>No</v>
      </c>
      <c r="AE276" t="str">
        <f>IF(G276&lt;=2,"Short Stay", IF(G276&lt;=7,"Normal Stay", "Long Stay"))</f>
        <v>Long Stay</v>
      </c>
      <c r="AF276" t="str">
        <f>IF(F276&gt;60000,"Expensive",IF(F276&gt;30000,"Moderate","Affordable"))</f>
        <v>Affordable</v>
      </c>
      <c r="AG276" t="str">
        <f>IF(J276&gt;=4.5,"Excellent",IF(J276&gt;=3.5,"Good",IF(J276&gt;=2.5,"Average","Poor")))</f>
        <v>Poor</v>
      </c>
      <c r="AH276" t="str">
        <f>IF(OR(TEXT(N276,"dddd")="Saturday",TEXT(N276,"dddd")="Sunday"),"Weekend","Weekday")</f>
        <v>Weekday</v>
      </c>
    </row>
    <row r="277" spans="1:34" x14ac:dyDescent="0.3">
      <c r="A277">
        <v>280</v>
      </c>
      <c r="B277">
        <v>25</v>
      </c>
      <c r="C277" t="s">
        <v>35</v>
      </c>
      <c r="D277" t="s">
        <v>89</v>
      </c>
      <c r="E277" t="s">
        <v>90</v>
      </c>
      <c r="F277">
        <v>100</v>
      </c>
      <c r="G277">
        <v>19</v>
      </c>
      <c r="H277" t="s">
        <v>24</v>
      </c>
      <c r="I277" t="s">
        <v>25</v>
      </c>
      <c r="J277">
        <v>5</v>
      </c>
      <c r="K277" t="s">
        <v>194</v>
      </c>
      <c r="L277" t="s">
        <v>677</v>
      </c>
      <c r="M277" t="s">
        <v>678</v>
      </c>
      <c r="N277" s="2">
        <v>45933</v>
      </c>
      <c r="O277" s="2">
        <v>45952</v>
      </c>
      <c r="P277" t="s">
        <v>43</v>
      </c>
      <c r="Q277" t="s">
        <v>139</v>
      </c>
      <c r="R277" t="s">
        <v>45</v>
      </c>
      <c r="S277" t="s">
        <v>110</v>
      </c>
      <c r="T277" t="s">
        <v>33</v>
      </c>
      <c r="U277" t="s">
        <v>34</v>
      </c>
      <c r="V277" t="str">
        <f>IF(B277&lt;=18,"Children",IF(B277&lt;=35,"Young adult",IF(B277&lt;=60,"Adult", "Senior Citizen")))</f>
        <v>Young adult</v>
      </c>
      <c r="W277" t="str">
        <f t="shared" si="28"/>
        <v>Oct</v>
      </c>
      <c r="X277">
        <f t="shared" si="29"/>
        <v>10</v>
      </c>
      <c r="Y277" t="str">
        <f t="shared" si="30"/>
        <v>Q4</v>
      </c>
      <c r="Z277">
        <f t="shared" si="31"/>
        <v>2025</v>
      </c>
      <c r="AA277" t="str">
        <f t="shared" si="32"/>
        <v>Friday</v>
      </c>
      <c r="AB277">
        <f t="shared" si="33"/>
        <v>-19</v>
      </c>
      <c r="AC277" t="str">
        <f>IF(OR(D277="Heart Disease",D277="Cancer",D277="Stroke"),"High",IF(OR(D277="Diabetes",D277="Asthma"),"Medium","Low"))</f>
        <v>Low</v>
      </c>
      <c r="AD277" t="str">
        <f t="shared" si="34"/>
        <v>No</v>
      </c>
      <c r="AE277" t="str">
        <f>IF(G277&lt;=2,"Short Stay", IF(G277&lt;=7,"Normal Stay", "Long Stay"))</f>
        <v>Long Stay</v>
      </c>
      <c r="AF277" t="str">
        <f>IF(F277&gt;60000,"Expensive",IF(F277&gt;30000,"Moderate","Affordable"))</f>
        <v>Affordable</v>
      </c>
      <c r="AG277" t="str">
        <f>IF(J277&gt;=4.5,"Excellent",IF(J277&gt;=3.5,"Good",IF(J277&gt;=2.5,"Average","Poor")))</f>
        <v>Excellent</v>
      </c>
      <c r="AH277" t="str">
        <f>IF(OR(TEXT(N277,"dddd")="Saturday",TEXT(N277,"dddd")="Sunday"),"Weekend","Weekday")</f>
        <v>Weekday</v>
      </c>
    </row>
    <row r="278" spans="1:34" x14ac:dyDescent="0.3">
      <c r="A278">
        <v>281</v>
      </c>
      <c r="B278">
        <v>52</v>
      </c>
      <c r="C278" t="s">
        <v>21</v>
      </c>
      <c r="D278" t="s">
        <v>94</v>
      </c>
      <c r="E278" t="s">
        <v>95</v>
      </c>
      <c r="F278">
        <v>800</v>
      </c>
      <c r="G278">
        <v>20</v>
      </c>
      <c r="H278" t="s">
        <v>24</v>
      </c>
      <c r="I278" t="s">
        <v>39</v>
      </c>
      <c r="J278">
        <v>4</v>
      </c>
      <c r="K278" t="s">
        <v>96</v>
      </c>
      <c r="L278" t="s">
        <v>679</v>
      </c>
      <c r="M278" t="s">
        <v>680</v>
      </c>
      <c r="N278" s="2">
        <v>45934</v>
      </c>
      <c r="O278" s="2">
        <v>45954</v>
      </c>
      <c r="P278" t="s">
        <v>43</v>
      </c>
      <c r="Q278" t="s">
        <v>139</v>
      </c>
      <c r="R278" t="s">
        <v>45</v>
      </c>
      <c r="S278" t="s">
        <v>84</v>
      </c>
      <c r="T278" t="s">
        <v>33</v>
      </c>
      <c r="U278" t="s">
        <v>104</v>
      </c>
      <c r="V278" t="str">
        <f>IF(B278&lt;=18,"Children",IF(B278&lt;=35,"Young adult",IF(B278&lt;=60,"Adult", "Senior Citizen")))</f>
        <v>Adult</v>
      </c>
      <c r="W278" t="str">
        <f t="shared" si="28"/>
        <v>Oct</v>
      </c>
      <c r="X278">
        <f t="shared" si="29"/>
        <v>10</v>
      </c>
      <c r="Y278" t="str">
        <f t="shared" si="30"/>
        <v>Q4</v>
      </c>
      <c r="Z278">
        <f t="shared" si="31"/>
        <v>2025</v>
      </c>
      <c r="AA278" t="str">
        <f t="shared" si="32"/>
        <v>Saturday</v>
      </c>
      <c r="AB278">
        <f t="shared" si="33"/>
        <v>-20</v>
      </c>
      <c r="AC278" t="str">
        <f>IF(OR(D278="Heart Disease",D278="Cancer",D278="Stroke"),"High",IF(OR(D278="Diabetes",D278="Asthma"),"Medium","Low"))</f>
        <v>Low</v>
      </c>
      <c r="AD278" t="str">
        <f t="shared" si="34"/>
        <v>No</v>
      </c>
      <c r="AE278" t="str">
        <f>IF(G278&lt;=2,"Short Stay", IF(G278&lt;=7,"Normal Stay", "Long Stay"))</f>
        <v>Long Stay</v>
      </c>
      <c r="AF278" t="str">
        <f>IF(F278&gt;60000,"Expensive",IF(F278&gt;30000,"Moderate","Affordable"))</f>
        <v>Affordable</v>
      </c>
      <c r="AG278" t="str">
        <f>IF(J278&gt;=4.5,"Excellent",IF(J278&gt;=3.5,"Good",IF(J278&gt;=2.5,"Average","Poor")))</f>
        <v>Good</v>
      </c>
      <c r="AH278" t="str">
        <f>IF(OR(TEXT(N278,"dddd")="Saturday",TEXT(N278,"dddd")="Sunday"),"Weekend","Weekday")</f>
        <v>Weekend</v>
      </c>
    </row>
    <row r="279" spans="1:34" x14ac:dyDescent="0.3">
      <c r="A279">
        <v>282</v>
      </c>
      <c r="B279">
        <v>58</v>
      </c>
      <c r="C279" t="s">
        <v>35</v>
      </c>
      <c r="D279" t="s">
        <v>99</v>
      </c>
      <c r="E279" t="s">
        <v>100</v>
      </c>
      <c r="F279">
        <v>20000</v>
      </c>
      <c r="G279">
        <v>27</v>
      </c>
      <c r="H279" t="s">
        <v>24</v>
      </c>
      <c r="I279" t="s">
        <v>25</v>
      </c>
      <c r="J279">
        <v>3</v>
      </c>
      <c r="K279" t="s">
        <v>68</v>
      </c>
      <c r="L279" t="s">
        <v>681</v>
      </c>
      <c r="M279" t="s">
        <v>682</v>
      </c>
      <c r="N279" s="2">
        <v>45935</v>
      </c>
      <c r="O279" s="2">
        <v>45962</v>
      </c>
      <c r="P279" t="s">
        <v>29</v>
      </c>
      <c r="Q279" t="s">
        <v>30</v>
      </c>
      <c r="R279" t="s">
        <v>45</v>
      </c>
      <c r="S279" t="s">
        <v>77</v>
      </c>
      <c r="T279" t="s">
        <v>33</v>
      </c>
      <c r="U279" t="s">
        <v>78</v>
      </c>
      <c r="V279" t="str">
        <f>IF(B279&lt;=18,"Children",IF(B279&lt;=35,"Young adult",IF(B279&lt;=60,"Adult", "Senior Citizen")))</f>
        <v>Adult</v>
      </c>
      <c r="W279" t="str">
        <f t="shared" si="28"/>
        <v>Oct</v>
      </c>
      <c r="X279">
        <f t="shared" si="29"/>
        <v>10</v>
      </c>
      <c r="Y279" t="str">
        <f t="shared" si="30"/>
        <v>Q4</v>
      </c>
      <c r="Z279">
        <f t="shared" si="31"/>
        <v>2025</v>
      </c>
      <c r="AA279" t="str">
        <f t="shared" si="32"/>
        <v>Sunday</v>
      </c>
      <c r="AB279">
        <f t="shared" si="33"/>
        <v>-27</v>
      </c>
      <c r="AC279" t="str">
        <f>IF(OR(D279="Heart Disease",D279="Cancer",D279="Stroke"),"High",IF(OR(D279="Diabetes",D279="Asthma"),"Medium","Low"))</f>
        <v>Low</v>
      </c>
      <c r="AD279" t="str">
        <f t="shared" si="34"/>
        <v>No</v>
      </c>
      <c r="AE279" t="str">
        <f>IF(G279&lt;=2,"Short Stay", IF(G279&lt;=7,"Normal Stay", "Long Stay"))</f>
        <v>Long Stay</v>
      </c>
      <c r="AF279" t="str">
        <f>IF(F279&gt;60000,"Expensive",IF(F279&gt;30000,"Moderate","Affordable"))</f>
        <v>Affordable</v>
      </c>
      <c r="AG279" t="str">
        <f>IF(J279&gt;=4.5,"Excellent",IF(J279&gt;=3.5,"Good",IF(J279&gt;=2.5,"Average","Poor")))</f>
        <v>Average</v>
      </c>
      <c r="AH279" t="str">
        <f>IF(OR(TEXT(N279,"dddd")="Saturday",TEXT(N279,"dddd")="Sunday"),"Weekend","Weekday")</f>
        <v>Weekend</v>
      </c>
    </row>
    <row r="280" spans="1:34" x14ac:dyDescent="0.3">
      <c r="A280">
        <v>283</v>
      </c>
      <c r="B280">
        <v>32</v>
      </c>
      <c r="C280" t="s">
        <v>21</v>
      </c>
      <c r="D280" t="s">
        <v>105</v>
      </c>
      <c r="E280" t="s">
        <v>106</v>
      </c>
      <c r="F280">
        <v>12000</v>
      </c>
      <c r="G280">
        <v>21</v>
      </c>
      <c r="H280" t="s">
        <v>24</v>
      </c>
      <c r="I280" t="s">
        <v>25</v>
      </c>
      <c r="J280">
        <v>4</v>
      </c>
      <c r="K280" t="s">
        <v>242</v>
      </c>
      <c r="L280" t="s">
        <v>683</v>
      </c>
      <c r="M280" t="s">
        <v>684</v>
      </c>
      <c r="N280" s="2">
        <v>45936</v>
      </c>
      <c r="O280" s="2">
        <v>45957</v>
      </c>
      <c r="P280" t="s">
        <v>29</v>
      </c>
      <c r="Q280" t="s">
        <v>71</v>
      </c>
      <c r="R280" t="s">
        <v>45</v>
      </c>
      <c r="S280" t="s">
        <v>84</v>
      </c>
      <c r="T280" t="s">
        <v>33</v>
      </c>
      <c r="U280" t="s">
        <v>34</v>
      </c>
      <c r="V280" t="str">
        <f>IF(B280&lt;=18,"Children",IF(B280&lt;=35,"Young adult",IF(B280&lt;=60,"Adult", "Senior Citizen")))</f>
        <v>Young adult</v>
      </c>
      <c r="W280" t="str">
        <f t="shared" si="28"/>
        <v>Oct</v>
      </c>
      <c r="X280">
        <f t="shared" si="29"/>
        <v>10</v>
      </c>
      <c r="Y280" t="str">
        <f t="shared" si="30"/>
        <v>Q4</v>
      </c>
      <c r="Z280">
        <f t="shared" si="31"/>
        <v>2025</v>
      </c>
      <c r="AA280" t="str">
        <f t="shared" si="32"/>
        <v>Monday</v>
      </c>
      <c r="AB280">
        <f t="shared" si="33"/>
        <v>-21</v>
      </c>
      <c r="AC280" t="str">
        <f>IF(OR(D280="Heart Disease",D280="Cancer",D280="Stroke"),"High",IF(OR(D280="Diabetes",D280="Asthma"),"Medium","Low"))</f>
        <v>Low</v>
      </c>
      <c r="AD280" t="str">
        <f t="shared" si="34"/>
        <v>No</v>
      </c>
      <c r="AE280" t="str">
        <f>IF(G280&lt;=2,"Short Stay", IF(G280&lt;=7,"Normal Stay", "Long Stay"))</f>
        <v>Long Stay</v>
      </c>
      <c r="AF280" t="str">
        <f>IF(F280&gt;60000,"Expensive",IF(F280&gt;30000,"Moderate","Affordable"))</f>
        <v>Affordable</v>
      </c>
      <c r="AG280" t="str">
        <f>IF(J280&gt;=4.5,"Excellent",IF(J280&gt;=3.5,"Good",IF(J280&gt;=2.5,"Average","Poor")))</f>
        <v>Good</v>
      </c>
      <c r="AH280" t="str">
        <f>IF(OR(TEXT(N280,"dddd")="Saturday",TEXT(N280,"dddd")="Sunday"),"Weekend","Weekday")</f>
        <v>Weekday</v>
      </c>
    </row>
    <row r="281" spans="1:34" x14ac:dyDescent="0.3">
      <c r="A281">
        <v>284</v>
      </c>
      <c r="B281">
        <v>55</v>
      </c>
      <c r="C281" t="s">
        <v>35</v>
      </c>
      <c r="D281" t="s">
        <v>111</v>
      </c>
      <c r="E281" t="s">
        <v>112</v>
      </c>
      <c r="F281">
        <v>6000</v>
      </c>
      <c r="G281">
        <v>22</v>
      </c>
      <c r="H281" t="s">
        <v>24</v>
      </c>
      <c r="I281" t="s">
        <v>25</v>
      </c>
      <c r="J281">
        <v>3</v>
      </c>
      <c r="K281" t="s">
        <v>128</v>
      </c>
      <c r="L281" t="s">
        <v>685</v>
      </c>
      <c r="M281" t="s">
        <v>686</v>
      </c>
      <c r="N281" s="2">
        <v>45937</v>
      </c>
      <c r="O281" s="2">
        <v>45959</v>
      </c>
      <c r="P281" t="s">
        <v>43</v>
      </c>
      <c r="Q281" t="s">
        <v>30</v>
      </c>
      <c r="R281" t="s">
        <v>45</v>
      </c>
      <c r="S281" t="s">
        <v>84</v>
      </c>
      <c r="T281" t="s">
        <v>33</v>
      </c>
      <c r="U281" t="s">
        <v>104</v>
      </c>
      <c r="V281" t="str">
        <f>IF(B281&lt;=18,"Children",IF(B281&lt;=35,"Young adult",IF(B281&lt;=60,"Adult", "Senior Citizen")))</f>
        <v>Adult</v>
      </c>
      <c r="W281" t="str">
        <f t="shared" si="28"/>
        <v>Oct</v>
      </c>
      <c r="X281">
        <f t="shared" si="29"/>
        <v>10</v>
      </c>
      <c r="Y281" t="str">
        <f t="shared" si="30"/>
        <v>Q4</v>
      </c>
      <c r="Z281">
        <f t="shared" si="31"/>
        <v>2025</v>
      </c>
      <c r="AA281" t="str">
        <f t="shared" si="32"/>
        <v>Tuesday</v>
      </c>
      <c r="AB281">
        <f t="shared" si="33"/>
        <v>-22</v>
      </c>
      <c r="AC281" t="str">
        <f>IF(OR(D281="Heart Disease",D281="Cancer",D281="Stroke"),"High",IF(OR(D281="Diabetes",D281="Asthma"),"Medium","Low"))</f>
        <v>Low</v>
      </c>
      <c r="AD281" t="str">
        <f t="shared" si="34"/>
        <v>No</v>
      </c>
      <c r="AE281" t="str">
        <f>IF(G281&lt;=2,"Short Stay", IF(G281&lt;=7,"Normal Stay", "Long Stay"))</f>
        <v>Long Stay</v>
      </c>
      <c r="AF281" t="str">
        <f>IF(F281&gt;60000,"Expensive",IF(F281&gt;30000,"Moderate","Affordable"))</f>
        <v>Affordable</v>
      </c>
      <c r="AG281" t="str">
        <f>IF(J281&gt;=4.5,"Excellent",IF(J281&gt;=3.5,"Good",IF(J281&gt;=2.5,"Average","Poor")))</f>
        <v>Average</v>
      </c>
      <c r="AH281" t="str">
        <f>IF(OR(TEXT(N281,"dddd")="Saturday",TEXT(N281,"dddd")="Sunday"),"Weekend","Weekday")</f>
        <v>Weekday</v>
      </c>
    </row>
    <row r="282" spans="1:34" x14ac:dyDescent="0.3">
      <c r="A282">
        <v>285</v>
      </c>
      <c r="B282">
        <v>65</v>
      </c>
      <c r="C282" t="s">
        <v>21</v>
      </c>
      <c r="D282" t="s">
        <v>116</v>
      </c>
      <c r="E282" t="s">
        <v>117</v>
      </c>
      <c r="F282">
        <v>4000</v>
      </c>
      <c r="G282">
        <v>23</v>
      </c>
      <c r="H282" t="s">
        <v>24</v>
      </c>
      <c r="I282" t="s">
        <v>39</v>
      </c>
      <c r="J282">
        <v>4</v>
      </c>
      <c r="K282" t="s">
        <v>197</v>
      </c>
      <c r="L282" t="s">
        <v>687</v>
      </c>
      <c r="M282" t="s">
        <v>688</v>
      </c>
      <c r="N282" s="2">
        <v>45938</v>
      </c>
      <c r="O282" s="2">
        <v>45961</v>
      </c>
      <c r="P282" t="s">
        <v>29</v>
      </c>
      <c r="Q282" t="s">
        <v>44</v>
      </c>
      <c r="R282" t="s">
        <v>45</v>
      </c>
      <c r="S282" t="s">
        <v>32</v>
      </c>
      <c r="T282" t="s">
        <v>33</v>
      </c>
      <c r="U282" t="s">
        <v>46</v>
      </c>
      <c r="V282" t="str">
        <f>IF(B282&lt;=18,"Children",IF(B282&lt;=35,"Young adult",IF(B282&lt;=60,"Adult", "Senior Citizen")))</f>
        <v>Senior Citizen</v>
      </c>
      <c r="W282" t="str">
        <f t="shared" si="28"/>
        <v>Oct</v>
      </c>
      <c r="X282">
        <f t="shared" si="29"/>
        <v>10</v>
      </c>
      <c r="Y282" t="str">
        <f t="shared" si="30"/>
        <v>Q4</v>
      </c>
      <c r="Z282">
        <f t="shared" si="31"/>
        <v>2025</v>
      </c>
      <c r="AA282" t="str">
        <f t="shared" si="32"/>
        <v>Wednesday</v>
      </c>
      <c r="AB282">
        <f t="shared" si="33"/>
        <v>-23</v>
      </c>
      <c r="AC282" t="str">
        <f>IF(OR(D282="Heart Disease",D282="Cancer",D282="Stroke"),"High",IF(OR(D282="Diabetes",D282="Asthma"),"Medium","Low"))</f>
        <v>Low</v>
      </c>
      <c r="AD282" t="str">
        <f t="shared" si="34"/>
        <v>No</v>
      </c>
      <c r="AE282" t="str">
        <f>IF(G282&lt;=2,"Short Stay", IF(G282&lt;=7,"Normal Stay", "Long Stay"))</f>
        <v>Long Stay</v>
      </c>
      <c r="AF282" t="str">
        <f>IF(F282&gt;60000,"Expensive",IF(F282&gt;30000,"Moderate","Affordable"))</f>
        <v>Affordable</v>
      </c>
      <c r="AG282" t="str">
        <f>IF(J282&gt;=4.5,"Excellent",IF(J282&gt;=3.5,"Good",IF(J282&gt;=2.5,"Average","Poor")))</f>
        <v>Good</v>
      </c>
      <c r="AH282" t="str">
        <f>IF(OR(TEXT(N282,"dddd")="Saturday",TEXT(N282,"dddd")="Sunday"),"Weekend","Weekday")</f>
        <v>Weekday</v>
      </c>
    </row>
    <row r="283" spans="1:34" x14ac:dyDescent="0.3">
      <c r="A283">
        <v>286</v>
      </c>
      <c r="B283">
        <v>55</v>
      </c>
      <c r="C283" t="s">
        <v>21</v>
      </c>
      <c r="D283" t="s">
        <v>22</v>
      </c>
      <c r="E283" t="s">
        <v>23</v>
      </c>
      <c r="F283">
        <v>15000</v>
      </c>
      <c r="G283">
        <v>24</v>
      </c>
      <c r="H283" t="s">
        <v>38</v>
      </c>
      <c r="I283" t="s">
        <v>25</v>
      </c>
      <c r="J283">
        <v>3</v>
      </c>
      <c r="K283" t="s">
        <v>91</v>
      </c>
      <c r="L283" t="s">
        <v>689</v>
      </c>
      <c r="M283" t="s">
        <v>690</v>
      </c>
      <c r="N283" s="2">
        <v>45939</v>
      </c>
      <c r="O283" s="2">
        <v>45963</v>
      </c>
      <c r="P283" t="s">
        <v>29</v>
      </c>
      <c r="Q283" t="s">
        <v>139</v>
      </c>
      <c r="R283" t="s">
        <v>31</v>
      </c>
      <c r="S283" t="s">
        <v>32</v>
      </c>
      <c r="T283" t="s">
        <v>33</v>
      </c>
      <c r="U283" t="s">
        <v>46</v>
      </c>
      <c r="V283" t="str">
        <f>IF(B283&lt;=18,"Children",IF(B283&lt;=35,"Young adult",IF(B283&lt;=60,"Adult", "Senior Citizen")))</f>
        <v>Adult</v>
      </c>
      <c r="W283" t="str">
        <f t="shared" si="28"/>
        <v>Oct</v>
      </c>
      <c r="X283">
        <f t="shared" si="29"/>
        <v>10</v>
      </c>
      <c r="Y283" t="str">
        <f t="shared" si="30"/>
        <v>Q4</v>
      </c>
      <c r="Z283">
        <f t="shared" si="31"/>
        <v>2025</v>
      </c>
      <c r="AA283" t="str">
        <f t="shared" si="32"/>
        <v>Thursday</v>
      </c>
      <c r="AB283">
        <f t="shared" si="33"/>
        <v>-24</v>
      </c>
      <c r="AC283" t="str">
        <f>IF(OR(D283="Heart Disease",D283="Cancer",D283="Stroke"),"High",IF(OR(D283="Diabetes",D283="Asthma"),"Medium","Low"))</f>
        <v>High</v>
      </c>
      <c r="AD283" t="str">
        <f t="shared" si="34"/>
        <v>Yes</v>
      </c>
      <c r="AE283" t="str">
        <f>IF(G283&lt;=2,"Short Stay", IF(G283&lt;=7,"Normal Stay", "Long Stay"))</f>
        <v>Long Stay</v>
      </c>
      <c r="AF283" t="str">
        <f>IF(F283&gt;60000,"Expensive",IF(F283&gt;30000,"Moderate","Affordable"))</f>
        <v>Affordable</v>
      </c>
      <c r="AG283" t="str">
        <f>IF(J283&gt;=4.5,"Excellent",IF(J283&gt;=3.5,"Good",IF(J283&gt;=2.5,"Average","Poor")))</f>
        <v>Average</v>
      </c>
      <c r="AH283" t="str">
        <f>IF(OR(TEXT(N283,"dddd")="Saturday",TEXT(N283,"dddd")="Sunday"),"Weekend","Weekday")</f>
        <v>Weekday</v>
      </c>
    </row>
    <row r="284" spans="1:34" x14ac:dyDescent="0.3">
      <c r="A284">
        <v>287</v>
      </c>
      <c r="B284">
        <v>62</v>
      </c>
      <c r="C284" t="s">
        <v>35</v>
      </c>
      <c r="D284" t="s">
        <v>36</v>
      </c>
      <c r="E284" t="s">
        <v>37</v>
      </c>
      <c r="F284">
        <v>2000</v>
      </c>
      <c r="G284">
        <v>22</v>
      </c>
      <c r="H284" t="s">
        <v>24</v>
      </c>
      <c r="I284" t="s">
        <v>39</v>
      </c>
      <c r="J284">
        <v>4</v>
      </c>
      <c r="K284" t="s">
        <v>329</v>
      </c>
      <c r="L284" t="s">
        <v>691</v>
      </c>
      <c r="M284" t="s">
        <v>692</v>
      </c>
      <c r="N284" s="2">
        <v>45940</v>
      </c>
      <c r="O284" s="2">
        <v>45962</v>
      </c>
      <c r="P284" t="s">
        <v>43</v>
      </c>
      <c r="Q284" t="s">
        <v>30</v>
      </c>
      <c r="R284" t="s">
        <v>45</v>
      </c>
      <c r="S284" t="s">
        <v>110</v>
      </c>
      <c r="T284" t="s">
        <v>33</v>
      </c>
      <c r="U284" t="s">
        <v>78</v>
      </c>
      <c r="V284" t="str">
        <f>IF(B284&lt;=18,"Children",IF(B284&lt;=35,"Young adult",IF(B284&lt;=60,"Adult", "Senior Citizen")))</f>
        <v>Senior Citizen</v>
      </c>
      <c r="W284" t="str">
        <f t="shared" si="28"/>
        <v>Oct</v>
      </c>
      <c r="X284">
        <f t="shared" si="29"/>
        <v>10</v>
      </c>
      <c r="Y284" t="str">
        <f t="shared" si="30"/>
        <v>Q4</v>
      </c>
      <c r="Z284">
        <f t="shared" si="31"/>
        <v>2025</v>
      </c>
      <c r="AA284" t="str">
        <f t="shared" si="32"/>
        <v>Friday</v>
      </c>
      <c r="AB284">
        <f t="shared" si="33"/>
        <v>-22</v>
      </c>
      <c r="AC284" t="str">
        <f>IF(OR(D284="Heart Disease",D284="Cancer",D284="Stroke"),"High",IF(OR(D284="Diabetes",D284="Asthma"),"Medium","Low"))</f>
        <v>Medium</v>
      </c>
      <c r="AD284" t="str">
        <f t="shared" si="34"/>
        <v>No</v>
      </c>
      <c r="AE284" t="str">
        <f>IF(G284&lt;=2,"Short Stay", IF(G284&lt;=7,"Normal Stay", "Long Stay"))</f>
        <v>Long Stay</v>
      </c>
      <c r="AF284" t="str">
        <f>IF(F284&gt;60000,"Expensive",IF(F284&gt;30000,"Moderate","Affordable"))</f>
        <v>Affordable</v>
      </c>
      <c r="AG284" t="str">
        <f>IF(J284&gt;=4.5,"Excellent",IF(J284&gt;=3.5,"Good",IF(J284&gt;=2.5,"Average","Poor")))</f>
        <v>Good</v>
      </c>
      <c r="AH284" t="str">
        <f>IF(OR(TEXT(N284,"dddd")="Saturday",TEXT(N284,"dddd")="Sunday"),"Weekend","Weekday")</f>
        <v>Weekday</v>
      </c>
    </row>
    <row r="285" spans="1:34" x14ac:dyDescent="0.3">
      <c r="A285">
        <v>288</v>
      </c>
      <c r="B285">
        <v>35</v>
      </c>
      <c r="C285" t="s">
        <v>21</v>
      </c>
      <c r="D285" t="s">
        <v>47</v>
      </c>
      <c r="E285" t="s">
        <v>48</v>
      </c>
      <c r="F285">
        <v>500</v>
      </c>
      <c r="G285">
        <v>20</v>
      </c>
      <c r="H285" t="s">
        <v>38</v>
      </c>
      <c r="I285" t="s">
        <v>25</v>
      </c>
      <c r="J285">
        <v>5</v>
      </c>
      <c r="K285" t="s">
        <v>317</v>
      </c>
      <c r="L285" t="s">
        <v>693</v>
      </c>
      <c r="M285" t="s">
        <v>694</v>
      </c>
      <c r="N285" s="2">
        <v>45941</v>
      </c>
      <c r="O285" s="2">
        <v>45961</v>
      </c>
      <c r="P285" t="s">
        <v>43</v>
      </c>
      <c r="Q285" t="s">
        <v>71</v>
      </c>
      <c r="R285" t="s">
        <v>45</v>
      </c>
      <c r="S285" t="s">
        <v>84</v>
      </c>
      <c r="T285" t="s">
        <v>33</v>
      </c>
      <c r="U285" t="s">
        <v>46</v>
      </c>
      <c r="V285" t="str">
        <f>IF(B285&lt;=18,"Children",IF(B285&lt;=35,"Young adult",IF(B285&lt;=60,"Adult", "Senior Citizen")))</f>
        <v>Young adult</v>
      </c>
      <c r="W285" t="str">
        <f t="shared" si="28"/>
        <v>Oct</v>
      </c>
      <c r="X285">
        <f t="shared" si="29"/>
        <v>10</v>
      </c>
      <c r="Y285" t="str">
        <f t="shared" si="30"/>
        <v>Q4</v>
      </c>
      <c r="Z285">
        <f t="shared" si="31"/>
        <v>2025</v>
      </c>
      <c r="AA285" t="str">
        <f t="shared" si="32"/>
        <v>Saturday</v>
      </c>
      <c r="AB285">
        <f t="shared" si="33"/>
        <v>-20</v>
      </c>
      <c r="AC285" t="str">
        <f>IF(OR(D285="Heart Disease",D285="Cancer",D285="Stroke"),"High",IF(OR(D285="Diabetes",D285="Asthma"),"Medium","Low"))</f>
        <v>Low</v>
      </c>
      <c r="AD285" t="str">
        <f t="shared" si="34"/>
        <v>No</v>
      </c>
      <c r="AE285" t="str">
        <f>IF(G285&lt;=2,"Short Stay", IF(G285&lt;=7,"Normal Stay", "Long Stay"))</f>
        <v>Long Stay</v>
      </c>
      <c r="AF285" t="str">
        <f>IF(F285&gt;60000,"Expensive",IF(F285&gt;30000,"Moderate","Affordable"))</f>
        <v>Affordable</v>
      </c>
      <c r="AG285" t="str">
        <f>IF(J285&gt;=4.5,"Excellent",IF(J285&gt;=3.5,"Good",IF(J285&gt;=2.5,"Average","Poor")))</f>
        <v>Excellent</v>
      </c>
      <c r="AH285" t="str">
        <f>IF(OR(TEXT(N285,"dddd")="Saturday",TEXT(N285,"dddd")="Sunday"),"Weekend","Weekday")</f>
        <v>Weekend</v>
      </c>
    </row>
    <row r="286" spans="1:34" x14ac:dyDescent="0.3">
      <c r="A286">
        <v>289</v>
      </c>
      <c r="B286">
        <v>78</v>
      </c>
      <c r="C286" t="s">
        <v>35</v>
      </c>
      <c r="D286" t="s">
        <v>54</v>
      </c>
      <c r="E286" t="s">
        <v>55</v>
      </c>
      <c r="F286">
        <v>10000</v>
      </c>
      <c r="G286">
        <v>26</v>
      </c>
      <c r="H286" t="s">
        <v>24</v>
      </c>
      <c r="I286" t="s">
        <v>39</v>
      </c>
      <c r="J286">
        <v>2</v>
      </c>
      <c r="K286" t="s">
        <v>144</v>
      </c>
      <c r="L286" t="s">
        <v>695</v>
      </c>
      <c r="M286" t="s">
        <v>696</v>
      </c>
      <c r="N286" s="2">
        <v>45942</v>
      </c>
      <c r="O286" s="2">
        <v>45968</v>
      </c>
      <c r="P286" t="s">
        <v>29</v>
      </c>
      <c r="Q286" t="s">
        <v>44</v>
      </c>
      <c r="R286" t="s">
        <v>59</v>
      </c>
      <c r="S286" t="s">
        <v>53</v>
      </c>
      <c r="T286" t="s">
        <v>33</v>
      </c>
      <c r="U286" t="s">
        <v>34</v>
      </c>
      <c r="V286" t="str">
        <f>IF(B286&lt;=18,"Children",IF(B286&lt;=35,"Young adult",IF(B286&lt;=60,"Adult", "Senior Citizen")))</f>
        <v>Senior Citizen</v>
      </c>
      <c r="W286" t="str">
        <f t="shared" si="28"/>
        <v>Oct</v>
      </c>
      <c r="X286">
        <f t="shared" si="29"/>
        <v>10</v>
      </c>
      <c r="Y286" t="str">
        <f t="shared" si="30"/>
        <v>Q4</v>
      </c>
      <c r="Z286">
        <f t="shared" si="31"/>
        <v>2025</v>
      </c>
      <c r="AA286" t="str">
        <f t="shared" si="32"/>
        <v>Sunday</v>
      </c>
      <c r="AB286">
        <f t="shared" si="33"/>
        <v>-26</v>
      </c>
      <c r="AC286" t="str">
        <f>IF(OR(D286="Heart Disease",D286="Cancer",D286="Stroke"),"High",IF(OR(D286="Diabetes",D286="Asthma"),"Medium","Low"))</f>
        <v>High</v>
      </c>
      <c r="AD286" t="str">
        <f t="shared" si="34"/>
        <v>Yes</v>
      </c>
      <c r="AE286" t="str">
        <f>IF(G286&lt;=2,"Short Stay", IF(G286&lt;=7,"Normal Stay", "Long Stay"))</f>
        <v>Long Stay</v>
      </c>
      <c r="AF286" t="str">
        <f>IF(F286&gt;60000,"Expensive",IF(F286&gt;30000,"Moderate","Affordable"))</f>
        <v>Affordable</v>
      </c>
      <c r="AG286" t="str">
        <f>IF(J286&gt;=4.5,"Excellent",IF(J286&gt;=3.5,"Good",IF(J286&gt;=2.5,"Average","Poor")))</f>
        <v>Poor</v>
      </c>
      <c r="AH286" t="str">
        <f>IF(OR(TEXT(N286,"dddd")="Saturday",TEXT(N286,"dddd")="Sunday"),"Weekend","Weekday")</f>
        <v>Weekend</v>
      </c>
    </row>
    <row r="287" spans="1:34" x14ac:dyDescent="0.3">
      <c r="A287">
        <v>290</v>
      </c>
      <c r="B287">
        <v>53</v>
      </c>
      <c r="C287" t="s">
        <v>21</v>
      </c>
      <c r="D287" t="s">
        <v>60</v>
      </c>
      <c r="E287" t="s">
        <v>61</v>
      </c>
      <c r="F287">
        <v>25000</v>
      </c>
      <c r="G287">
        <v>29</v>
      </c>
      <c r="H287" t="s">
        <v>38</v>
      </c>
      <c r="I287" t="s">
        <v>25</v>
      </c>
      <c r="J287">
        <v>4</v>
      </c>
      <c r="K287" t="s">
        <v>223</v>
      </c>
      <c r="L287" t="s">
        <v>697</v>
      </c>
      <c r="M287" t="s">
        <v>698</v>
      </c>
      <c r="N287" s="2">
        <v>45943</v>
      </c>
      <c r="O287" s="2">
        <v>45972</v>
      </c>
      <c r="P287" t="s">
        <v>29</v>
      </c>
      <c r="Q287" t="s">
        <v>139</v>
      </c>
      <c r="R287" t="s">
        <v>65</v>
      </c>
      <c r="S287" t="s">
        <v>84</v>
      </c>
      <c r="T287" t="s">
        <v>33</v>
      </c>
      <c r="U287" t="s">
        <v>104</v>
      </c>
      <c r="V287" t="str">
        <f>IF(B287&lt;=18,"Children",IF(B287&lt;=35,"Young adult",IF(B287&lt;=60,"Adult", "Senior Citizen")))</f>
        <v>Adult</v>
      </c>
      <c r="W287" t="str">
        <f t="shared" si="28"/>
        <v>Oct</v>
      </c>
      <c r="X287">
        <f t="shared" si="29"/>
        <v>10</v>
      </c>
      <c r="Y287" t="str">
        <f t="shared" si="30"/>
        <v>Q4</v>
      </c>
      <c r="Z287">
        <f t="shared" si="31"/>
        <v>2025</v>
      </c>
      <c r="AA287" t="str">
        <f t="shared" si="32"/>
        <v>Monday</v>
      </c>
      <c r="AB287">
        <f t="shared" si="33"/>
        <v>-29</v>
      </c>
      <c r="AC287" t="str">
        <f>IF(OR(D287="Heart Disease",D287="Cancer",D287="Stroke"),"High",IF(OR(D287="Diabetes",D287="Asthma"),"Medium","Low"))</f>
        <v>High</v>
      </c>
      <c r="AD287" t="str">
        <f t="shared" si="34"/>
        <v>Yes</v>
      </c>
      <c r="AE287" t="str">
        <f>IF(G287&lt;=2,"Short Stay", IF(G287&lt;=7,"Normal Stay", "Long Stay"))</f>
        <v>Long Stay</v>
      </c>
      <c r="AF287" t="str">
        <f>IF(F287&gt;60000,"Expensive",IF(F287&gt;30000,"Moderate","Affordable"))</f>
        <v>Affordable</v>
      </c>
      <c r="AG287" t="str">
        <f>IF(J287&gt;=4.5,"Excellent",IF(J287&gt;=3.5,"Good",IF(J287&gt;=2.5,"Average","Poor")))</f>
        <v>Good</v>
      </c>
      <c r="AH287" t="str">
        <f>IF(OR(TEXT(N287,"dddd")="Saturday",TEXT(N287,"dddd")="Sunday"),"Weekend","Weekday")</f>
        <v>Weekday</v>
      </c>
    </row>
    <row r="288" spans="1:34" x14ac:dyDescent="0.3">
      <c r="A288">
        <v>291</v>
      </c>
      <c r="B288">
        <v>72</v>
      </c>
      <c r="C288" t="s">
        <v>35</v>
      </c>
      <c r="D288" t="s">
        <v>66</v>
      </c>
      <c r="E288" t="s">
        <v>67</v>
      </c>
      <c r="F288">
        <v>1000</v>
      </c>
      <c r="G288">
        <v>21</v>
      </c>
      <c r="H288" t="s">
        <v>24</v>
      </c>
      <c r="I288" t="s">
        <v>39</v>
      </c>
      <c r="J288">
        <v>4</v>
      </c>
      <c r="K288" t="s">
        <v>120</v>
      </c>
      <c r="L288" t="s">
        <v>699</v>
      </c>
      <c r="M288" t="s">
        <v>700</v>
      </c>
      <c r="N288" s="2">
        <v>45944</v>
      </c>
      <c r="O288" s="2">
        <v>45965</v>
      </c>
      <c r="P288" t="s">
        <v>43</v>
      </c>
      <c r="Q288" t="s">
        <v>139</v>
      </c>
      <c r="R288" t="s">
        <v>45</v>
      </c>
      <c r="S288" t="s">
        <v>72</v>
      </c>
      <c r="T288" t="s">
        <v>33</v>
      </c>
      <c r="U288" t="s">
        <v>46</v>
      </c>
      <c r="V288" t="str">
        <f>IF(B288&lt;=18,"Children",IF(B288&lt;=35,"Young adult",IF(B288&lt;=60,"Adult", "Senior Citizen")))</f>
        <v>Senior Citizen</v>
      </c>
      <c r="W288" t="str">
        <f t="shared" si="28"/>
        <v>Oct</v>
      </c>
      <c r="X288">
        <f t="shared" si="29"/>
        <v>10</v>
      </c>
      <c r="Y288" t="str">
        <f t="shared" si="30"/>
        <v>Q4</v>
      </c>
      <c r="Z288">
        <f t="shared" si="31"/>
        <v>2025</v>
      </c>
      <c r="AA288" t="str">
        <f t="shared" si="32"/>
        <v>Tuesday</v>
      </c>
      <c r="AB288">
        <f t="shared" si="33"/>
        <v>-21</v>
      </c>
      <c r="AC288" t="str">
        <f>IF(OR(D288="Heart Disease",D288="Cancer",D288="Stroke"),"High",IF(OR(D288="Diabetes",D288="Asthma"),"Medium","Low"))</f>
        <v>Low</v>
      </c>
      <c r="AD288" t="str">
        <f t="shared" si="34"/>
        <v>No</v>
      </c>
      <c r="AE288" t="str">
        <f>IF(G288&lt;=2,"Short Stay", IF(G288&lt;=7,"Normal Stay", "Long Stay"))</f>
        <v>Long Stay</v>
      </c>
      <c r="AF288" t="str">
        <f>IF(F288&gt;60000,"Expensive",IF(F288&gt;30000,"Moderate","Affordable"))</f>
        <v>Affordable</v>
      </c>
      <c r="AG288" t="str">
        <f>IF(J288&gt;=4.5,"Excellent",IF(J288&gt;=3.5,"Good",IF(J288&gt;=2.5,"Average","Poor")))</f>
        <v>Good</v>
      </c>
      <c r="AH288" t="str">
        <f>IF(OR(TEXT(N288,"dddd")="Saturday",TEXT(N288,"dddd")="Sunday"),"Weekend","Weekday")</f>
        <v>Weekday</v>
      </c>
    </row>
    <row r="289" spans="1:34" x14ac:dyDescent="0.3">
      <c r="A289">
        <v>292</v>
      </c>
      <c r="B289">
        <v>60</v>
      </c>
      <c r="C289" t="s">
        <v>21</v>
      </c>
      <c r="D289" t="s">
        <v>73</v>
      </c>
      <c r="E289" t="s">
        <v>74</v>
      </c>
      <c r="F289">
        <v>8000</v>
      </c>
      <c r="G289">
        <v>23</v>
      </c>
      <c r="H289" t="s">
        <v>38</v>
      </c>
      <c r="I289" t="s">
        <v>25</v>
      </c>
      <c r="J289">
        <v>3</v>
      </c>
      <c r="K289" t="s">
        <v>218</v>
      </c>
      <c r="L289" t="s">
        <v>701</v>
      </c>
      <c r="M289" t="s">
        <v>702</v>
      </c>
      <c r="N289" s="2">
        <v>45945</v>
      </c>
      <c r="O289" s="2">
        <v>45968</v>
      </c>
      <c r="P289" t="s">
        <v>29</v>
      </c>
      <c r="Q289" t="s">
        <v>139</v>
      </c>
      <c r="R289" t="s">
        <v>45</v>
      </c>
      <c r="S289" t="s">
        <v>84</v>
      </c>
      <c r="T289" t="s">
        <v>33</v>
      </c>
      <c r="U289" t="s">
        <v>78</v>
      </c>
      <c r="V289" t="str">
        <f>IF(B289&lt;=18,"Children",IF(B289&lt;=35,"Young adult",IF(B289&lt;=60,"Adult", "Senior Citizen")))</f>
        <v>Adult</v>
      </c>
      <c r="W289" t="str">
        <f t="shared" si="28"/>
        <v>Oct</v>
      </c>
      <c r="X289">
        <f t="shared" si="29"/>
        <v>10</v>
      </c>
      <c r="Y289" t="str">
        <f t="shared" si="30"/>
        <v>Q4</v>
      </c>
      <c r="Z289">
        <f t="shared" si="31"/>
        <v>2025</v>
      </c>
      <c r="AA289" t="str">
        <f t="shared" si="32"/>
        <v>Wednesday</v>
      </c>
      <c r="AB289">
        <f t="shared" si="33"/>
        <v>-23</v>
      </c>
      <c r="AC289" t="str">
        <f>IF(OR(D289="Heart Disease",D289="Cancer",D289="Stroke"),"High",IF(OR(D289="Diabetes",D289="Asthma"),"Medium","Low"))</f>
        <v>Low</v>
      </c>
      <c r="AD289" t="str">
        <f t="shared" si="34"/>
        <v>No</v>
      </c>
      <c r="AE289" t="str">
        <f>IF(G289&lt;=2,"Short Stay", IF(G289&lt;=7,"Normal Stay", "Long Stay"))</f>
        <v>Long Stay</v>
      </c>
      <c r="AF289" t="str">
        <f>IF(F289&gt;60000,"Expensive",IF(F289&gt;30000,"Moderate","Affordable"))</f>
        <v>Affordable</v>
      </c>
      <c r="AG289" t="str">
        <f>IF(J289&gt;=4.5,"Excellent",IF(J289&gt;=3.5,"Good",IF(J289&gt;=2.5,"Average","Poor")))</f>
        <v>Average</v>
      </c>
      <c r="AH289" t="str">
        <f>IF(OR(TEXT(N289,"dddd")="Saturday",TEXT(N289,"dddd")="Sunday"),"Weekend","Weekday")</f>
        <v>Weekday</v>
      </c>
    </row>
    <row r="290" spans="1:34" x14ac:dyDescent="0.3">
      <c r="A290">
        <v>293</v>
      </c>
      <c r="B290">
        <v>45</v>
      </c>
      <c r="C290" t="s">
        <v>35</v>
      </c>
      <c r="D290" t="s">
        <v>79</v>
      </c>
      <c r="E290" t="s">
        <v>80</v>
      </c>
      <c r="F290">
        <v>3000</v>
      </c>
      <c r="G290">
        <v>25</v>
      </c>
      <c r="H290" t="s">
        <v>24</v>
      </c>
      <c r="I290" t="s">
        <v>25</v>
      </c>
      <c r="J290">
        <v>4</v>
      </c>
      <c r="K290" t="s">
        <v>56</v>
      </c>
      <c r="L290" t="s">
        <v>703</v>
      </c>
      <c r="M290" t="s">
        <v>704</v>
      </c>
      <c r="N290" s="2">
        <v>45946</v>
      </c>
      <c r="O290" s="2">
        <v>45971</v>
      </c>
      <c r="P290" t="s">
        <v>29</v>
      </c>
      <c r="Q290" t="s">
        <v>139</v>
      </c>
      <c r="R290" t="s">
        <v>45</v>
      </c>
      <c r="S290" t="s">
        <v>53</v>
      </c>
      <c r="T290" t="s">
        <v>33</v>
      </c>
      <c r="U290" t="s">
        <v>34</v>
      </c>
      <c r="V290" t="str">
        <f>IF(B290&lt;=18,"Children",IF(B290&lt;=35,"Young adult",IF(B290&lt;=60,"Adult", "Senior Citizen")))</f>
        <v>Adult</v>
      </c>
      <c r="W290" t="str">
        <f t="shared" si="28"/>
        <v>Oct</v>
      </c>
      <c r="X290">
        <f t="shared" si="29"/>
        <v>10</v>
      </c>
      <c r="Y290" t="str">
        <f t="shared" si="30"/>
        <v>Q4</v>
      </c>
      <c r="Z290">
        <f t="shared" si="31"/>
        <v>2025</v>
      </c>
      <c r="AA290" t="str">
        <f t="shared" si="32"/>
        <v>Thursday</v>
      </c>
      <c r="AB290">
        <f t="shared" si="33"/>
        <v>-25</v>
      </c>
      <c r="AC290" t="str">
        <f>IF(OR(D290="Heart Disease",D290="Cancer",D290="Stroke"),"High",IF(OR(D290="Diabetes",D290="Asthma"),"Medium","Low"))</f>
        <v>Low</v>
      </c>
      <c r="AD290" t="str">
        <f t="shared" si="34"/>
        <v>No</v>
      </c>
      <c r="AE290" t="str">
        <f>IF(G290&lt;=2,"Short Stay", IF(G290&lt;=7,"Normal Stay", "Long Stay"))</f>
        <v>Long Stay</v>
      </c>
      <c r="AF290" t="str">
        <f>IF(F290&gt;60000,"Expensive",IF(F290&gt;30000,"Moderate","Affordable"))</f>
        <v>Affordable</v>
      </c>
      <c r="AG290" t="str">
        <f>IF(J290&gt;=4.5,"Excellent",IF(J290&gt;=3.5,"Good",IF(J290&gt;=2.5,"Average","Poor")))</f>
        <v>Good</v>
      </c>
      <c r="AH290" t="str">
        <f>IF(OR(TEXT(N290,"dddd")="Saturday",TEXT(N290,"dddd")="Sunday"),"Weekend","Weekday")</f>
        <v>Weekday</v>
      </c>
    </row>
    <row r="291" spans="1:34" x14ac:dyDescent="0.3">
      <c r="A291">
        <v>294</v>
      </c>
      <c r="B291">
        <v>75</v>
      </c>
      <c r="C291" t="s">
        <v>21</v>
      </c>
      <c r="D291" t="s">
        <v>85</v>
      </c>
      <c r="E291" t="s">
        <v>86</v>
      </c>
      <c r="F291">
        <v>18000</v>
      </c>
      <c r="G291">
        <v>27</v>
      </c>
      <c r="H291" t="s">
        <v>38</v>
      </c>
      <c r="I291" t="s">
        <v>39</v>
      </c>
      <c r="J291">
        <v>2</v>
      </c>
      <c r="K291" t="s">
        <v>281</v>
      </c>
      <c r="L291" t="s">
        <v>705</v>
      </c>
      <c r="M291" t="s">
        <v>706</v>
      </c>
      <c r="N291" s="2">
        <v>45947</v>
      </c>
      <c r="O291" s="2">
        <v>45974</v>
      </c>
      <c r="P291" t="s">
        <v>43</v>
      </c>
      <c r="Q291" t="s">
        <v>52</v>
      </c>
      <c r="R291" t="s">
        <v>45</v>
      </c>
      <c r="S291" t="s">
        <v>72</v>
      </c>
      <c r="T291" t="s">
        <v>33</v>
      </c>
      <c r="U291" t="s">
        <v>34</v>
      </c>
      <c r="V291" t="str">
        <f>IF(B291&lt;=18,"Children",IF(B291&lt;=35,"Young adult",IF(B291&lt;=60,"Adult", "Senior Citizen")))</f>
        <v>Senior Citizen</v>
      </c>
      <c r="W291" t="str">
        <f t="shared" si="28"/>
        <v>Oct</v>
      </c>
      <c r="X291">
        <f t="shared" si="29"/>
        <v>10</v>
      </c>
      <c r="Y291" t="str">
        <f t="shared" si="30"/>
        <v>Q4</v>
      </c>
      <c r="Z291">
        <f t="shared" si="31"/>
        <v>2025</v>
      </c>
      <c r="AA291" t="str">
        <f t="shared" si="32"/>
        <v>Friday</v>
      </c>
      <c r="AB291">
        <f t="shared" si="33"/>
        <v>-27</v>
      </c>
      <c r="AC291" t="str">
        <f>IF(OR(D291="Heart Disease",D291="Cancer",D291="Stroke"),"High",IF(OR(D291="Diabetes",D291="Asthma"),"Medium","Low"))</f>
        <v>Low</v>
      </c>
      <c r="AD291" t="str">
        <f t="shared" si="34"/>
        <v>No</v>
      </c>
      <c r="AE291" t="str">
        <f>IF(G291&lt;=2,"Short Stay", IF(G291&lt;=7,"Normal Stay", "Long Stay"))</f>
        <v>Long Stay</v>
      </c>
      <c r="AF291" t="str">
        <f>IF(F291&gt;60000,"Expensive",IF(F291&gt;30000,"Moderate","Affordable"))</f>
        <v>Affordable</v>
      </c>
      <c r="AG291" t="str">
        <f>IF(J291&gt;=4.5,"Excellent",IF(J291&gt;=3.5,"Good",IF(J291&gt;=2.5,"Average","Poor")))</f>
        <v>Poor</v>
      </c>
      <c r="AH291" t="str">
        <f>IF(OR(TEXT(N291,"dddd")="Saturday",TEXT(N291,"dddd")="Sunday"),"Weekend","Weekday")</f>
        <v>Weekday</v>
      </c>
    </row>
    <row r="292" spans="1:34" x14ac:dyDescent="0.3">
      <c r="A292">
        <v>296</v>
      </c>
      <c r="B292">
        <v>52</v>
      </c>
      <c r="C292" t="s">
        <v>21</v>
      </c>
      <c r="D292" t="s">
        <v>94</v>
      </c>
      <c r="E292" t="s">
        <v>95</v>
      </c>
      <c r="F292">
        <v>800</v>
      </c>
      <c r="G292">
        <v>21</v>
      </c>
      <c r="H292" t="s">
        <v>24</v>
      </c>
      <c r="I292" t="s">
        <v>39</v>
      </c>
      <c r="J292">
        <v>4</v>
      </c>
      <c r="K292" t="s">
        <v>294</v>
      </c>
      <c r="L292" t="s">
        <v>707</v>
      </c>
      <c r="M292" t="s">
        <v>708</v>
      </c>
      <c r="N292" s="2">
        <v>45948</v>
      </c>
      <c r="O292" s="2">
        <v>45969</v>
      </c>
      <c r="P292" t="s">
        <v>29</v>
      </c>
      <c r="Q292" t="s">
        <v>44</v>
      </c>
      <c r="R292" t="s">
        <v>45</v>
      </c>
      <c r="S292" t="s">
        <v>72</v>
      </c>
      <c r="T292" t="s">
        <v>33</v>
      </c>
      <c r="U292" t="s">
        <v>78</v>
      </c>
      <c r="V292" t="str">
        <f>IF(B292&lt;=18,"Children",IF(B292&lt;=35,"Young adult",IF(B292&lt;=60,"Adult", "Senior Citizen")))</f>
        <v>Adult</v>
      </c>
      <c r="W292" t="str">
        <f t="shared" si="28"/>
        <v>Oct</v>
      </c>
      <c r="X292">
        <f t="shared" si="29"/>
        <v>10</v>
      </c>
      <c r="Y292" t="str">
        <f t="shared" si="30"/>
        <v>Q4</v>
      </c>
      <c r="Z292">
        <f t="shared" si="31"/>
        <v>2025</v>
      </c>
      <c r="AA292" t="str">
        <f t="shared" si="32"/>
        <v>Saturday</v>
      </c>
      <c r="AB292">
        <f t="shared" si="33"/>
        <v>-21</v>
      </c>
      <c r="AC292" t="str">
        <f>IF(OR(D292="Heart Disease",D292="Cancer",D292="Stroke"),"High",IF(OR(D292="Diabetes",D292="Asthma"),"Medium","Low"))</f>
        <v>Low</v>
      </c>
      <c r="AD292" t="str">
        <f t="shared" si="34"/>
        <v>No</v>
      </c>
      <c r="AE292" t="str">
        <f>IF(G292&lt;=2,"Short Stay", IF(G292&lt;=7,"Normal Stay", "Long Stay"))</f>
        <v>Long Stay</v>
      </c>
      <c r="AF292" t="str">
        <f>IF(F292&gt;60000,"Expensive",IF(F292&gt;30000,"Moderate","Affordable"))</f>
        <v>Affordable</v>
      </c>
      <c r="AG292" t="str">
        <f>IF(J292&gt;=4.5,"Excellent",IF(J292&gt;=3.5,"Good",IF(J292&gt;=2.5,"Average","Poor")))</f>
        <v>Good</v>
      </c>
      <c r="AH292" t="str">
        <f>IF(OR(TEXT(N292,"dddd")="Saturday",TEXT(N292,"dddd")="Sunday"),"Weekend","Weekday")</f>
        <v>Weekend</v>
      </c>
    </row>
    <row r="293" spans="1:34" x14ac:dyDescent="0.3">
      <c r="A293">
        <v>297</v>
      </c>
      <c r="B293">
        <v>67</v>
      </c>
      <c r="C293" t="s">
        <v>35</v>
      </c>
      <c r="D293" t="s">
        <v>99</v>
      </c>
      <c r="E293" t="s">
        <v>100</v>
      </c>
      <c r="F293">
        <v>20000</v>
      </c>
      <c r="G293">
        <v>28</v>
      </c>
      <c r="H293" t="s">
        <v>24</v>
      </c>
      <c r="I293" t="s">
        <v>25</v>
      </c>
      <c r="J293">
        <v>3</v>
      </c>
      <c r="K293" t="s">
        <v>218</v>
      </c>
      <c r="L293" t="s">
        <v>709</v>
      </c>
      <c r="M293" t="s">
        <v>710</v>
      </c>
      <c r="N293" s="2">
        <v>45949</v>
      </c>
      <c r="O293" s="2">
        <v>45977</v>
      </c>
      <c r="P293" t="s">
        <v>43</v>
      </c>
      <c r="Q293" t="s">
        <v>52</v>
      </c>
      <c r="R293" t="s">
        <v>45</v>
      </c>
      <c r="S293" t="s">
        <v>32</v>
      </c>
      <c r="T293" t="s">
        <v>33</v>
      </c>
      <c r="U293" t="s">
        <v>78</v>
      </c>
      <c r="V293" t="str">
        <f>IF(B293&lt;=18,"Children",IF(B293&lt;=35,"Young adult",IF(B293&lt;=60,"Adult", "Senior Citizen")))</f>
        <v>Senior Citizen</v>
      </c>
      <c r="W293" t="str">
        <f t="shared" si="28"/>
        <v>Oct</v>
      </c>
      <c r="X293">
        <f t="shared" si="29"/>
        <v>10</v>
      </c>
      <c r="Y293" t="str">
        <f t="shared" si="30"/>
        <v>Q4</v>
      </c>
      <c r="Z293">
        <f t="shared" si="31"/>
        <v>2025</v>
      </c>
      <c r="AA293" t="str">
        <f t="shared" si="32"/>
        <v>Sunday</v>
      </c>
      <c r="AB293">
        <f t="shared" si="33"/>
        <v>-28</v>
      </c>
      <c r="AC293" t="str">
        <f>IF(OR(D293="Heart Disease",D293="Cancer",D293="Stroke"),"High",IF(OR(D293="Diabetes",D293="Asthma"),"Medium","Low"))</f>
        <v>Low</v>
      </c>
      <c r="AD293" t="str">
        <f t="shared" si="34"/>
        <v>No</v>
      </c>
      <c r="AE293" t="str">
        <f>IF(G293&lt;=2,"Short Stay", IF(G293&lt;=7,"Normal Stay", "Long Stay"))</f>
        <v>Long Stay</v>
      </c>
      <c r="AF293" t="str">
        <f>IF(F293&gt;60000,"Expensive",IF(F293&gt;30000,"Moderate","Affordable"))</f>
        <v>Affordable</v>
      </c>
      <c r="AG293" t="str">
        <f>IF(J293&gt;=4.5,"Excellent",IF(J293&gt;=3.5,"Good",IF(J293&gt;=2.5,"Average","Poor")))</f>
        <v>Average</v>
      </c>
      <c r="AH293" t="str">
        <f>IF(OR(TEXT(N293,"dddd")="Saturday",TEXT(N293,"dddd")="Sunday"),"Weekend","Weekday")</f>
        <v>Weekend</v>
      </c>
    </row>
    <row r="294" spans="1:34" x14ac:dyDescent="0.3">
      <c r="A294">
        <v>298</v>
      </c>
      <c r="B294">
        <v>35</v>
      </c>
      <c r="C294" t="s">
        <v>21</v>
      </c>
      <c r="D294" t="s">
        <v>105</v>
      </c>
      <c r="E294" t="s">
        <v>106</v>
      </c>
      <c r="F294">
        <v>12000</v>
      </c>
      <c r="G294">
        <v>22</v>
      </c>
      <c r="H294" t="s">
        <v>24</v>
      </c>
      <c r="I294" t="s">
        <v>25</v>
      </c>
      <c r="J294">
        <v>4</v>
      </c>
      <c r="K294" t="s">
        <v>215</v>
      </c>
      <c r="L294" t="s">
        <v>711</v>
      </c>
      <c r="M294" t="s">
        <v>712</v>
      </c>
      <c r="N294" s="2">
        <v>45950</v>
      </c>
      <c r="O294" s="2">
        <v>45972</v>
      </c>
      <c r="P294" t="s">
        <v>43</v>
      </c>
      <c r="Q294" t="s">
        <v>71</v>
      </c>
      <c r="R294" t="s">
        <v>45</v>
      </c>
      <c r="S294" t="s">
        <v>53</v>
      </c>
      <c r="T294" t="s">
        <v>33</v>
      </c>
      <c r="U294" t="s">
        <v>46</v>
      </c>
      <c r="V294" t="str">
        <f>IF(B294&lt;=18,"Children",IF(B294&lt;=35,"Young adult",IF(B294&lt;=60,"Adult", "Senior Citizen")))</f>
        <v>Young adult</v>
      </c>
      <c r="W294" t="str">
        <f t="shared" si="28"/>
        <v>Oct</v>
      </c>
      <c r="X294">
        <f t="shared" si="29"/>
        <v>10</v>
      </c>
      <c r="Y294" t="str">
        <f t="shared" si="30"/>
        <v>Q4</v>
      </c>
      <c r="Z294">
        <f t="shared" si="31"/>
        <v>2025</v>
      </c>
      <c r="AA294" t="str">
        <f t="shared" si="32"/>
        <v>Monday</v>
      </c>
      <c r="AB294">
        <f t="shared" si="33"/>
        <v>-22</v>
      </c>
      <c r="AC294" t="str">
        <f>IF(OR(D294="Heart Disease",D294="Cancer",D294="Stroke"),"High",IF(OR(D294="Diabetes",D294="Asthma"),"Medium","Low"))</f>
        <v>Low</v>
      </c>
      <c r="AD294" t="str">
        <f t="shared" si="34"/>
        <v>No</v>
      </c>
      <c r="AE294" t="str">
        <f>IF(G294&lt;=2,"Short Stay", IF(G294&lt;=7,"Normal Stay", "Long Stay"))</f>
        <v>Long Stay</v>
      </c>
      <c r="AF294" t="str">
        <f>IF(F294&gt;60000,"Expensive",IF(F294&gt;30000,"Moderate","Affordable"))</f>
        <v>Affordable</v>
      </c>
      <c r="AG294" t="str">
        <f>IF(J294&gt;=4.5,"Excellent",IF(J294&gt;=3.5,"Good",IF(J294&gt;=2.5,"Average","Poor")))</f>
        <v>Good</v>
      </c>
      <c r="AH294" t="str">
        <f>IF(OR(TEXT(N294,"dddd")="Saturday",TEXT(N294,"dddd")="Sunday"),"Weekend","Weekday")</f>
        <v>Weekday</v>
      </c>
    </row>
    <row r="295" spans="1:34" x14ac:dyDescent="0.3">
      <c r="A295">
        <v>299</v>
      </c>
      <c r="B295">
        <v>50</v>
      </c>
      <c r="C295" t="s">
        <v>35</v>
      </c>
      <c r="D295" t="s">
        <v>111</v>
      </c>
      <c r="E295" t="s">
        <v>112</v>
      </c>
      <c r="F295">
        <v>6000</v>
      </c>
      <c r="G295">
        <v>23</v>
      </c>
      <c r="H295" t="s">
        <v>24</v>
      </c>
      <c r="I295" t="s">
        <v>25</v>
      </c>
      <c r="J295">
        <v>3</v>
      </c>
      <c r="K295" t="s">
        <v>160</v>
      </c>
      <c r="L295" t="s">
        <v>713</v>
      </c>
      <c r="M295" t="s">
        <v>714</v>
      </c>
      <c r="N295" s="2">
        <v>45951</v>
      </c>
      <c r="O295" s="2">
        <v>45974</v>
      </c>
      <c r="P295" t="s">
        <v>29</v>
      </c>
      <c r="Q295" t="s">
        <v>30</v>
      </c>
      <c r="R295" t="s">
        <v>45</v>
      </c>
      <c r="S295" t="s">
        <v>32</v>
      </c>
      <c r="T295" t="s">
        <v>33</v>
      </c>
      <c r="U295" t="s">
        <v>78</v>
      </c>
      <c r="V295" t="str">
        <f>IF(B295&lt;=18,"Children",IF(B295&lt;=35,"Young adult",IF(B295&lt;=60,"Adult", "Senior Citizen")))</f>
        <v>Adult</v>
      </c>
      <c r="W295" t="str">
        <f t="shared" si="28"/>
        <v>Oct</v>
      </c>
      <c r="X295">
        <f t="shared" si="29"/>
        <v>10</v>
      </c>
      <c r="Y295" t="str">
        <f t="shared" si="30"/>
        <v>Q4</v>
      </c>
      <c r="Z295">
        <f t="shared" si="31"/>
        <v>2025</v>
      </c>
      <c r="AA295" t="str">
        <f t="shared" si="32"/>
        <v>Tuesday</v>
      </c>
      <c r="AB295">
        <f t="shared" si="33"/>
        <v>-23</v>
      </c>
      <c r="AC295" t="str">
        <f>IF(OR(D295="Heart Disease",D295="Cancer",D295="Stroke"),"High",IF(OR(D295="Diabetes",D295="Asthma"),"Medium","Low"))</f>
        <v>Low</v>
      </c>
      <c r="AD295" t="str">
        <f t="shared" si="34"/>
        <v>No</v>
      </c>
      <c r="AE295" t="str">
        <f>IF(G295&lt;=2,"Short Stay", IF(G295&lt;=7,"Normal Stay", "Long Stay"))</f>
        <v>Long Stay</v>
      </c>
      <c r="AF295" t="str">
        <f>IF(F295&gt;60000,"Expensive",IF(F295&gt;30000,"Moderate","Affordable"))</f>
        <v>Affordable</v>
      </c>
      <c r="AG295" t="str">
        <f>IF(J295&gt;=4.5,"Excellent",IF(J295&gt;=3.5,"Good",IF(J295&gt;=2.5,"Average","Poor")))</f>
        <v>Average</v>
      </c>
      <c r="AH295" t="str">
        <f>IF(OR(TEXT(N295,"dddd")="Saturday",TEXT(N295,"dddd")="Sunday"),"Weekend","Weekday")</f>
        <v>Weekday</v>
      </c>
    </row>
    <row r="296" spans="1:34" x14ac:dyDescent="0.3">
      <c r="A296">
        <v>300</v>
      </c>
      <c r="B296">
        <v>60</v>
      </c>
      <c r="C296" t="s">
        <v>21</v>
      </c>
      <c r="D296" t="s">
        <v>116</v>
      </c>
      <c r="E296" t="s">
        <v>117</v>
      </c>
      <c r="F296">
        <v>4000</v>
      </c>
      <c r="G296">
        <v>24</v>
      </c>
      <c r="H296" t="s">
        <v>24</v>
      </c>
      <c r="I296" t="s">
        <v>39</v>
      </c>
      <c r="J296">
        <v>4</v>
      </c>
      <c r="K296" t="s">
        <v>136</v>
      </c>
      <c r="L296" t="s">
        <v>715</v>
      </c>
      <c r="M296" t="s">
        <v>716</v>
      </c>
      <c r="N296" s="2">
        <v>45952</v>
      </c>
      <c r="O296" s="2">
        <v>45976</v>
      </c>
      <c r="P296" t="s">
        <v>43</v>
      </c>
      <c r="Q296" t="s">
        <v>139</v>
      </c>
      <c r="R296" t="s">
        <v>45</v>
      </c>
      <c r="S296" t="s">
        <v>53</v>
      </c>
      <c r="T296" t="s">
        <v>33</v>
      </c>
      <c r="U296" t="s">
        <v>104</v>
      </c>
      <c r="V296" t="str">
        <f>IF(B296&lt;=18,"Children",IF(B296&lt;=35,"Young adult",IF(B296&lt;=60,"Adult", "Senior Citizen")))</f>
        <v>Adult</v>
      </c>
      <c r="W296" t="str">
        <f t="shared" si="28"/>
        <v>Oct</v>
      </c>
      <c r="X296">
        <f t="shared" si="29"/>
        <v>10</v>
      </c>
      <c r="Y296" t="str">
        <f t="shared" si="30"/>
        <v>Q4</v>
      </c>
      <c r="Z296">
        <f t="shared" si="31"/>
        <v>2025</v>
      </c>
      <c r="AA296" t="str">
        <f t="shared" si="32"/>
        <v>Wednesday</v>
      </c>
      <c r="AB296">
        <f t="shared" si="33"/>
        <v>-24</v>
      </c>
      <c r="AC296" t="str">
        <f>IF(OR(D296="Heart Disease",D296="Cancer",D296="Stroke"),"High",IF(OR(D296="Diabetes",D296="Asthma"),"Medium","Low"))</f>
        <v>Low</v>
      </c>
      <c r="AD296" t="str">
        <f t="shared" si="34"/>
        <v>No</v>
      </c>
      <c r="AE296" t="str">
        <f>IF(G296&lt;=2,"Short Stay", IF(G296&lt;=7,"Normal Stay", "Long Stay"))</f>
        <v>Long Stay</v>
      </c>
      <c r="AF296" t="str">
        <f>IF(F296&gt;60000,"Expensive",IF(F296&gt;30000,"Moderate","Affordable"))</f>
        <v>Affordable</v>
      </c>
      <c r="AG296" t="str">
        <f>IF(J296&gt;=4.5,"Excellent",IF(J296&gt;=3.5,"Good",IF(J296&gt;=2.5,"Average","Poor")))</f>
        <v>Good</v>
      </c>
      <c r="AH296" t="str">
        <f>IF(OR(TEXT(N296,"dddd")="Saturday",TEXT(N296,"dddd")="Sunday"),"Weekend","Weekday")</f>
        <v>Weekday</v>
      </c>
    </row>
    <row r="297" spans="1:34" x14ac:dyDescent="0.3">
      <c r="A297">
        <v>301</v>
      </c>
      <c r="B297">
        <v>48</v>
      </c>
      <c r="C297" t="s">
        <v>21</v>
      </c>
      <c r="D297" t="s">
        <v>22</v>
      </c>
      <c r="E297" t="s">
        <v>23</v>
      </c>
      <c r="F297">
        <v>15000</v>
      </c>
      <c r="G297">
        <v>25</v>
      </c>
      <c r="H297" t="s">
        <v>38</v>
      </c>
      <c r="I297" t="s">
        <v>25</v>
      </c>
      <c r="J297">
        <v>4</v>
      </c>
      <c r="K297" t="s">
        <v>218</v>
      </c>
      <c r="L297" t="s">
        <v>717</v>
      </c>
      <c r="M297" t="s">
        <v>718</v>
      </c>
      <c r="N297" s="2">
        <v>45953</v>
      </c>
      <c r="O297" s="2">
        <v>45978</v>
      </c>
      <c r="P297" t="s">
        <v>29</v>
      </c>
      <c r="Q297" t="s">
        <v>44</v>
      </c>
      <c r="R297" t="s">
        <v>31</v>
      </c>
      <c r="S297" t="s">
        <v>53</v>
      </c>
      <c r="T297" t="s">
        <v>33</v>
      </c>
      <c r="U297" t="s">
        <v>104</v>
      </c>
      <c r="V297" t="str">
        <f>IF(B297&lt;=18,"Children",IF(B297&lt;=35,"Young adult",IF(B297&lt;=60,"Adult", "Senior Citizen")))</f>
        <v>Adult</v>
      </c>
      <c r="W297" t="str">
        <f t="shared" si="28"/>
        <v>Oct</v>
      </c>
      <c r="X297">
        <f t="shared" si="29"/>
        <v>10</v>
      </c>
      <c r="Y297" t="str">
        <f t="shared" si="30"/>
        <v>Q4</v>
      </c>
      <c r="Z297">
        <f t="shared" si="31"/>
        <v>2025</v>
      </c>
      <c r="AA297" t="str">
        <f t="shared" si="32"/>
        <v>Thursday</v>
      </c>
      <c r="AB297">
        <f t="shared" si="33"/>
        <v>-25</v>
      </c>
      <c r="AC297" t="str">
        <f>IF(OR(D297="Heart Disease",D297="Cancer",D297="Stroke"),"High",IF(OR(D297="Diabetes",D297="Asthma"),"Medium","Low"))</f>
        <v>High</v>
      </c>
      <c r="AD297" t="str">
        <f t="shared" si="34"/>
        <v>Yes</v>
      </c>
      <c r="AE297" t="str">
        <f>IF(G297&lt;=2,"Short Stay", IF(G297&lt;=7,"Normal Stay", "Long Stay"))</f>
        <v>Long Stay</v>
      </c>
      <c r="AF297" t="str">
        <f>IF(F297&gt;60000,"Expensive",IF(F297&gt;30000,"Moderate","Affordable"))</f>
        <v>Affordable</v>
      </c>
      <c r="AG297" t="str">
        <f>IF(J297&gt;=4.5,"Excellent",IF(J297&gt;=3.5,"Good",IF(J297&gt;=2.5,"Average","Poor")))</f>
        <v>Good</v>
      </c>
      <c r="AH297" t="str">
        <f>IF(OR(TEXT(N297,"dddd")="Saturday",TEXT(N297,"dddd")="Sunday"),"Weekend","Weekday")</f>
        <v>Weekday</v>
      </c>
    </row>
    <row r="298" spans="1:34" x14ac:dyDescent="0.3">
      <c r="A298">
        <v>302</v>
      </c>
      <c r="B298">
        <v>65</v>
      </c>
      <c r="C298" t="s">
        <v>35</v>
      </c>
      <c r="D298" t="s">
        <v>36</v>
      </c>
      <c r="E298" t="s">
        <v>37</v>
      </c>
      <c r="F298">
        <v>2000</v>
      </c>
      <c r="G298">
        <v>23</v>
      </c>
      <c r="H298" t="s">
        <v>24</v>
      </c>
      <c r="I298" t="s">
        <v>39</v>
      </c>
      <c r="J298">
        <v>3</v>
      </c>
      <c r="K298" t="s">
        <v>157</v>
      </c>
      <c r="L298" t="s">
        <v>719</v>
      </c>
      <c r="M298" t="s">
        <v>720</v>
      </c>
      <c r="N298" s="2">
        <v>45954</v>
      </c>
      <c r="O298" s="2">
        <v>45977</v>
      </c>
      <c r="P298" t="s">
        <v>43</v>
      </c>
      <c r="Q298" t="s">
        <v>139</v>
      </c>
      <c r="R298" t="s">
        <v>45</v>
      </c>
      <c r="S298" t="s">
        <v>53</v>
      </c>
      <c r="T298" t="s">
        <v>33</v>
      </c>
      <c r="U298" t="s">
        <v>78</v>
      </c>
      <c r="V298" t="str">
        <f>IF(B298&lt;=18,"Children",IF(B298&lt;=35,"Young adult",IF(B298&lt;=60,"Adult", "Senior Citizen")))</f>
        <v>Senior Citizen</v>
      </c>
      <c r="W298" t="str">
        <f t="shared" si="28"/>
        <v>Oct</v>
      </c>
      <c r="X298">
        <f t="shared" si="29"/>
        <v>10</v>
      </c>
      <c r="Y298" t="str">
        <f t="shared" si="30"/>
        <v>Q4</v>
      </c>
      <c r="Z298">
        <f t="shared" si="31"/>
        <v>2025</v>
      </c>
      <c r="AA298" t="str">
        <f t="shared" si="32"/>
        <v>Friday</v>
      </c>
      <c r="AB298">
        <f t="shared" si="33"/>
        <v>-23</v>
      </c>
      <c r="AC298" t="str">
        <f>IF(OR(D298="Heart Disease",D298="Cancer",D298="Stroke"),"High",IF(OR(D298="Diabetes",D298="Asthma"),"Medium","Low"))</f>
        <v>Medium</v>
      </c>
      <c r="AD298" t="str">
        <f t="shared" si="34"/>
        <v>No</v>
      </c>
      <c r="AE298" t="str">
        <f>IF(G298&lt;=2,"Short Stay", IF(G298&lt;=7,"Normal Stay", "Long Stay"))</f>
        <v>Long Stay</v>
      </c>
      <c r="AF298" t="str">
        <f>IF(F298&gt;60000,"Expensive",IF(F298&gt;30000,"Moderate","Affordable"))</f>
        <v>Affordable</v>
      </c>
      <c r="AG298" t="str">
        <f>IF(J298&gt;=4.5,"Excellent",IF(J298&gt;=3.5,"Good",IF(J298&gt;=2.5,"Average","Poor")))</f>
        <v>Average</v>
      </c>
      <c r="AH298" t="str">
        <f>IF(OR(TEXT(N298,"dddd")="Saturday",TEXT(N298,"dddd")="Sunday"),"Weekend","Weekday")</f>
        <v>Weekday</v>
      </c>
    </row>
    <row r="299" spans="1:34" x14ac:dyDescent="0.3">
      <c r="A299">
        <v>303</v>
      </c>
      <c r="B299">
        <v>30</v>
      </c>
      <c r="C299" t="s">
        <v>21</v>
      </c>
      <c r="D299" t="s">
        <v>47</v>
      </c>
      <c r="E299" t="s">
        <v>48</v>
      </c>
      <c r="F299">
        <v>500</v>
      </c>
      <c r="G299">
        <v>21</v>
      </c>
      <c r="H299" t="s">
        <v>24</v>
      </c>
      <c r="I299" t="s">
        <v>25</v>
      </c>
      <c r="J299">
        <v>5</v>
      </c>
      <c r="K299" t="s">
        <v>96</v>
      </c>
      <c r="L299" t="s">
        <v>721</v>
      </c>
      <c r="M299" t="s">
        <v>722</v>
      </c>
      <c r="N299" s="2">
        <v>45955</v>
      </c>
      <c r="O299" s="2">
        <v>45976</v>
      </c>
      <c r="P299" t="s">
        <v>29</v>
      </c>
      <c r="Q299" t="s">
        <v>71</v>
      </c>
      <c r="R299" t="s">
        <v>45</v>
      </c>
      <c r="S299" t="s">
        <v>110</v>
      </c>
      <c r="T299" t="s">
        <v>33</v>
      </c>
      <c r="U299" t="s">
        <v>78</v>
      </c>
      <c r="V299" t="str">
        <f>IF(B299&lt;=18,"Children",IF(B299&lt;=35,"Young adult",IF(B299&lt;=60,"Adult", "Senior Citizen")))</f>
        <v>Young adult</v>
      </c>
      <c r="W299" t="str">
        <f t="shared" si="28"/>
        <v>Oct</v>
      </c>
      <c r="X299">
        <f t="shared" si="29"/>
        <v>10</v>
      </c>
      <c r="Y299" t="str">
        <f t="shared" si="30"/>
        <v>Q4</v>
      </c>
      <c r="Z299">
        <f t="shared" si="31"/>
        <v>2025</v>
      </c>
      <c r="AA299" t="str">
        <f t="shared" si="32"/>
        <v>Saturday</v>
      </c>
      <c r="AB299">
        <f t="shared" si="33"/>
        <v>-21</v>
      </c>
      <c r="AC299" t="str">
        <f>IF(OR(D299="Heart Disease",D299="Cancer",D299="Stroke"),"High",IF(OR(D299="Diabetes",D299="Asthma"),"Medium","Low"))</f>
        <v>Low</v>
      </c>
      <c r="AD299" t="str">
        <f t="shared" si="34"/>
        <v>No</v>
      </c>
      <c r="AE299" t="str">
        <f>IF(G299&lt;=2,"Short Stay", IF(G299&lt;=7,"Normal Stay", "Long Stay"))</f>
        <v>Long Stay</v>
      </c>
      <c r="AF299" t="str">
        <f>IF(F299&gt;60000,"Expensive",IF(F299&gt;30000,"Moderate","Affordable"))</f>
        <v>Affordable</v>
      </c>
      <c r="AG299" t="str">
        <f>IF(J299&gt;=4.5,"Excellent",IF(J299&gt;=3.5,"Good",IF(J299&gt;=2.5,"Average","Poor")))</f>
        <v>Excellent</v>
      </c>
      <c r="AH299" t="str">
        <f>IF(OR(TEXT(N299,"dddd")="Saturday",TEXT(N299,"dddd")="Sunday"),"Weekend","Weekday")</f>
        <v>Weekend</v>
      </c>
    </row>
    <row r="300" spans="1:34" x14ac:dyDescent="0.3">
      <c r="A300">
        <v>304</v>
      </c>
      <c r="B300">
        <v>70</v>
      </c>
      <c r="C300" t="s">
        <v>35</v>
      </c>
      <c r="D300" t="s">
        <v>54</v>
      </c>
      <c r="E300" t="s">
        <v>55</v>
      </c>
      <c r="F300">
        <v>10000</v>
      </c>
      <c r="G300">
        <v>27</v>
      </c>
      <c r="H300" t="s">
        <v>38</v>
      </c>
      <c r="I300" t="s">
        <v>39</v>
      </c>
      <c r="J300">
        <v>2</v>
      </c>
      <c r="K300" t="s">
        <v>245</v>
      </c>
      <c r="L300" t="s">
        <v>723</v>
      </c>
      <c r="M300" t="s">
        <v>724</v>
      </c>
      <c r="N300" s="2">
        <v>45956</v>
      </c>
      <c r="O300" s="2">
        <v>45983</v>
      </c>
      <c r="P300" t="s">
        <v>43</v>
      </c>
      <c r="Q300" t="s">
        <v>30</v>
      </c>
      <c r="R300" t="s">
        <v>59</v>
      </c>
      <c r="S300" t="s">
        <v>77</v>
      </c>
      <c r="T300" t="s">
        <v>33</v>
      </c>
      <c r="U300" t="s">
        <v>46</v>
      </c>
      <c r="V300" t="str">
        <f>IF(B300&lt;=18,"Children",IF(B300&lt;=35,"Young adult",IF(B300&lt;=60,"Adult", "Senior Citizen")))</f>
        <v>Senior Citizen</v>
      </c>
      <c r="W300" t="str">
        <f t="shared" si="28"/>
        <v>Oct</v>
      </c>
      <c r="X300">
        <f t="shared" si="29"/>
        <v>10</v>
      </c>
      <c r="Y300" t="str">
        <f t="shared" si="30"/>
        <v>Q4</v>
      </c>
      <c r="Z300">
        <f t="shared" si="31"/>
        <v>2025</v>
      </c>
      <c r="AA300" t="str">
        <f t="shared" si="32"/>
        <v>Sunday</v>
      </c>
      <c r="AB300">
        <f t="shared" si="33"/>
        <v>-27</v>
      </c>
      <c r="AC300" t="str">
        <f>IF(OR(D300="Heart Disease",D300="Cancer",D300="Stroke"),"High",IF(OR(D300="Diabetes",D300="Asthma"),"Medium","Low"))</f>
        <v>High</v>
      </c>
      <c r="AD300" t="str">
        <f t="shared" si="34"/>
        <v>Yes</v>
      </c>
      <c r="AE300" t="str">
        <f>IF(G300&lt;=2,"Short Stay", IF(G300&lt;=7,"Normal Stay", "Long Stay"))</f>
        <v>Long Stay</v>
      </c>
      <c r="AF300" t="str">
        <f>IF(F300&gt;60000,"Expensive",IF(F300&gt;30000,"Moderate","Affordable"))</f>
        <v>Affordable</v>
      </c>
      <c r="AG300" t="str">
        <f>IF(J300&gt;=4.5,"Excellent",IF(J300&gt;=3.5,"Good",IF(J300&gt;=2.5,"Average","Poor")))</f>
        <v>Poor</v>
      </c>
      <c r="AH300" t="str">
        <f>IF(OR(TEXT(N300,"dddd")="Saturday",TEXT(N300,"dddd")="Sunday"),"Weekend","Weekday")</f>
        <v>Weekend</v>
      </c>
    </row>
    <row r="301" spans="1:34" x14ac:dyDescent="0.3">
      <c r="A301">
        <v>305</v>
      </c>
      <c r="B301">
        <v>55</v>
      </c>
      <c r="C301" t="s">
        <v>21</v>
      </c>
      <c r="D301" t="s">
        <v>60</v>
      </c>
      <c r="E301" t="s">
        <v>61</v>
      </c>
      <c r="F301">
        <v>25000</v>
      </c>
      <c r="G301">
        <v>30</v>
      </c>
      <c r="H301" t="s">
        <v>24</v>
      </c>
      <c r="I301" t="s">
        <v>25</v>
      </c>
      <c r="J301">
        <v>4</v>
      </c>
      <c r="K301" t="s">
        <v>128</v>
      </c>
      <c r="L301" t="s">
        <v>725</v>
      </c>
      <c r="M301" t="s">
        <v>726</v>
      </c>
      <c r="N301" s="2">
        <v>45957</v>
      </c>
      <c r="O301" s="2">
        <v>45987</v>
      </c>
      <c r="P301" t="s">
        <v>43</v>
      </c>
      <c r="Q301" t="s">
        <v>30</v>
      </c>
      <c r="R301" t="s">
        <v>65</v>
      </c>
      <c r="S301" t="s">
        <v>32</v>
      </c>
      <c r="T301" t="s">
        <v>33</v>
      </c>
      <c r="U301" t="s">
        <v>104</v>
      </c>
      <c r="V301" t="str">
        <f>IF(B301&lt;=18,"Children",IF(B301&lt;=35,"Young adult",IF(B301&lt;=60,"Adult", "Senior Citizen")))</f>
        <v>Adult</v>
      </c>
      <c r="W301" t="str">
        <f t="shared" si="28"/>
        <v>Oct</v>
      </c>
      <c r="X301">
        <f t="shared" si="29"/>
        <v>10</v>
      </c>
      <c r="Y301" t="str">
        <f t="shared" si="30"/>
        <v>Q4</v>
      </c>
      <c r="Z301">
        <f t="shared" si="31"/>
        <v>2025</v>
      </c>
      <c r="AA301" t="str">
        <f t="shared" si="32"/>
        <v>Monday</v>
      </c>
      <c r="AB301">
        <f t="shared" si="33"/>
        <v>-30</v>
      </c>
      <c r="AC301" t="str">
        <f>IF(OR(D301="Heart Disease",D301="Cancer",D301="Stroke"),"High",IF(OR(D301="Diabetes",D301="Asthma"),"Medium","Low"))</f>
        <v>High</v>
      </c>
      <c r="AD301" t="str">
        <f t="shared" si="34"/>
        <v>Yes</v>
      </c>
      <c r="AE301" t="str">
        <f>IF(G301&lt;=2,"Short Stay", IF(G301&lt;=7,"Normal Stay", "Long Stay"))</f>
        <v>Long Stay</v>
      </c>
      <c r="AF301" t="str">
        <f>IF(F301&gt;60000,"Expensive",IF(F301&gt;30000,"Moderate","Affordable"))</f>
        <v>Affordable</v>
      </c>
      <c r="AG301" t="str">
        <f>IF(J301&gt;=4.5,"Excellent",IF(J301&gt;=3.5,"Good",IF(J301&gt;=2.5,"Average","Poor")))</f>
        <v>Good</v>
      </c>
      <c r="AH301" t="str">
        <f>IF(OR(TEXT(N301,"dddd")="Saturday",TEXT(N301,"dddd")="Sunday"),"Weekend","Weekday")</f>
        <v>Weekday</v>
      </c>
    </row>
    <row r="302" spans="1:34" x14ac:dyDescent="0.3">
      <c r="A302">
        <v>306</v>
      </c>
      <c r="B302">
        <v>68</v>
      </c>
      <c r="C302" t="s">
        <v>35</v>
      </c>
      <c r="D302" t="s">
        <v>66</v>
      </c>
      <c r="E302" t="s">
        <v>67</v>
      </c>
      <c r="F302">
        <v>1000</v>
      </c>
      <c r="G302">
        <v>22</v>
      </c>
      <c r="H302" t="s">
        <v>24</v>
      </c>
      <c r="I302" t="s">
        <v>39</v>
      </c>
      <c r="J302">
        <v>4</v>
      </c>
      <c r="K302" t="s">
        <v>218</v>
      </c>
      <c r="L302" t="s">
        <v>727</v>
      </c>
      <c r="M302" t="s">
        <v>728</v>
      </c>
      <c r="N302" s="2">
        <v>45958</v>
      </c>
      <c r="O302" s="2">
        <v>45980</v>
      </c>
      <c r="P302" t="s">
        <v>43</v>
      </c>
      <c r="Q302" t="s">
        <v>30</v>
      </c>
      <c r="R302" t="s">
        <v>45</v>
      </c>
      <c r="S302" t="s">
        <v>110</v>
      </c>
      <c r="T302" t="s">
        <v>33</v>
      </c>
      <c r="U302" t="s">
        <v>104</v>
      </c>
      <c r="V302" t="str">
        <f>IF(B302&lt;=18,"Children",IF(B302&lt;=35,"Young adult",IF(B302&lt;=60,"Adult", "Senior Citizen")))</f>
        <v>Senior Citizen</v>
      </c>
      <c r="W302" t="str">
        <f t="shared" si="28"/>
        <v>Oct</v>
      </c>
      <c r="X302">
        <f t="shared" si="29"/>
        <v>10</v>
      </c>
      <c r="Y302" t="str">
        <f t="shared" si="30"/>
        <v>Q4</v>
      </c>
      <c r="Z302">
        <f t="shared" si="31"/>
        <v>2025</v>
      </c>
      <c r="AA302" t="str">
        <f t="shared" si="32"/>
        <v>Tuesday</v>
      </c>
      <c r="AB302">
        <f t="shared" si="33"/>
        <v>-22</v>
      </c>
      <c r="AC302" t="str">
        <f>IF(OR(D302="Heart Disease",D302="Cancer",D302="Stroke"),"High",IF(OR(D302="Diabetes",D302="Asthma"),"Medium","Low"))</f>
        <v>Low</v>
      </c>
      <c r="AD302" t="str">
        <f t="shared" si="34"/>
        <v>No</v>
      </c>
      <c r="AE302" t="str">
        <f>IF(G302&lt;=2,"Short Stay", IF(G302&lt;=7,"Normal Stay", "Long Stay"))</f>
        <v>Long Stay</v>
      </c>
      <c r="AF302" t="str">
        <f>IF(F302&gt;60000,"Expensive",IF(F302&gt;30000,"Moderate","Affordable"))</f>
        <v>Affordable</v>
      </c>
      <c r="AG302" t="str">
        <f>IF(J302&gt;=4.5,"Excellent",IF(J302&gt;=3.5,"Good",IF(J302&gt;=2.5,"Average","Poor")))</f>
        <v>Good</v>
      </c>
      <c r="AH302" t="str">
        <f>IF(OR(TEXT(N302,"dddd")="Saturday",TEXT(N302,"dddd")="Sunday"),"Weekend","Weekday")</f>
        <v>Weekday</v>
      </c>
    </row>
    <row r="303" spans="1:34" x14ac:dyDescent="0.3">
      <c r="A303">
        <v>307</v>
      </c>
      <c r="B303">
        <v>45</v>
      </c>
      <c r="C303" t="s">
        <v>21</v>
      </c>
      <c r="D303" t="s">
        <v>73</v>
      </c>
      <c r="E303" t="s">
        <v>74</v>
      </c>
      <c r="F303">
        <v>8000</v>
      </c>
      <c r="G303">
        <v>24</v>
      </c>
      <c r="H303" t="s">
        <v>24</v>
      </c>
      <c r="I303" t="s">
        <v>25</v>
      </c>
      <c r="J303">
        <v>3</v>
      </c>
      <c r="K303" t="s">
        <v>26</v>
      </c>
      <c r="L303" t="s">
        <v>729</v>
      </c>
      <c r="M303" t="s">
        <v>730</v>
      </c>
      <c r="N303" s="2">
        <v>45959</v>
      </c>
      <c r="O303" s="2">
        <v>45983</v>
      </c>
      <c r="P303" t="s">
        <v>43</v>
      </c>
      <c r="Q303" t="s">
        <v>44</v>
      </c>
      <c r="R303" t="s">
        <v>45</v>
      </c>
      <c r="S303" t="s">
        <v>110</v>
      </c>
      <c r="T303" t="s">
        <v>33</v>
      </c>
      <c r="U303" t="s">
        <v>78</v>
      </c>
      <c r="V303" t="str">
        <f>IF(B303&lt;=18,"Children",IF(B303&lt;=35,"Young adult",IF(B303&lt;=60,"Adult", "Senior Citizen")))</f>
        <v>Adult</v>
      </c>
      <c r="W303" t="str">
        <f t="shared" si="28"/>
        <v>Oct</v>
      </c>
      <c r="X303">
        <f t="shared" si="29"/>
        <v>10</v>
      </c>
      <c r="Y303" t="str">
        <f t="shared" si="30"/>
        <v>Q4</v>
      </c>
      <c r="Z303">
        <f t="shared" si="31"/>
        <v>2025</v>
      </c>
      <c r="AA303" t="str">
        <f t="shared" si="32"/>
        <v>Wednesday</v>
      </c>
      <c r="AB303">
        <f t="shared" si="33"/>
        <v>-24</v>
      </c>
      <c r="AC303" t="str">
        <f>IF(OR(D303="Heart Disease",D303="Cancer",D303="Stroke"),"High",IF(OR(D303="Diabetes",D303="Asthma"),"Medium","Low"))</f>
        <v>Low</v>
      </c>
      <c r="AD303" t="str">
        <f t="shared" si="34"/>
        <v>No</v>
      </c>
      <c r="AE303" t="str">
        <f>IF(G303&lt;=2,"Short Stay", IF(G303&lt;=7,"Normal Stay", "Long Stay"))</f>
        <v>Long Stay</v>
      </c>
      <c r="AF303" t="str">
        <f>IF(F303&gt;60000,"Expensive",IF(F303&gt;30000,"Moderate","Affordable"))</f>
        <v>Affordable</v>
      </c>
      <c r="AG303" t="str">
        <f>IF(J303&gt;=4.5,"Excellent",IF(J303&gt;=3.5,"Good",IF(J303&gt;=2.5,"Average","Poor")))</f>
        <v>Average</v>
      </c>
      <c r="AH303" t="str">
        <f>IF(OR(TEXT(N303,"dddd")="Saturday",TEXT(N303,"dddd")="Sunday"),"Weekend","Weekday")</f>
        <v>Weekday</v>
      </c>
    </row>
    <row r="304" spans="1:34" x14ac:dyDescent="0.3">
      <c r="A304">
        <v>308</v>
      </c>
      <c r="B304">
        <v>40</v>
      </c>
      <c r="C304" t="s">
        <v>35</v>
      </c>
      <c r="D304" t="s">
        <v>79</v>
      </c>
      <c r="E304" t="s">
        <v>80</v>
      </c>
      <c r="F304">
        <v>3000</v>
      </c>
      <c r="G304">
        <v>26</v>
      </c>
      <c r="H304" t="s">
        <v>24</v>
      </c>
      <c r="I304" t="s">
        <v>25</v>
      </c>
      <c r="J304">
        <v>4</v>
      </c>
      <c r="K304" t="s">
        <v>101</v>
      </c>
      <c r="L304" t="s">
        <v>731</v>
      </c>
      <c r="M304" t="s">
        <v>732</v>
      </c>
      <c r="N304" s="2">
        <v>45960</v>
      </c>
      <c r="O304" s="2">
        <v>45986</v>
      </c>
      <c r="P304" t="s">
        <v>29</v>
      </c>
      <c r="Q304" t="s">
        <v>139</v>
      </c>
      <c r="R304" t="s">
        <v>45</v>
      </c>
      <c r="S304" t="s">
        <v>53</v>
      </c>
      <c r="T304" t="s">
        <v>33</v>
      </c>
      <c r="U304" t="s">
        <v>78</v>
      </c>
      <c r="V304" t="str">
        <f>IF(B304&lt;=18,"Children",IF(B304&lt;=35,"Young adult",IF(B304&lt;=60,"Adult", "Senior Citizen")))</f>
        <v>Adult</v>
      </c>
      <c r="W304" t="str">
        <f t="shared" si="28"/>
        <v>Oct</v>
      </c>
      <c r="X304">
        <f t="shared" si="29"/>
        <v>10</v>
      </c>
      <c r="Y304" t="str">
        <f t="shared" si="30"/>
        <v>Q4</v>
      </c>
      <c r="Z304">
        <f t="shared" si="31"/>
        <v>2025</v>
      </c>
      <c r="AA304" t="str">
        <f t="shared" si="32"/>
        <v>Thursday</v>
      </c>
      <c r="AB304">
        <f t="shared" si="33"/>
        <v>-26</v>
      </c>
      <c r="AC304" t="str">
        <f>IF(OR(D304="Heart Disease",D304="Cancer",D304="Stroke"),"High",IF(OR(D304="Diabetes",D304="Asthma"),"Medium","Low"))</f>
        <v>Low</v>
      </c>
      <c r="AD304" t="str">
        <f t="shared" si="34"/>
        <v>No</v>
      </c>
      <c r="AE304" t="str">
        <f>IF(G304&lt;=2,"Short Stay", IF(G304&lt;=7,"Normal Stay", "Long Stay"))</f>
        <v>Long Stay</v>
      </c>
      <c r="AF304" t="str">
        <f>IF(F304&gt;60000,"Expensive",IF(F304&gt;30000,"Moderate","Affordable"))</f>
        <v>Affordable</v>
      </c>
      <c r="AG304" t="str">
        <f>IF(J304&gt;=4.5,"Excellent",IF(J304&gt;=3.5,"Good",IF(J304&gt;=2.5,"Average","Poor")))</f>
        <v>Good</v>
      </c>
      <c r="AH304" t="str">
        <f>IF(OR(TEXT(N304,"dddd")="Saturday",TEXT(N304,"dddd")="Sunday"),"Weekend","Weekday")</f>
        <v>Weekday</v>
      </c>
    </row>
    <row r="305" spans="1:34" x14ac:dyDescent="0.3">
      <c r="A305">
        <v>309</v>
      </c>
      <c r="B305">
        <v>78</v>
      </c>
      <c r="C305" t="s">
        <v>21</v>
      </c>
      <c r="D305" t="s">
        <v>85</v>
      </c>
      <c r="E305" t="s">
        <v>86</v>
      </c>
      <c r="F305">
        <v>18000</v>
      </c>
      <c r="G305">
        <v>28</v>
      </c>
      <c r="H305" t="s">
        <v>38</v>
      </c>
      <c r="I305" t="s">
        <v>39</v>
      </c>
      <c r="J305">
        <v>2</v>
      </c>
      <c r="K305" t="s">
        <v>197</v>
      </c>
      <c r="L305" t="s">
        <v>733</v>
      </c>
      <c r="M305" t="s">
        <v>734</v>
      </c>
      <c r="N305" s="2">
        <v>45961</v>
      </c>
      <c r="O305" s="2">
        <v>45989</v>
      </c>
      <c r="P305" t="s">
        <v>43</v>
      </c>
      <c r="Q305" t="s">
        <v>52</v>
      </c>
      <c r="R305" t="s">
        <v>45</v>
      </c>
      <c r="S305" t="s">
        <v>77</v>
      </c>
      <c r="T305" t="s">
        <v>33</v>
      </c>
      <c r="U305" t="s">
        <v>46</v>
      </c>
      <c r="V305" t="str">
        <f>IF(B305&lt;=18,"Children",IF(B305&lt;=35,"Young adult",IF(B305&lt;=60,"Adult", "Senior Citizen")))</f>
        <v>Senior Citizen</v>
      </c>
      <c r="W305" t="str">
        <f t="shared" si="28"/>
        <v>Oct</v>
      </c>
      <c r="X305">
        <f t="shared" si="29"/>
        <v>10</v>
      </c>
      <c r="Y305" t="str">
        <f t="shared" si="30"/>
        <v>Q4</v>
      </c>
      <c r="Z305">
        <f t="shared" si="31"/>
        <v>2025</v>
      </c>
      <c r="AA305" t="str">
        <f t="shared" si="32"/>
        <v>Friday</v>
      </c>
      <c r="AB305">
        <f t="shared" si="33"/>
        <v>-28</v>
      </c>
      <c r="AC305" t="str">
        <f>IF(OR(D305="Heart Disease",D305="Cancer",D305="Stroke"),"High",IF(OR(D305="Diabetes",D305="Asthma"),"Medium","Low"))</f>
        <v>Low</v>
      </c>
      <c r="AD305" t="str">
        <f t="shared" si="34"/>
        <v>No</v>
      </c>
      <c r="AE305" t="str">
        <f>IF(G305&lt;=2,"Short Stay", IF(G305&lt;=7,"Normal Stay", "Long Stay"))</f>
        <v>Long Stay</v>
      </c>
      <c r="AF305" t="str">
        <f>IF(F305&gt;60000,"Expensive",IF(F305&gt;30000,"Moderate","Affordable"))</f>
        <v>Affordable</v>
      </c>
      <c r="AG305" t="str">
        <f>IF(J305&gt;=4.5,"Excellent",IF(J305&gt;=3.5,"Good",IF(J305&gt;=2.5,"Average","Poor")))</f>
        <v>Poor</v>
      </c>
      <c r="AH305" t="str">
        <f>IF(OR(TEXT(N305,"dddd")="Saturday",TEXT(N305,"dddd")="Sunday"),"Weekend","Weekday")</f>
        <v>Weekday</v>
      </c>
    </row>
    <row r="306" spans="1:34" x14ac:dyDescent="0.3">
      <c r="A306">
        <v>310</v>
      </c>
      <c r="B306">
        <v>25</v>
      </c>
      <c r="C306" t="s">
        <v>35</v>
      </c>
      <c r="D306" t="s">
        <v>89</v>
      </c>
      <c r="E306" t="s">
        <v>90</v>
      </c>
      <c r="F306">
        <v>100</v>
      </c>
      <c r="G306">
        <v>21</v>
      </c>
      <c r="H306" t="s">
        <v>24</v>
      </c>
      <c r="I306" t="s">
        <v>25</v>
      </c>
      <c r="J306">
        <v>5</v>
      </c>
      <c r="K306" t="s">
        <v>294</v>
      </c>
      <c r="L306" t="s">
        <v>735</v>
      </c>
      <c r="M306" t="s">
        <v>736</v>
      </c>
      <c r="N306" s="2">
        <v>45962</v>
      </c>
      <c r="O306" s="2">
        <v>45983</v>
      </c>
      <c r="P306" t="s">
        <v>29</v>
      </c>
      <c r="Q306" t="s">
        <v>44</v>
      </c>
      <c r="R306" t="s">
        <v>45</v>
      </c>
      <c r="S306" t="s">
        <v>72</v>
      </c>
      <c r="T306" t="s">
        <v>33</v>
      </c>
      <c r="U306" t="s">
        <v>46</v>
      </c>
      <c r="V306" t="str">
        <f>IF(B306&lt;=18,"Children",IF(B306&lt;=35,"Young adult",IF(B306&lt;=60,"Adult", "Senior Citizen")))</f>
        <v>Young adult</v>
      </c>
      <c r="W306" t="str">
        <f t="shared" si="28"/>
        <v>Nov</v>
      </c>
      <c r="X306">
        <f t="shared" si="29"/>
        <v>11</v>
      </c>
      <c r="Y306" t="str">
        <f t="shared" si="30"/>
        <v>Q4</v>
      </c>
      <c r="Z306">
        <f t="shared" si="31"/>
        <v>2025</v>
      </c>
      <c r="AA306" t="str">
        <f t="shared" si="32"/>
        <v>Saturday</v>
      </c>
      <c r="AB306">
        <f t="shared" si="33"/>
        <v>-21</v>
      </c>
      <c r="AC306" t="str">
        <f>IF(OR(D306="Heart Disease",D306="Cancer",D306="Stroke"),"High",IF(OR(D306="Diabetes",D306="Asthma"),"Medium","Low"))</f>
        <v>Low</v>
      </c>
      <c r="AD306" t="str">
        <f t="shared" si="34"/>
        <v>No</v>
      </c>
      <c r="AE306" t="str">
        <f>IF(G306&lt;=2,"Short Stay", IF(G306&lt;=7,"Normal Stay", "Long Stay"))</f>
        <v>Long Stay</v>
      </c>
      <c r="AF306" t="str">
        <f>IF(F306&gt;60000,"Expensive",IF(F306&gt;30000,"Moderate","Affordable"))</f>
        <v>Affordable</v>
      </c>
      <c r="AG306" t="str">
        <f>IF(J306&gt;=4.5,"Excellent",IF(J306&gt;=3.5,"Good",IF(J306&gt;=2.5,"Average","Poor")))</f>
        <v>Excellent</v>
      </c>
      <c r="AH306" t="str">
        <f>IF(OR(TEXT(N306,"dddd")="Saturday",TEXT(N306,"dddd")="Sunday"),"Weekend","Weekday")</f>
        <v>Weekend</v>
      </c>
    </row>
    <row r="307" spans="1:34" x14ac:dyDescent="0.3">
      <c r="A307">
        <v>311</v>
      </c>
      <c r="B307">
        <v>52</v>
      </c>
      <c r="C307" t="s">
        <v>21</v>
      </c>
      <c r="D307" t="s">
        <v>94</v>
      </c>
      <c r="E307" t="s">
        <v>95</v>
      </c>
      <c r="F307">
        <v>800</v>
      </c>
      <c r="G307">
        <v>22</v>
      </c>
      <c r="H307" t="s">
        <v>24</v>
      </c>
      <c r="I307" t="s">
        <v>39</v>
      </c>
      <c r="J307">
        <v>4</v>
      </c>
      <c r="K307" t="s">
        <v>81</v>
      </c>
      <c r="L307" t="s">
        <v>737</v>
      </c>
      <c r="M307" t="s">
        <v>738</v>
      </c>
      <c r="N307" s="2">
        <v>45963</v>
      </c>
      <c r="O307" s="2">
        <v>45985</v>
      </c>
      <c r="P307" t="s">
        <v>43</v>
      </c>
      <c r="Q307" t="s">
        <v>30</v>
      </c>
      <c r="R307" t="s">
        <v>45</v>
      </c>
      <c r="S307" t="s">
        <v>72</v>
      </c>
      <c r="T307" t="s">
        <v>33</v>
      </c>
      <c r="U307" t="s">
        <v>78</v>
      </c>
      <c r="V307" t="str">
        <f>IF(B307&lt;=18,"Children",IF(B307&lt;=35,"Young adult",IF(B307&lt;=60,"Adult", "Senior Citizen")))</f>
        <v>Adult</v>
      </c>
      <c r="W307" t="str">
        <f t="shared" si="28"/>
        <v>Nov</v>
      </c>
      <c r="X307">
        <f t="shared" si="29"/>
        <v>11</v>
      </c>
      <c r="Y307" t="str">
        <f t="shared" si="30"/>
        <v>Q4</v>
      </c>
      <c r="Z307">
        <f t="shared" si="31"/>
        <v>2025</v>
      </c>
      <c r="AA307" t="str">
        <f t="shared" si="32"/>
        <v>Sunday</v>
      </c>
      <c r="AB307">
        <f t="shared" si="33"/>
        <v>-22</v>
      </c>
      <c r="AC307" t="str">
        <f>IF(OR(D307="Heart Disease",D307="Cancer",D307="Stroke"),"High",IF(OR(D307="Diabetes",D307="Asthma"),"Medium","Low"))</f>
        <v>Low</v>
      </c>
      <c r="AD307" t="str">
        <f t="shared" si="34"/>
        <v>No</v>
      </c>
      <c r="AE307" t="str">
        <f>IF(G307&lt;=2,"Short Stay", IF(G307&lt;=7,"Normal Stay", "Long Stay"))</f>
        <v>Long Stay</v>
      </c>
      <c r="AF307" t="str">
        <f>IF(F307&gt;60000,"Expensive",IF(F307&gt;30000,"Moderate","Affordable"))</f>
        <v>Affordable</v>
      </c>
      <c r="AG307" t="str">
        <f>IF(J307&gt;=4.5,"Excellent",IF(J307&gt;=3.5,"Good",IF(J307&gt;=2.5,"Average","Poor")))</f>
        <v>Good</v>
      </c>
      <c r="AH307" t="str">
        <f>IF(OR(TEXT(N307,"dddd")="Saturday",TEXT(N307,"dddd")="Sunday"),"Weekend","Weekday")</f>
        <v>Weekend</v>
      </c>
    </row>
    <row r="308" spans="1:34" x14ac:dyDescent="0.3">
      <c r="A308">
        <v>312</v>
      </c>
      <c r="B308">
        <v>58</v>
      </c>
      <c r="C308" t="s">
        <v>35</v>
      </c>
      <c r="D308" t="s">
        <v>99</v>
      </c>
      <c r="E308" t="s">
        <v>100</v>
      </c>
      <c r="F308">
        <v>20000</v>
      </c>
      <c r="G308">
        <v>29</v>
      </c>
      <c r="H308" t="s">
        <v>24</v>
      </c>
      <c r="I308" t="s">
        <v>25</v>
      </c>
      <c r="J308">
        <v>3</v>
      </c>
      <c r="K308" t="s">
        <v>26</v>
      </c>
      <c r="L308" t="s">
        <v>739</v>
      </c>
      <c r="M308" t="s">
        <v>740</v>
      </c>
      <c r="N308" s="2">
        <v>45964</v>
      </c>
      <c r="O308" s="2">
        <v>45993</v>
      </c>
      <c r="P308" t="s">
        <v>29</v>
      </c>
      <c r="Q308" t="s">
        <v>71</v>
      </c>
      <c r="R308" t="s">
        <v>45</v>
      </c>
      <c r="S308" t="s">
        <v>72</v>
      </c>
      <c r="T308" t="s">
        <v>33</v>
      </c>
      <c r="U308" t="s">
        <v>78</v>
      </c>
      <c r="V308" t="str">
        <f>IF(B308&lt;=18,"Children",IF(B308&lt;=35,"Young adult",IF(B308&lt;=60,"Adult", "Senior Citizen")))</f>
        <v>Adult</v>
      </c>
      <c r="W308" t="str">
        <f t="shared" si="28"/>
        <v>Nov</v>
      </c>
      <c r="X308">
        <f t="shared" si="29"/>
        <v>11</v>
      </c>
      <c r="Y308" t="str">
        <f t="shared" si="30"/>
        <v>Q4</v>
      </c>
      <c r="Z308">
        <f t="shared" si="31"/>
        <v>2025</v>
      </c>
      <c r="AA308" t="str">
        <f t="shared" si="32"/>
        <v>Monday</v>
      </c>
      <c r="AB308">
        <f t="shared" si="33"/>
        <v>-29</v>
      </c>
      <c r="AC308" t="str">
        <f>IF(OR(D308="Heart Disease",D308="Cancer",D308="Stroke"),"High",IF(OR(D308="Diabetes",D308="Asthma"),"Medium","Low"))</f>
        <v>Low</v>
      </c>
      <c r="AD308" t="str">
        <f t="shared" si="34"/>
        <v>No</v>
      </c>
      <c r="AE308" t="str">
        <f>IF(G308&lt;=2,"Short Stay", IF(G308&lt;=7,"Normal Stay", "Long Stay"))</f>
        <v>Long Stay</v>
      </c>
      <c r="AF308" t="str">
        <f>IF(F308&gt;60000,"Expensive",IF(F308&gt;30000,"Moderate","Affordable"))</f>
        <v>Affordable</v>
      </c>
      <c r="AG308" t="str">
        <f>IF(J308&gt;=4.5,"Excellent",IF(J308&gt;=3.5,"Good",IF(J308&gt;=2.5,"Average","Poor")))</f>
        <v>Average</v>
      </c>
      <c r="AH308" t="str">
        <f>IF(OR(TEXT(N308,"dddd")="Saturday",TEXT(N308,"dddd")="Sunday"),"Weekend","Weekday")</f>
        <v>Weekday</v>
      </c>
    </row>
    <row r="309" spans="1:34" x14ac:dyDescent="0.3">
      <c r="A309">
        <v>313</v>
      </c>
      <c r="B309">
        <v>32</v>
      </c>
      <c r="C309" t="s">
        <v>21</v>
      </c>
      <c r="D309" t="s">
        <v>105</v>
      </c>
      <c r="E309" t="s">
        <v>106</v>
      </c>
      <c r="F309">
        <v>12000</v>
      </c>
      <c r="G309">
        <v>23</v>
      </c>
      <c r="H309" t="s">
        <v>24</v>
      </c>
      <c r="I309" t="s">
        <v>25</v>
      </c>
      <c r="J309">
        <v>4</v>
      </c>
      <c r="K309" t="s">
        <v>40</v>
      </c>
      <c r="L309" t="s">
        <v>741</v>
      </c>
      <c r="M309" t="s">
        <v>742</v>
      </c>
      <c r="N309" s="2">
        <v>45965</v>
      </c>
      <c r="O309" s="2">
        <v>45988</v>
      </c>
      <c r="P309" t="s">
        <v>43</v>
      </c>
      <c r="Q309" t="s">
        <v>44</v>
      </c>
      <c r="R309" t="s">
        <v>45</v>
      </c>
      <c r="S309" t="s">
        <v>72</v>
      </c>
      <c r="T309" t="s">
        <v>33</v>
      </c>
      <c r="U309" t="s">
        <v>104</v>
      </c>
      <c r="V309" t="str">
        <f>IF(B309&lt;=18,"Children",IF(B309&lt;=35,"Young adult",IF(B309&lt;=60,"Adult", "Senior Citizen")))</f>
        <v>Young adult</v>
      </c>
      <c r="W309" t="str">
        <f t="shared" si="28"/>
        <v>Nov</v>
      </c>
      <c r="X309">
        <f t="shared" si="29"/>
        <v>11</v>
      </c>
      <c r="Y309" t="str">
        <f t="shared" si="30"/>
        <v>Q4</v>
      </c>
      <c r="Z309">
        <f t="shared" si="31"/>
        <v>2025</v>
      </c>
      <c r="AA309" t="str">
        <f t="shared" si="32"/>
        <v>Tuesday</v>
      </c>
      <c r="AB309">
        <f t="shared" si="33"/>
        <v>-23</v>
      </c>
      <c r="AC309" t="str">
        <f>IF(OR(D309="Heart Disease",D309="Cancer",D309="Stroke"),"High",IF(OR(D309="Diabetes",D309="Asthma"),"Medium","Low"))</f>
        <v>Low</v>
      </c>
      <c r="AD309" t="str">
        <f t="shared" si="34"/>
        <v>No</v>
      </c>
      <c r="AE309" t="str">
        <f>IF(G309&lt;=2,"Short Stay", IF(G309&lt;=7,"Normal Stay", "Long Stay"))</f>
        <v>Long Stay</v>
      </c>
      <c r="AF309" t="str">
        <f>IF(F309&gt;60000,"Expensive",IF(F309&gt;30000,"Moderate","Affordable"))</f>
        <v>Affordable</v>
      </c>
      <c r="AG309" t="str">
        <f>IF(J309&gt;=4.5,"Excellent",IF(J309&gt;=3.5,"Good",IF(J309&gt;=2.5,"Average","Poor")))</f>
        <v>Good</v>
      </c>
      <c r="AH309" t="str">
        <f>IF(OR(TEXT(N309,"dddd")="Saturday",TEXT(N309,"dddd")="Sunday"),"Weekend","Weekday")</f>
        <v>Weekday</v>
      </c>
    </row>
    <row r="310" spans="1:34" x14ac:dyDescent="0.3">
      <c r="A310">
        <v>314</v>
      </c>
      <c r="B310">
        <v>55</v>
      </c>
      <c r="C310" t="s">
        <v>35</v>
      </c>
      <c r="D310" t="s">
        <v>111</v>
      </c>
      <c r="E310" t="s">
        <v>112</v>
      </c>
      <c r="F310">
        <v>6000</v>
      </c>
      <c r="G310">
        <v>24</v>
      </c>
      <c r="H310" t="s">
        <v>24</v>
      </c>
      <c r="I310" t="s">
        <v>25</v>
      </c>
      <c r="J310">
        <v>3</v>
      </c>
      <c r="K310" t="s">
        <v>96</v>
      </c>
      <c r="L310" t="s">
        <v>743</v>
      </c>
      <c r="M310" t="s">
        <v>744</v>
      </c>
      <c r="N310" s="2">
        <v>45966</v>
      </c>
      <c r="O310" s="2">
        <v>45990</v>
      </c>
      <c r="P310" t="s">
        <v>43</v>
      </c>
      <c r="Q310" t="s">
        <v>44</v>
      </c>
      <c r="R310" t="s">
        <v>45</v>
      </c>
      <c r="S310" t="s">
        <v>110</v>
      </c>
      <c r="T310" t="s">
        <v>33</v>
      </c>
      <c r="U310" t="s">
        <v>46</v>
      </c>
      <c r="V310" t="str">
        <f>IF(B310&lt;=18,"Children",IF(B310&lt;=35,"Young adult",IF(B310&lt;=60,"Adult", "Senior Citizen")))</f>
        <v>Adult</v>
      </c>
      <c r="W310" t="str">
        <f t="shared" si="28"/>
        <v>Nov</v>
      </c>
      <c r="X310">
        <f t="shared" si="29"/>
        <v>11</v>
      </c>
      <c r="Y310" t="str">
        <f t="shared" si="30"/>
        <v>Q4</v>
      </c>
      <c r="Z310">
        <f t="shared" si="31"/>
        <v>2025</v>
      </c>
      <c r="AA310" t="str">
        <f t="shared" si="32"/>
        <v>Wednesday</v>
      </c>
      <c r="AB310">
        <f t="shared" si="33"/>
        <v>-24</v>
      </c>
      <c r="AC310" t="str">
        <f>IF(OR(D310="Heart Disease",D310="Cancer",D310="Stroke"),"High",IF(OR(D310="Diabetes",D310="Asthma"),"Medium","Low"))</f>
        <v>Low</v>
      </c>
      <c r="AD310" t="str">
        <f t="shared" si="34"/>
        <v>No</v>
      </c>
      <c r="AE310" t="str">
        <f>IF(G310&lt;=2,"Short Stay", IF(G310&lt;=7,"Normal Stay", "Long Stay"))</f>
        <v>Long Stay</v>
      </c>
      <c r="AF310" t="str">
        <f>IF(F310&gt;60000,"Expensive",IF(F310&gt;30000,"Moderate","Affordable"))</f>
        <v>Affordable</v>
      </c>
      <c r="AG310" t="str">
        <f>IF(J310&gt;=4.5,"Excellent",IF(J310&gt;=3.5,"Good",IF(J310&gt;=2.5,"Average","Poor")))</f>
        <v>Average</v>
      </c>
      <c r="AH310" t="str">
        <f>IF(OR(TEXT(N310,"dddd")="Saturday",TEXT(N310,"dddd")="Sunday"),"Weekend","Weekday")</f>
        <v>Weekday</v>
      </c>
    </row>
    <row r="311" spans="1:34" x14ac:dyDescent="0.3">
      <c r="A311">
        <v>315</v>
      </c>
      <c r="B311">
        <v>65</v>
      </c>
      <c r="C311" t="s">
        <v>21</v>
      </c>
      <c r="D311" t="s">
        <v>116</v>
      </c>
      <c r="E311" t="s">
        <v>117</v>
      </c>
      <c r="F311">
        <v>4000</v>
      </c>
      <c r="G311">
        <v>25</v>
      </c>
      <c r="H311" t="s">
        <v>24</v>
      </c>
      <c r="I311" t="s">
        <v>39</v>
      </c>
      <c r="J311">
        <v>4</v>
      </c>
      <c r="K311" t="s">
        <v>324</v>
      </c>
      <c r="L311" t="s">
        <v>745</v>
      </c>
      <c r="M311" t="s">
        <v>746</v>
      </c>
      <c r="N311" s="2">
        <v>45967</v>
      </c>
      <c r="O311" s="2">
        <v>45992</v>
      </c>
      <c r="P311" t="s">
        <v>43</v>
      </c>
      <c r="Q311" t="s">
        <v>139</v>
      </c>
      <c r="R311" t="s">
        <v>45</v>
      </c>
      <c r="S311" t="s">
        <v>77</v>
      </c>
      <c r="T311" t="s">
        <v>33</v>
      </c>
      <c r="U311" t="s">
        <v>34</v>
      </c>
      <c r="V311" t="str">
        <f>IF(B311&lt;=18,"Children",IF(B311&lt;=35,"Young adult",IF(B311&lt;=60,"Adult", "Senior Citizen")))</f>
        <v>Senior Citizen</v>
      </c>
      <c r="W311" t="str">
        <f t="shared" si="28"/>
        <v>Nov</v>
      </c>
      <c r="X311">
        <f t="shared" si="29"/>
        <v>11</v>
      </c>
      <c r="Y311" t="str">
        <f t="shared" si="30"/>
        <v>Q4</v>
      </c>
      <c r="Z311">
        <f t="shared" si="31"/>
        <v>2025</v>
      </c>
      <c r="AA311" t="str">
        <f t="shared" si="32"/>
        <v>Thursday</v>
      </c>
      <c r="AB311">
        <f t="shared" si="33"/>
        <v>-25</v>
      </c>
      <c r="AC311" t="str">
        <f>IF(OR(D311="Heart Disease",D311="Cancer",D311="Stroke"),"High",IF(OR(D311="Diabetes",D311="Asthma"),"Medium","Low"))</f>
        <v>Low</v>
      </c>
      <c r="AD311" t="str">
        <f t="shared" si="34"/>
        <v>No</v>
      </c>
      <c r="AE311" t="str">
        <f>IF(G311&lt;=2,"Short Stay", IF(G311&lt;=7,"Normal Stay", "Long Stay"))</f>
        <v>Long Stay</v>
      </c>
      <c r="AF311" t="str">
        <f>IF(F311&gt;60000,"Expensive",IF(F311&gt;30000,"Moderate","Affordable"))</f>
        <v>Affordable</v>
      </c>
      <c r="AG311" t="str">
        <f>IF(J311&gt;=4.5,"Excellent",IF(J311&gt;=3.5,"Good",IF(J311&gt;=2.5,"Average","Poor")))</f>
        <v>Good</v>
      </c>
      <c r="AH311" t="str">
        <f>IF(OR(TEXT(N311,"dddd")="Saturday",TEXT(N311,"dddd")="Sunday"),"Weekend","Weekday")</f>
        <v>Weekday</v>
      </c>
    </row>
    <row r="312" spans="1:34" x14ac:dyDescent="0.3">
      <c r="A312">
        <v>316</v>
      </c>
      <c r="B312">
        <v>55</v>
      </c>
      <c r="C312" t="s">
        <v>21</v>
      </c>
      <c r="D312" t="s">
        <v>22</v>
      </c>
      <c r="E312" t="s">
        <v>23</v>
      </c>
      <c r="F312">
        <v>15000</v>
      </c>
      <c r="G312">
        <v>26</v>
      </c>
      <c r="H312" t="s">
        <v>38</v>
      </c>
      <c r="I312" t="s">
        <v>25</v>
      </c>
      <c r="J312">
        <v>3</v>
      </c>
      <c r="K312" t="s">
        <v>154</v>
      </c>
      <c r="L312" t="s">
        <v>747</v>
      </c>
      <c r="M312" t="s">
        <v>748</v>
      </c>
      <c r="N312" s="2">
        <v>45968</v>
      </c>
      <c r="O312" s="2">
        <v>45994</v>
      </c>
      <c r="P312" t="s">
        <v>43</v>
      </c>
      <c r="Q312" t="s">
        <v>71</v>
      </c>
      <c r="R312" t="s">
        <v>31</v>
      </c>
      <c r="S312" t="s">
        <v>53</v>
      </c>
      <c r="T312" t="s">
        <v>33</v>
      </c>
      <c r="U312" t="s">
        <v>34</v>
      </c>
      <c r="V312" t="str">
        <f>IF(B312&lt;=18,"Children",IF(B312&lt;=35,"Young adult",IF(B312&lt;=60,"Adult", "Senior Citizen")))</f>
        <v>Adult</v>
      </c>
      <c r="W312" t="str">
        <f t="shared" si="28"/>
        <v>Nov</v>
      </c>
      <c r="X312">
        <f t="shared" si="29"/>
        <v>11</v>
      </c>
      <c r="Y312" t="str">
        <f t="shared" si="30"/>
        <v>Q4</v>
      </c>
      <c r="Z312">
        <f t="shared" si="31"/>
        <v>2025</v>
      </c>
      <c r="AA312" t="str">
        <f t="shared" si="32"/>
        <v>Friday</v>
      </c>
      <c r="AB312">
        <f t="shared" si="33"/>
        <v>-26</v>
      </c>
      <c r="AC312" t="str">
        <f>IF(OR(D312="Heart Disease",D312="Cancer",D312="Stroke"),"High",IF(OR(D312="Diabetes",D312="Asthma"),"Medium","Low"))</f>
        <v>High</v>
      </c>
      <c r="AD312" t="str">
        <f t="shared" si="34"/>
        <v>Yes</v>
      </c>
      <c r="AE312" t="str">
        <f>IF(G312&lt;=2,"Short Stay", IF(G312&lt;=7,"Normal Stay", "Long Stay"))</f>
        <v>Long Stay</v>
      </c>
      <c r="AF312" t="str">
        <f>IF(F312&gt;60000,"Expensive",IF(F312&gt;30000,"Moderate","Affordable"))</f>
        <v>Affordable</v>
      </c>
      <c r="AG312" t="str">
        <f>IF(J312&gt;=4.5,"Excellent",IF(J312&gt;=3.5,"Good",IF(J312&gt;=2.5,"Average","Poor")))</f>
        <v>Average</v>
      </c>
      <c r="AH312" t="str">
        <f>IF(OR(TEXT(N312,"dddd")="Saturday",TEXT(N312,"dddd")="Sunday"),"Weekend","Weekday")</f>
        <v>Weekday</v>
      </c>
    </row>
    <row r="313" spans="1:34" x14ac:dyDescent="0.3">
      <c r="A313">
        <v>317</v>
      </c>
      <c r="B313">
        <v>62</v>
      </c>
      <c r="C313" t="s">
        <v>35</v>
      </c>
      <c r="D313" t="s">
        <v>36</v>
      </c>
      <c r="E313" t="s">
        <v>37</v>
      </c>
      <c r="F313">
        <v>2000</v>
      </c>
      <c r="G313">
        <v>24</v>
      </c>
      <c r="H313" t="s">
        <v>24</v>
      </c>
      <c r="I313" t="s">
        <v>39</v>
      </c>
      <c r="J313">
        <v>4</v>
      </c>
      <c r="K313" t="s">
        <v>172</v>
      </c>
      <c r="L313" t="s">
        <v>749</v>
      </c>
      <c r="M313" t="s">
        <v>750</v>
      </c>
      <c r="N313" s="2">
        <v>45969</v>
      </c>
      <c r="O313" s="2">
        <v>45993</v>
      </c>
      <c r="P313" t="s">
        <v>43</v>
      </c>
      <c r="Q313" t="s">
        <v>30</v>
      </c>
      <c r="R313" t="s">
        <v>45</v>
      </c>
      <c r="S313" t="s">
        <v>53</v>
      </c>
      <c r="T313" t="s">
        <v>33</v>
      </c>
      <c r="U313" t="s">
        <v>34</v>
      </c>
      <c r="V313" t="str">
        <f>IF(B313&lt;=18,"Children",IF(B313&lt;=35,"Young adult",IF(B313&lt;=60,"Adult", "Senior Citizen")))</f>
        <v>Senior Citizen</v>
      </c>
      <c r="W313" t="str">
        <f t="shared" si="28"/>
        <v>Nov</v>
      </c>
      <c r="X313">
        <f t="shared" si="29"/>
        <v>11</v>
      </c>
      <c r="Y313" t="str">
        <f t="shared" si="30"/>
        <v>Q4</v>
      </c>
      <c r="Z313">
        <f t="shared" si="31"/>
        <v>2025</v>
      </c>
      <c r="AA313" t="str">
        <f t="shared" si="32"/>
        <v>Saturday</v>
      </c>
      <c r="AB313">
        <f t="shared" si="33"/>
        <v>-24</v>
      </c>
      <c r="AC313" t="str">
        <f>IF(OR(D313="Heart Disease",D313="Cancer",D313="Stroke"),"High",IF(OR(D313="Diabetes",D313="Asthma"),"Medium","Low"))</f>
        <v>Medium</v>
      </c>
      <c r="AD313" t="str">
        <f t="shared" si="34"/>
        <v>No</v>
      </c>
      <c r="AE313" t="str">
        <f>IF(G313&lt;=2,"Short Stay", IF(G313&lt;=7,"Normal Stay", "Long Stay"))</f>
        <v>Long Stay</v>
      </c>
      <c r="AF313" t="str">
        <f>IF(F313&gt;60000,"Expensive",IF(F313&gt;30000,"Moderate","Affordable"))</f>
        <v>Affordable</v>
      </c>
      <c r="AG313" t="str">
        <f>IF(J313&gt;=4.5,"Excellent",IF(J313&gt;=3.5,"Good",IF(J313&gt;=2.5,"Average","Poor")))</f>
        <v>Good</v>
      </c>
      <c r="AH313" t="str">
        <f>IF(OR(TEXT(N313,"dddd")="Saturday",TEXT(N313,"dddd")="Sunday"),"Weekend","Weekday")</f>
        <v>Weekend</v>
      </c>
    </row>
    <row r="314" spans="1:34" x14ac:dyDescent="0.3">
      <c r="A314">
        <v>318</v>
      </c>
      <c r="B314">
        <v>35</v>
      </c>
      <c r="C314" t="s">
        <v>21</v>
      </c>
      <c r="D314" t="s">
        <v>47</v>
      </c>
      <c r="E314" t="s">
        <v>48</v>
      </c>
      <c r="F314">
        <v>500</v>
      </c>
      <c r="G314">
        <v>22</v>
      </c>
      <c r="H314" t="s">
        <v>38</v>
      </c>
      <c r="I314" t="s">
        <v>25</v>
      </c>
      <c r="J314">
        <v>5</v>
      </c>
      <c r="K314" t="s">
        <v>380</v>
      </c>
      <c r="L314" t="s">
        <v>751</v>
      </c>
      <c r="M314" t="s">
        <v>752</v>
      </c>
      <c r="N314" s="2">
        <v>45970</v>
      </c>
      <c r="O314" s="2">
        <v>45992</v>
      </c>
      <c r="P314" t="s">
        <v>29</v>
      </c>
      <c r="Q314" t="s">
        <v>139</v>
      </c>
      <c r="R314" t="s">
        <v>45</v>
      </c>
      <c r="S314" t="s">
        <v>32</v>
      </c>
      <c r="T314" t="s">
        <v>33</v>
      </c>
      <c r="U314" t="s">
        <v>104</v>
      </c>
      <c r="V314" t="str">
        <f>IF(B314&lt;=18,"Children",IF(B314&lt;=35,"Young adult",IF(B314&lt;=60,"Adult", "Senior Citizen")))</f>
        <v>Young adult</v>
      </c>
      <c r="W314" t="str">
        <f t="shared" si="28"/>
        <v>Nov</v>
      </c>
      <c r="X314">
        <f t="shared" si="29"/>
        <v>11</v>
      </c>
      <c r="Y314" t="str">
        <f t="shared" si="30"/>
        <v>Q4</v>
      </c>
      <c r="Z314">
        <f t="shared" si="31"/>
        <v>2025</v>
      </c>
      <c r="AA314" t="str">
        <f t="shared" si="32"/>
        <v>Sunday</v>
      </c>
      <c r="AB314">
        <f t="shared" si="33"/>
        <v>-22</v>
      </c>
      <c r="AC314" t="str">
        <f>IF(OR(D314="Heart Disease",D314="Cancer",D314="Stroke"),"High",IF(OR(D314="Diabetes",D314="Asthma"),"Medium","Low"))</f>
        <v>Low</v>
      </c>
      <c r="AD314" t="str">
        <f t="shared" si="34"/>
        <v>No</v>
      </c>
      <c r="AE314" t="str">
        <f>IF(G314&lt;=2,"Short Stay", IF(G314&lt;=7,"Normal Stay", "Long Stay"))</f>
        <v>Long Stay</v>
      </c>
      <c r="AF314" t="str">
        <f>IF(F314&gt;60000,"Expensive",IF(F314&gt;30000,"Moderate","Affordable"))</f>
        <v>Affordable</v>
      </c>
      <c r="AG314" t="str">
        <f>IF(J314&gt;=4.5,"Excellent",IF(J314&gt;=3.5,"Good",IF(J314&gt;=2.5,"Average","Poor")))</f>
        <v>Excellent</v>
      </c>
      <c r="AH314" t="str">
        <f>IF(OR(TEXT(N314,"dddd")="Saturday",TEXT(N314,"dddd")="Sunday"),"Weekend","Weekday")</f>
        <v>Weekend</v>
      </c>
    </row>
    <row r="315" spans="1:34" x14ac:dyDescent="0.3">
      <c r="A315">
        <v>319</v>
      </c>
      <c r="B315">
        <v>78</v>
      </c>
      <c r="C315" t="s">
        <v>35</v>
      </c>
      <c r="D315" t="s">
        <v>54</v>
      </c>
      <c r="E315" t="s">
        <v>55</v>
      </c>
      <c r="F315">
        <v>10000</v>
      </c>
      <c r="G315">
        <v>28</v>
      </c>
      <c r="H315" t="s">
        <v>24</v>
      </c>
      <c r="I315" t="s">
        <v>39</v>
      </c>
      <c r="J315">
        <v>2</v>
      </c>
      <c r="K315" t="s">
        <v>26</v>
      </c>
      <c r="L315" t="s">
        <v>753</v>
      </c>
      <c r="M315" t="s">
        <v>754</v>
      </c>
      <c r="N315" s="2">
        <v>45971</v>
      </c>
      <c r="O315" s="2">
        <v>45999</v>
      </c>
      <c r="P315" t="s">
        <v>43</v>
      </c>
      <c r="Q315" t="s">
        <v>139</v>
      </c>
      <c r="R315" t="s">
        <v>59</v>
      </c>
      <c r="S315" t="s">
        <v>84</v>
      </c>
      <c r="T315" t="s">
        <v>33</v>
      </c>
      <c r="U315" t="s">
        <v>104</v>
      </c>
      <c r="V315" t="str">
        <f>IF(B315&lt;=18,"Children",IF(B315&lt;=35,"Young adult",IF(B315&lt;=60,"Adult", "Senior Citizen")))</f>
        <v>Senior Citizen</v>
      </c>
      <c r="W315" t="str">
        <f t="shared" si="28"/>
        <v>Nov</v>
      </c>
      <c r="X315">
        <f t="shared" si="29"/>
        <v>11</v>
      </c>
      <c r="Y315" t="str">
        <f t="shared" si="30"/>
        <v>Q4</v>
      </c>
      <c r="Z315">
        <f t="shared" si="31"/>
        <v>2025</v>
      </c>
      <c r="AA315" t="str">
        <f t="shared" si="32"/>
        <v>Monday</v>
      </c>
      <c r="AB315">
        <f t="shared" si="33"/>
        <v>-28</v>
      </c>
      <c r="AC315" t="str">
        <f>IF(OR(D315="Heart Disease",D315="Cancer",D315="Stroke"),"High",IF(OR(D315="Diabetes",D315="Asthma"),"Medium","Low"))</f>
        <v>High</v>
      </c>
      <c r="AD315" t="str">
        <f t="shared" si="34"/>
        <v>Yes</v>
      </c>
      <c r="AE315" t="str">
        <f>IF(G315&lt;=2,"Short Stay", IF(G315&lt;=7,"Normal Stay", "Long Stay"))</f>
        <v>Long Stay</v>
      </c>
      <c r="AF315" t="str">
        <f>IF(F315&gt;60000,"Expensive",IF(F315&gt;30000,"Moderate","Affordable"))</f>
        <v>Affordable</v>
      </c>
      <c r="AG315" t="str">
        <f>IF(J315&gt;=4.5,"Excellent",IF(J315&gt;=3.5,"Good",IF(J315&gt;=2.5,"Average","Poor")))</f>
        <v>Poor</v>
      </c>
      <c r="AH315" t="str">
        <f>IF(OR(TEXT(N315,"dddd")="Saturday",TEXT(N315,"dddd")="Sunday"),"Weekend","Weekday")</f>
        <v>Weekday</v>
      </c>
    </row>
    <row r="316" spans="1:34" x14ac:dyDescent="0.3">
      <c r="A316">
        <v>320</v>
      </c>
      <c r="B316">
        <v>53</v>
      </c>
      <c r="C316" t="s">
        <v>21</v>
      </c>
      <c r="D316" t="s">
        <v>60</v>
      </c>
      <c r="E316" t="s">
        <v>61</v>
      </c>
      <c r="F316">
        <v>25000</v>
      </c>
      <c r="G316">
        <v>31</v>
      </c>
      <c r="H316" t="s">
        <v>38</v>
      </c>
      <c r="I316" t="s">
        <v>25</v>
      </c>
      <c r="J316">
        <v>4</v>
      </c>
      <c r="K316" t="s">
        <v>324</v>
      </c>
      <c r="L316" t="s">
        <v>755</v>
      </c>
      <c r="M316" t="s">
        <v>756</v>
      </c>
      <c r="N316" s="2">
        <v>45972</v>
      </c>
      <c r="O316" s="2">
        <v>46003</v>
      </c>
      <c r="P316" t="s">
        <v>29</v>
      </c>
      <c r="Q316" t="s">
        <v>71</v>
      </c>
      <c r="R316" t="s">
        <v>65</v>
      </c>
      <c r="S316" t="s">
        <v>53</v>
      </c>
      <c r="T316" t="s">
        <v>33</v>
      </c>
      <c r="U316" t="s">
        <v>104</v>
      </c>
      <c r="V316" t="str">
        <f>IF(B316&lt;=18,"Children",IF(B316&lt;=35,"Young adult",IF(B316&lt;=60,"Adult", "Senior Citizen")))</f>
        <v>Adult</v>
      </c>
      <c r="W316" t="str">
        <f t="shared" si="28"/>
        <v>Nov</v>
      </c>
      <c r="X316">
        <f t="shared" si="29"/>
        <v>11</v>
      </c>
      <c r="Y316" t="str">
        <f t="shared" si="30"/>
        <v>Q4</v>
      </c>
      <c r="Z316">
        <f t="shared" si="31"/>
        <v>2025</v>
      </c>
      <c r="AA316" t="str">
        <f t="shared" si="32"/>
        <v>Tuesday</v>
      </c>
      <c r="AB316">
        <f t="shared" si="33"/>
        <v>-31</v>
      </c>
      <c r="AC316" t="str">
        <f>IF(OR(D316="Heart Disease",D316="Cancer",D316="Stroke"),"High",IF(OR(D316="Diabetes",D316="Asthma"),"Medium","Low"))</f>
        <v>High</v>
      </c>
      <c r="AD316" t="str">
        <f t="shared" si="34"/>
        <v>Yes</v>
      </c>
      <c r="AE316" t="str">
        <f>IF(G316&lt;=2,"Short Stay", IF(G316&lt;=7,"Normal Stay", "Long Stay"))</f>
        <v>Long Stay</v>
      </c>
      <c r="AF316" t="str">
        <f>IF(F316&gt;60000,"Expensive",IF(F316&gt;30000,"Moderate","Affordable"))</f>
        <v>Affordable</v>
      </c>
      <c r="AG316" t="str">
        <f>IF(J316&gt;=4.5,"Excellent",IF(J316&gt;=3.5,"Good",IF(J316&gt;=2.5,"Average","Poor")))</f>
        <v>Good</v>
      </c>
      <c r="AH316" t="str">
        <f>IF(OR(TEXT(N316,"dddd")="Saturday",TEXT(N316,"dddd")="Sunday"),"Weekend","Weekday")</f>
        <v>Weekday</v>
      </c>
    </row>
    <row r="317" spans="1:34" x14ac:dyDescent="0.3">
      <c r="A317">
        <v>321</v>
      </c>
      <c r="B317">
        <v>72</v>
      </c>
      <c r="C317" t="s">
        <v>35</v>
      </c>
      <c r="D317" t="s">
        <v>66</v>
      </c>
      <c r="E317" t="s">
        <v>67</v>
      </c>
      <c r="F317">
        <v>1000</v>
      </c>
      <c r="G317">
        <v>23</v>
      </c>
      <c r="H317" t="s">
        <v>24</v>
      </c>
      <c r="I317" t="s">
        <v>39</v>
      </c>
      <c r="J317">
        <v>4</v>
      </c>
      <c r="K317" t="s">
        <v>68</v>
      </c>
      <c r="L317" t="s">
        <v>757</v>
      </c>
      <c r="M317" t="s">
        <v>758</v>
      </c>
      <c r="N317" s="2">
        <v>45973</v>
      </c>
      <c r="O317" s="2">
        <v>45996</v>
      </c>
      <c r="P317" t="s">
        <v>43</v>
      </c>
      <c r="Q317" t="s">
        <v>30</v>
      </c>
      <c r="R317" t="s">
        <v>45</v>
      </c>
      <c r="S317" t="s">
        <v>77</v>
      </c>
      <c r="T317" t="s">
        <v>33</v>
      </c>
      <c r="U317" t="s">
        <v>104</v>
      </c>
      <c r="V317" t="str">
        <f>IF(B317&lt;=18,"Children",IF(B317&lt;=35,"Young adult",IF(B317&lt;=60,"Adult", "Senior Citizen")))</f>
        <v>Senior Citizen</v>
      </c>
      <c r="W317" t="str">
        <f t="shared" si="28"/>
        <v>Nov</v>
      </c>
      <c r="X317">
        <f t="shared" si="29"/>
        <v>11</v>
      </c>
      <c r="Y317" t="str">
        <f t="shared" si="30"/>
        <v>Q4</v>
      </c>
      <c r="Z317">
        <f t="shared" si="31"/>
        <v>2025</v>
      </c>
      <c r="AA317" t="str">
        <f t="shared" si="32"/>
        <v>Wednesday</v>
      </c>
      <c r="AB317">
        <f t="shared" si="33"/>
        <v>-23</v>
      </c>
      <c r="AC317" t="str">
        <f>IF(OR(D317="Heart Disease",D317="Cancer",D317="Stroke"),"High",IF(OR(D317="Diabetes",D317="Asthma"),"Medium","Low"))</f>
        <v>Low</v>
      </c>
      <c r="AD317" t="str">
        <f t="shared" si="34"/>
        <v>No</v>
      </c>
      <c r="AE317" t="str">
        <f>IF(G317&lt;=2,"Short Stay", IF(G317&lt;=7,"Normal Stay", "Long Stay"))</f>
        <v>Long Stay</v>
      </c>
      <c r="AF317" t="str">
        <f>IF(F317&gt;60000,"Expensive",IF(F317&gt;30000,"Moderate","Affordable"))</f>
        <v>Affordable</v>
      </c>
      <c r="AG317" t="str">
        <f>IF(J317&gt;=4.5,"Excellent",IF(J317&gt;=3.5,"Good",IF(J317&gt;=2.5,"Average","Poor")))</f>
        <v>Good</v>
      </c>
      <c r="AH317" t="str">
        <f>IF(OR(TEXT(N317,"dddd")="Saturday",TEXT(N317,"dddd")="Sunday"),"Weekend","Weekday")</f>
        <v>Weekday</v>
      </c>
    </row>
    <row r="318" spans="1:34" x14ac:dyDescent="0.3">
      <c r="A318">
        <v>322</v>
      </c>
      <c r="B318">
        <v>60</v>
      </c>
      <c r="C318" t="s">
        <v>21</v>
      </c>
      <c r="D318" t="s">
        <v>73</v>
      </c>
      <c r="E318" t="s">
        <v>74</v>
      </c>
      <c r="F318">
        <v>8000</v>
      </c>
      <c r="G318">
        <v>25</v>
      </c>
      <c r="H318" t="s">
        <v>38</v>
      </c>
      <c r="I318" t="s">
        <v>25</v>
      </c>
      <c r="J318">
        <v>3</v>
      </c>
      <c r="K318" t="s">
        <v>49</v>
      </c>
      <c r="L318" t="s">
        <v>759</v>
      </c>
      <c r="M318" t="s">
        <v>760</v>
      </c>
      <c r="N318" s="2">
        <v>45974</v>
      </c>
      <c r="O318" s="2">
        <v>45999</v>
      </c>
      <c r="P318" t="s">
        <v>29</v>
      </c>
      <c r="Q318" t="s">
        <v>139</v>
      </c>
      <c r="R318" t="s">
        <v>45</v>
      </c>
      <c r="S318" t="s">
        <v>84</v>
      </c>
      <c r="T318" t="s">
        <v>33</v>
      </c>
      <c r="U318" t="s">
        <v>78</v>
      </c>
      <c r="V318" t="str">
        <f>IF(B318&lt;=18,"Children",IF(B318&lt;=35,"Young adult",IF(B318&lt;=60,"Adult", "Senior Citizen")))</f>
        <v>Adult</v>
      </c>
      <c r="W318" t="str">
        <f t="shared" si="28"/>
        <v>Nov</v>
      </c>
      <c r="X318">
        <f t="shared" si="29"/>
        <v>11</v>
      </c>
      <c r="Y318" t="str">
        <f t="shared" si="30"/>
        <v>Q4</v>
      </c>
      <c r="Z318">
        <f t="shared" si="31"/>
        <v>2025</v>
      </c>
      <c r="AA318" t="str">
        <f t="shared" si="32"/>
        <v>Thursday</v>
      </c>
      <c r="AB318">
        <f t="shared" si="33"/>
        <v>-25</v>
      </c>
      <c r="AC318" t="str">
        <f>IF(OR(D318="Heart Disease",D318="Cancer",D318="Stroke"),"High",IF(OR(D318="Diabetes",D318="Asthma"),"Medium","Low"))</f>
        <v>Low</v>
      </c>
      <c r="AD318" t="str">
        <f t="shared" si="34"/>
        <v>No</v>
      </c>
      <c r="AE318" t="str">
        <f>IF(G318&lt;=2,"Short Stay", IF(G318&lt;=7,"Normal Stay", "Long Stay"))</f>
        <v>Long Stay</v>
      </c>
      <c r="AF318" t="str">
        <f>IF(F318&gt;60000,"Expensive",IF(F318&gt;30000,"Moderate","Affordable"))</f>
        <v>Affordable</v>
      </c>
      <c r="AG318" t="str">
        <f>IF(J318&gt;=4.5,"Excellent",IF(J318&gt;=3.5,"Good",IF(J318&gt;=2.5,"Average","Poor")))</f>
        <v>Average</v>
      </c>
      <c r="AH318" t="str">
        <f>IF(OR(TEXT(N318,"dddd")="Saturday",TEXT(N318,"dddd")="Sunday"),"Weekend","Weekday")</f>
        <v>Weekday</v>
      </c>
    </row>
    <row r="319" spans="1:34" x14ac:dyDescent="0.3">
      <c r="A319">
        <v>323</v>
      </c>
      <c r="B319">
        <v>45</v>
      </c>
      <c r="C319" t="s">
        <v>35</v>
      </c>
      <c r="D319" t="s">
        <v>79</v>
      </c>
      <c r="E319" t="s">
        <v>80</v>
      </c>
      <c r="F319">
        <v>3000</v>
      </c>
      <c r="G319">
        <v>27</v>
      </c>
      <c r="H319" t="s">
        <v>24</v>
      </c>
      <c r="I319" t="s">
        <v>25</v>
      </c>
      <c r="J319">
        <v>4</v>
      </c>
      <c r="K319" t="s">
        <v>154</v>
      </c>
      <c r="L319" t="s">
        <v>761</v>
      </c>
      <c r="M319" t="s">
        <v>762</v>
      </c>
      <c r="N319" s="2">
        <v>45975</v>
      </c>
      <c r="O319" s="2">
        <v>46002</v>
      </c>
      <c r="P319" t="s">
        <v>43</v>
      </c>
      <c r="Q319" t="s">
        <v>71</v>
      </c>
      <c r="R319" t="s">
        <v>45</v>
      </c>
      <c r="S319" t="s">
        <v>32</v>
      </c>
      <c r="T319" t="s">
        <v>33</v>
      </c>
      <c r="U319" t="s">
        <v>46</v>
      </c>
      <c r="V319" t="str">
        <f>IF(B319&lt;=18,"Children",IF(B319&lt;=35,"Young adult",IF(B319&lt;=60,"Adult", "Senior Citizen")))</f>
        <v>Adult</v>
      </c>
      <c r="W319" t="str">
        <f t="shared" si="28"/>
        <v>Nov</v>
      </c>
      <c r="X319">
        <f t="shared" si="29"/>
        <v>11</v>
      </c>
      <c r="Y319" t="str">
        <f t="shared" si="30"/>
        <v>Q4</v>
      </c>
      <c r="Z319">
        <f t="shared" si="31"/>
        <v>2025</v>
      </c>
      <c r="AA319" t="str">
        <f t="shared" si="32"/>
        <v>Friday</v>
      </c>
      <c r="AB319">
        <f t="shared" si="33"/>
        <v>-27</v>
      </c>
      <c r="AC319" t="str">
        <f>IF(OR(D319="Heart Disease",D319="Cancer",D319="Stroke"),"High",IF(OR(D319="Diabetes",D319="Asthma"),"Medium","Low"))</f>
        <v>Low</v>
      </c>
      <c r="AD319" t="str">
        <f t="shared" si="34"/>
        <v>No</v>
      </c>
      <c r="AE319" t="str">
        <f>IF(G319&lt;=2,"Short Stay", IF(G319&lt;=7,"Normal Stay", "Long Stay"))</f>
        <v>Long Stay</v>
      </c>
      <c r="AF319" t="str">
        <f>IF(F319&gt;60000,"Expensive",IF(F319&gt;30000,"Moderate","Affordable"))</f>
        <v>Affordable</v>
      </c>
      <c r="AG319" t="str">
        <f>IF(J319&gt;=4.5,"Excellent",IF(J319&gt;=3.5,"Good",IF(J319&gt;=2.5,"Average","Poor")))</f>
        <v>Good</v>
      </c>
      <c r="AH319" t="str">
        <f>IF(OR(TEXT(N319,"dddd")="Saturday",TEXT(N319,"dddd")="Sunday"),"Weekend","Weekday")</f>
        <v>Weekday</v>
      </c>
    </row>
    <row r="320" spans="1:34" x14ac:dyDescent="0.3">
      <c r="A320">
        <v>324</v>
      </c>
      <c r="B320">
        <v>75</v>
      </c>
      <c r="C320" t="s">
        <v>21</v>
      </c>
      <c r="D320" t="s">
        <v>85</v>
      </c>
      <c r="E320" t="s">
        <v>86</v>
      </c>
      <c r="F320">
        <v>18000</v>
      </c>
      <c r="G320">
        <v>29</v>
      </c>
      <c r="H320" t="s">
        <v>38</v>
      </c>
      <c r="I320" t="s">
        <v>39</v>
      </c>
      <c r="J320">
        <v>2</v>
      </c>
      <c r="K320" t="s">
        <v>345</v>
      </c>
      <c r="L320" t="s">
        <v>763</v>
      </c>
      <c r="M320" t="s">
        <v>764</v>
      </c>
      <c r="N320" s="2">
        <v>45976</v>
      </c>
      <c r="O320" s="2">
        <v>46005</v>
      </c>
      <c r="P320" t="s">
        <v>43</v>
      </c>
      <c r="Q320" t="s">
        <v>139</v>
      </c>
      <c r="R320" t="s">
        <v>45</v>
      </c>
      <c r="S320" t="s">
        <v>110</v>
      </c>
      <c r="T320" t="s">
        <v>33</v>
      </c>
      <c r="U320" t="s">
        <v>78</v>
      </c>
      <c r="V320" t="str">
        <f>IF(B320&lt;=18,"Children",IF(B320&lt;=35,"Young adult",IF(B320&lt;=60,"Adult", "Senior Citizen")))</f>
        <v>Senior Citizen</v>
      </c>
      <c r="W320" t="str">
        <f t="shared" si="28"/>
        <v>Nov</v>
      </c>
      <c r="X320">
        <f t="shared" si="29"/>
        <v>11</v>
      </c>
      <c r="Y320" t="str">
        <f t="shared" si="30"/>
        <v>Q4</v>
      </c>
      <c r="Z320">
        <f t="shared" si="31"/>
        <v>2025</v>
      </c>
      <c r="AA320" t="str">
        <f t="shared" si="32"/>
        <v>Saturday</v>
      </c>
      <c r="AB320">
        <f t="shared" si="33"/>
        <v>-29</v>
      </c>
      <c r="AC320" t="str">
        <f>IF(OR(D320="Heart Disease",D320="Cancer",D320="Stroke"),"High",IF(OR(D320="Diabetes",D320="Asthma"),"Medium","Low"))</f>
        <v>Low</v>
      </c>
      <c r="AD320" t="str">
        <f t="shared" si="34"/>
        <v>No</v>
      </c>
      <c r="AE320" t="str">
        <f>IF(G320&lt;=2,"Short Stay", IF(G320&lt;=7,"Normal Stay", "Long Stay"))</f>
        <v>Long Stay</v>
      </c>
      <c r="AF320" t="str">
        <f>IF(F320&gt;60000,"Expensive",IF(F320&gt;30000,"Moderate","Affordable"))</f>
        <v>Affordable</v>
      </c>
      <c r="AG320" t="str">
        <f>IF(J320&gt;=4.5,"Excellent",IF(J320&gt;=3.5,"Good",IF(J320&gt;=2.5,"Average","Poor")))</f>
        <v>Poor</v>
      </c>
      <c r="AH320" t="str">
        <f>IF(OR(TEXT(N320,"dddd")="Saturday",TEXT(N320,"dddd")="Sunday"),"Weekend","Weekday")</f>
        <v>Weekend</v>
      </c>
    </row>
    <row r="321" spans="1:34" x14ac:dyDescent="0.3">
      <c r="A321">
        <v>325</v>
      </c>
      <c r="B321">
        <v>28</v>
      </c>
      <c r="C321" t="s">
        <v>35</v>
      </c>
      <c r="D321" t="s">
        <v>89</v>
      </c>
      <c r="E321" t="s">
        <v>90</v>
      </c>
      <c r="F321">
        <v>100</v>
      </c>
      <c r="G321">
        <v>22</v>
      </c>
      <c r="H321" t="s">
        <v>24</v>
      </c>
      <c r="I321" t="s">
        <v>25</v>
      </c>
      <c r="J321">
        <v>5</v>
      </c>
      <c r="K321" t="s">
        <v>160</v>
      </c>
      <c r="L321" t="s">
        <v>765</v>
      </c>
      <c r="M321" t="s">
        <v>766</v>
      </c>
      <c r="N321" s="2">
        <v>45977</v>
      </c>
      <c r="O321" s="2">
        <v>45999</v>
      </c>
      <c r="P321" t="s">
        <v>43</v>
      </c>
      <c r="Q321" t="s">
        <v>52</v>
      </c>
      <c r="R321" t="s">
        <v>45</v>
      </c>
      <c r="S321" t="s">
        <v>110</v>
      </c>
      <c r="T321" t="s">
        <v>33</v>
      </c>
      <c r="U321" t="s">
        <v>78</v>
      </c>
      <c r="V321" t="str">
        <f>IF(B321&lt;=18,"Children",IF(B321&lt;=35,"Young adult",IF(B321&lt;=60,"Adult", "Senior Citizen")))</f>
        <v>Young adult</v>
      </c>
      <c r="W321" t="str">
        <f t="shared" si="28"/>
        <v>Nov</v>
      </c>
      <c r="X321">
        <f t="shared" si="29"/>
        <v>11</v>
      </c>
      <c r="Y321" t="str">
        <f t="shared" si="30"/>
        <v>Q4</v>
      </c>
      <c r="Z321">
        <f t="shared" si="31"/>
        <v>2025</v>
      </c>
      <c r="AA321" t="str">
        <f t="shared" si="32"/>
        <v>Sunday</v>
      </c>
      <c r="AB321">
        <f t="shared" si="33"/>
        <v>-22</v>
      </c>
      <c r="AC321" t="str">
        <f>IF(OR(D321="Heart Disease",D321="Cancer",D321="Stroke"),"High",IF(OR(D321="Diabetes",D321="Asthma"),"Medium","Low"))</f>
        <v>Low</v>
      </c>
      <c r="AD321" t="str">
        <f t="shared" si="34"/>
        <v>No</v>
      </c>
      <c r="AE321" t="str">
        <f>IF(G321&lt;=2,"Short Stay", IF(G321&lt;=7,"Normal Stay", "Long Stay"))</f>
        <v>Long Stay</v>
      </c>
      <c r="AF321" t="str">
        <f>IF(F321&gt;60000,"Expensive",IF(F321&gt;30000,"Moderate","Affordable"))</f>
        <v>Affordable</v>
      </c>
      <c r="AG321" t="str">
        <f>IF(J321&gt;=4.5,"Excellent",IF(J321&gt;=3.5,"Good",IF(J321&gt;=2.5,"Average","Poor")))</f>
        <v>Excellent</v>
      </c>
      <c r="AH321" t="str">
        <f>IF(OR(TEXT(N321,"dddd")="Saturday",TEXT(N321,"dddd")="Sunday"),"Weekend","Weekday")</f>
        <v>Weekend</v>
      </c>
    </row>
    <row r="322" spans="1:34" x14ac:dyDescent="0.3">
      <c r="A322">
        <v>326</v>
      </c>
      <c r="B322">
        <v>52</v>
      </c>
      <c r="C322" t="s">
        <v>21</v>
      </c>
      <c r="D322" t="s">
        <v>94</v>
      </c>
      <c r="E322" t="s">
        <v>95</v>
      </c>
      <c r="F322">
        <v>800</v>
      </c>
      <c r="G322">
        <v>23</v>
      </c>
      <c r="H322" t="s">
        <v>24</v>
      </c>
      <c r="I322" t="s">
        <v>39</v>
      </c>
      <c r="J322">
        <v>4</v>
      </c>
      <c r="K322" t="s">
        <v>40</v>
      </c>
      <c r="L322" t="s">
        <v>767</v>
      </c>
      <c r="M322" t="s">
        <v>768</v>
      </c>
      <c r="N322" s="2">
        <v>45978</v>
      </c>
      <c r="O322" s="2">
        <v>46001</v>
      </c>
      <c r="P322" t="s">
        <v>29</v>
      </c>
      <c r="Q322" t="s">
        <v>30</v>
      </c>
      <c r="R322" t="s">
        <v>45</v>
      </c>
      <c r="S322" t="s">
        <v>72</v>
      </c>
      <c r="T322" t="s">
        <v>33</v>
      </c>
      <c r="U322" t="s">
        <v>78</v>
      </c>
      <c r="V322" t="str">
        <f>IF(B322&lt;=18,"Children",IF(B322&lt;=35,"Young adult",IF(B322&lt;=60,"Adult", "Senior Citizen")))</f>
        <v>Adult</v>
      </c>
      <c r="W322" t="str">
        <f t="shared" si="28"/>
        <v>Nov</v>
      </c>
      <c r="X322">
        <f t="shared" si="29"/>
        <v>11</v>
      </c>
      <c r="Y322" t="str">
        <f t="shared" si="30"/>
        <v>Q4</v>
      </c>
      <c r="Z322">
        <f t="shared" si="31"/>
        <v>2025</v>
      </c>
      <c r="AA322" t="str">
        <f t="shared" si="32"/>
        <v>Monday</v>
      </c>
      <c r="AB322">
        <f t="shared" si="33"/>
        <v>-23</v>
      </c>
      <c r="AC322" t="str">
        <f>IF(OR(D322="Heart Disease",D322="Cancer",D322="Stroke"),"High",IF(OR(D322="Diabetes",D322="Asthma"),"Medium","Low"))</f>
        <v>Low</v>
      </c>
      <c r="AD322" t="str">
        <f t="shared" si="34"/>
        <v>No</v>
      </c>
      <c r="AE322" t="str">
        <f>IF(G322&lt;=2,"Short Stay", IF(G322&lt;=7,"Normal Stay", "Long Stay"))</f>
        <v>Long Stay</v>
      </c>
      <c r="AF322" t="str">
        <f>IF(F322&gt;60000,"Expensive",IF(F322&gt;30000,"Moderate","Affordable"))</f>
        <v>Affordable</v>
      </c>
      <c r="AG322" t="str">
        <f>IF(J322&gt;=4.5,"Excellent",IF(J322&gt;=3.5,"Good",IF(J322&gt;=2.5,"Average","Poor")))</f>
        <v>Good</v>
      </c>
      <c r="AH322" t="str">
        <f>IF(OR(TEXT(N322,"dddd")="Saturday",TEXT(N322,"dddd")="Sunday"),"Weekend","Weekday")</f>
        <v>Weekday</v>
      </c>
    </row>
    <row r="323" spans="1:34" x14ac:dyDescent="0.3">
      <c r="A323">
        <v>327</v>
      </c>
      <c r="B323">
        <v>67</v>
      </c>
      <c r="C323" t="s">
        <v>35</v>
      </c>
      <c r="D323" t="s">
        <v>99</v>
      </c>
      <c r="E323" t="s">
        <v>100</v>
      </c>
      <c r="F323">
        <v>20000</v>
      </c>
      <c r="G323">
        <v>30</v>
      </c>
      <c r="H323" t="s">
        <v>24</v>
      </c>
      <c r="I323" t="s">
        <v>25</v>
      </c>
      <c r="J323">
        <v>3</v>
      </c>
      <c r="K323" t="s">
        <v>40</v>
      </c>
      <c r="L323" t="s">
        <v>769</v>
      </c>
      <c r="M323" t="s">
        <v>770</v>
      </c>
      <c r="N323" s="2">
        <v>45979</v>
      </c>
      <c r="O323" s="2">
        <v>46009</v>
      </c>
      <c r="P323" t="s">
        <v>43</v>
      </c>
      <c r="Q323" t="s">
        <v>139</v>
      </c>
      <c r="R323" t="s">
        <v>45</v>
      </c>
      <c r="S323" t="s">
        <v>77</v>
      </c>
      <c r="T323" t="s">
        <v>33</v>
      </c>
      <c r="U323" t="s">
        <v>78</v>
      </c>
      <c r="V323" t="str">
        <f>IF(B323&lt;=18,"Children",IF(B323&lt;=35,"Young adult",IF(B323&lt;=60,"Adult", "Senior Citizen")))</f>
        <v>Senior Citizen</v>
      </c>
      <c r="W323" t="str">
        <f t="shared" ref="W323:W386" si="35">TEXT(N323,"MMM")</f>
        <v>Nov</v>
      </c>
      <c r="X323">
        <f t="shared" ref="X323:X386" si="36">MONTH(N323)</f>
        <v>11</v>
      </c>
      <c r="Y323" t="str">
        <f t="shared" ref="Y323:Y386" si="37">"Q"&amp;ROUNDUP(MONTH(N323)/3,0)</f>
        <v>Q4</v>
      </c>
      <c r="Z323">
        <f t="shared" ref="Z323:Z386" si="38">YEAR(N323)</f>
        <v>2025</v>
      </c>
      <c r="AA323" t="str">
        <f t="shared" ref="AA323:AA386" si="39">TEXT(N323, "dddd")</f>
        <v>Tuesday</v>
      </c>
      <c r="AB323">
        <f t="shared" ref="AB323:AB386" si="40">N323-O323</f>
        <v>-30</v>
      </c>
      <c r="AC323" t="str">
        <f>IF(OR(D323="Heart Disease",D323="Cancer",D323="Stroke"),"High",IF(OR(D323="Diabetes",D323="Asthma"),"Medium","Low"))</f>
        <v>Low</v>
      </c>
      <c r="AD323" t="str">
        <f t="shared" ref="AD323:AD386" si="41">IF(AC323="High","Yes","No")</f>
        <v>No</v>
      </c>
      <c r="AE323" t="str">
        <f>IF(G323&lt;=2,"Short Stay", IF(G323&lt;=7,"Normal Stay", "Long Stay"))</f>
        <v>Long Stay</v>
      </c>
      <c r="AF323" t="str">
        <f>IF(F323&gt;60000,"Expensive",IF(F323&gt;30000,"Moderate","Affordable"))</f>
        <v>Affordable</v>
      </c>
      <c r="AG323" t="str">
        <f>IF(J323&gt;=4.5,"Excellent",IF(J323&gt;=3.5,"Good",IF(J323&gt;=2.5,"Average","Poor")))</f>
        <v>Average</v>
      </c>
      <c r="AH323" t="str">
        <f>IF(OR(TEXT(N323,"dddd")="Saturday",TEXT(N323,"dddd")="Sunday"),"Weekend","Weekday")</f>
        <v>Weekday</v>
      </c>
    </row>
    <row r="324" spans="1:34" x14ac:dyDescent="0.3">
      <c r="A324">
        <v>328</v>
      </c>
      <c r="B324">
        <v>35</v>
      </c>
      <c r="C324" t="s">
        <v>21</v>
      </c>
      <c r="D324" t="s">
        <v>105</v>
      </c>
      <c r="E324" t="s">
        <v>106</v>
      </c>
      <c r="F324">
        <v>12000</v>
      </c>
      <c r="G324">
        <v>24</v>
      </c>
      <c r="H324" t="s">
        <v>24</v>
      </c>
      <c r="I324" t="s">
        <v>25</v>
      </c>
      <c r="J324">
        <v>4</v>
      </c>
      <c r="K324" t="s">
        <v>429</v>
      </c>
      <c r="L324" t="s">
        <v>771</v>
      </c>
      <c r="M324" t="s">
        <v>772</v>
      </c>
      <c r="N324" s="2">
        <v>45980</v>
      </c>
      <c r="O324" s="2">
        <v>46004</v>
      </c>
      <c r="P324" t="s">
        <v>43</v>
      </c>
      <c r="Q324" t="s">
        <v>30</v>
      </c>
      <c r="R324" t="s">
        <v>45</v>
      </c>
      <c r="S324" t="s">
        <v>110</v>
      </c>
      <c r="T324" t="s">
        <v>33</v>
      </c>
      <c r="U324" t="s">
        <v>34</v>
      </c>
      <c r="V324" t="str">
        <f>IF(B324&lt;=18,"Children",IF(B324&lt;=35,"Young adult",IF(B324&lt;=60,"Adult", "Senior Citizen")))</f>
        <v>Young adult</v>
      </c>
      <c r="W324" t="str">
        <f t="shared" si="35"/>
        <v>Nov</v>
      </c>
      <c r="X324">
        <f t="shared" si="36"/>
        <v>11</v>
      </c>
      <c r="Y324" t="str">
        <f t="shared" si="37"/>
        <v>Q4</v>
      </c>
      <c r="Z324">
        <f t="shared" si="38"/>
        <v>2025</v>
      </c>
      <c r="AA324" t="str">
        <f t="shared" si="39"/>
        <v>Wednesday</v>
      </c>
      <c r="AB324">
        <f t="shared" si="40"/>
        <v>-24</v>
      </c>
      <c r="AC324" t="str">
        <f>IF(OR(D324="Heart Disease",D324="Cancer",D324="Stroke"),"High",IF(OR(D324="Diabetes",D324="Asthma"),"Medium","Low"))</f>
        <v>Low</v>
      </c>
      <c r="AD324" t="str">
        <f t="shared" si="41"/>
        <v>No</v>
      </c>
      <c r="AE324" t="str">
        <f>IF(G324&lt;=2,"Short Stay", IF(G324&lt;=7,"Normal Stay", "Long Stay"))</f>
        <v>Long Stay</v>
      </c>
      <c r="AF324" t="str">
        <f>IF(F324&gt;60000,"Expensive",IF(F324&gt;30000,"Moderate","Affordable"))</f>
        <v>Affordable</v>
      </c>
      <c r="AG324" t="str">
        <f>IF(J324&gt;=4.5,"Excellent",IF(J324&gt;=3.5,"Good",IF(J324&gt;=2.5,"Average","Poor")))</f>
        <v>Good</v>
      </c>
      <c r="AH324" t="str">
        <f>IF(OR(TEXT(N324,"dddd")="Saturday",TEXT(N324,"dddd")="Sunday"),"Weekend","Weekday")</f>
        <v>Weekday</v>
      </c>
    </row>
    <row r="325" spans="1:34" x14ac:dyDescent="0.3">
      <c r="A325">
        <v>329</v>
      </c>
      <c r="B325">
        <v>50</v>
      </c>
      <c r="C325" t="s">
        <v>35</v>
      </c>
      <c r="D325" t="s">
        <v>111</v>
      </c>
      <c r="E325" t="s">
        <v>112</v>
      </c>
      <c r="F325">
        <v>6000</v>
      </c>
      <c r="G325">
        <v>25</v>
      </c>
      <c r="H325" t="s">
        <v>24</v>
      </c>
      <c r="I325" t="s">
        <v>25</v>
      </c>
      <c r="J325">
        <v>3</v>
      </c>
      <c r="K325" t="s">
        <v>203</v>
      </c>
      <c r="L325" t="s">
        <v>773</v>
      </c>
      <c r="M325" t="s">
        <v>774</v>
      </c>
      <c r="N325" s="2">
        <v>45981</v>
      </c>
      <c r="O325" s="2">
        <v>46006</v>
      </c>
      <c r="P325" t="s">
        <v>29</v>
      </c>
      <c r="Q325" t="s">
        <v>71</v>
      </c>
      <c r="R325" t="s">
        <v>45</v>
      </c>
      <c r="S325" t="s">
        <v>32</v>
      </c>
      <c r="T325" t="s">
        <v>33</v>
      </c>
      <c r="U325" t="s">
        <v>104</v>
      </c>
      <c r="V325" t="str">
        <f>IF(B325&lt;=18,"Children",IF(B325&lt;=35,"Young adult",IF(B325&lt;=60,"Adult", "Senior Citizen")))</f>
        <v>Adult</v>
      </c>
      <c r="W325" t="str">
        <f t="shared" si="35"/>
        <v>Nov</v>
      </c>
      <c r="X325">
        <f t="shared" si="36"/>
        <v>11</v>
      </c>
      <c r="Y325" t="str">
        <f t="shared" si="37"/>
        <v>Q4</v>
      </c>
      <c r="Z325">
        <f t="shared" si="38"/>
        <v>2025</v>
      </c>
      <c r="AA325" t="str">
        <f t="shared" si="39"/>
        <v>Thursday</v>
      </c>
      <c r="AB325">
        <f t="shared" si="40"/>
        <v>-25</v>
      </c>
      <c r="AC325" t="str">
        <f>IF(OR(D325="Heart Disease",D325="Cancer",D325="Stroke"),"High",IF(OR(D325="Diabetes",D325="Asthma"),"Medium","Low"))</f>
        <v>Low</v>
      </c>
      <c r="AD325" t="str">
        <f t="shared" si="41"/>
        <v>No</v>
      </c>
      <c r="AE325" t="str">
        <f>IF(G325&lt;=2,"Short Stay", IF(G325&lt;=7,"Normal Stay", "Long Stay"))</f>
        <v>Long Stay</v>
      </c>
      <c r="AF325" t="str">
        <f>IF(F325&gt;60000,"Expensive",IF(F325&gt;30000,"Moderate","Affordable"))</f>
        <v>Affordable</v>
      </c>
      <c r="AG325" t="str">
        <f>IF(J325&gt;=4.5,"Excellent",IF(J325&gt;=3.5,"Good",IF(J325&gt;=2.5,"Average","Poor")))</f>
        <v>Average</v>
      </c>
      <c r="AH325" t="str">
        <f>IF(OR(TEXT(N325,"dddd")="Saturday",TEXT(N325,"dddd")="Sunday"),"Weekend","Weekday")</f>
        <v>Weekday</v>
      </c>
    </row>
    <row r="326" spans="1:34" x14ac:dyDescent="0.3">
      <c r="A326">
        <v>330</v>
      </c>
      <c r="B326">
        <v>60</v>
      </c>
      <c r="C326" t="s">
        <v>21</v>
      </c>
      <c r="D326" t="s">
        <v>116</v>
      </c>
      <c r="E326" t="s">
        <v>117</v>
      </c>
      <c r="F326">
        <v>4000</v>
      </c>
      <c r="G326">
        <v>26</v>
      </c>
      <c r="H326" t="s">
        <v>24</v>
      </c>
      <c r="I326" t="s">
        <v>39</v>
      </c>
      <c r="J326">
        <v>4</v>
      </c>
      <c r="K326" t="s">
        <v>101</v>
      </c>
      <c r="L326" t="s">
        <v>775</v>
      </c>
      <c r="M326" t="s">
        <v>776</v>
      </c>
      <c r="N326" s="2">
        <v>45982</v>
      </c>
      <c r="O326" s="2">
        <v>46008</v>
      </c>
      <c r="P326" t="s">
        <v>43</v>
      </c>
      <c r="Q326" t="s">
        <v>71</v>
      </c>
      <c r="R326" t="s">
        <v>45</v>
      </c>
      <c r="S326" t="s">
        <v>77</v>
      </c>
      <c r="T326" t="s">
        <v>33</v>
      </c>
      <c r="U326" t="s">
        <v>78</v>
      </c>
      <c r="V326" t="str">
        <f>IF(B326&lt;=18,"Children",IF(B326&lt;=35,"Young adult",IF(B326&lt;=60,"Adult", "Senior Citizen")))</f>
        <v>Adult</v>
      </c>
      <c r="W326" t="str">
        <f t="shared" si="35"/>
        <v>Nov</v>
      </c>
      <c r="X326">
        <f t="shared" si="36"/>
        <v>11</v>
      </c>
      <c r="Y326" t="str">
        <f t="shared" si="37"/>
        <v>Q4</v>
      </c>
      <c r="Z326">
        <f t="shared" si="38"/>
        <v>2025</v>
      </c>
      <c r="AA326" t="str">
        <f t="shared" si="39"/>
        <v>Friday</v>
      </c>
      <c r="AB326">
        <f t="shared" si="40"/>
        <v>-26</v>
      </c>
      <c r="AC326" t="str">
        <f>IF(OR(D326="Heart Disease",D326="Cancer",D326="Stroke"),"High",IF(OR(D326="Diabetes",D326="Asthma"),"Medium","Low"))</f>
        <v>Low</v>
      </c>
      <c r="AD326" t="str">
        <f t="shared" si="41"/>
        <v>No</v>
      </c>
      <c r="AE326" t="str">
        <f>IF(G326&lt;=2,"Short Stay", IF(G326&lt;=7,"Normal Stay", "Long Stay"))</f>
        <v>Long Stay</v>
      </c>
      <c r="AF326" t="str">
        <f>IF(F326&gt;60000,"Expensive",IF(F326&gt;30000,"Moderate","Affordable"))</f>
        <v>Affordable</v>
      </c>
      <c r="AG326" t="str">
        <f>IF(J326&gt;=4.5,"Excellent",IF(J326&gt;=3.5,"Good",IF(J326&gt;=2.5,"Average","Poor")))</f>
        <v>Good</v>
      </c>
      <c r="AH326" t="str">
        <f>IF(OR(TEXT(N326,"dddd")="Saturday",TEXT(N326,"dddd")="Sunday"),"Weekend","Weekday")</f>
        <v>Weekday</v>
      </c>
    </row>
    <row r="327" spans="1:34" x14ac:dyDescent="0.3">
      <c r="A327">
        <v>331</v>
      </c>
      <c r="B327">
        <v>48</v>
      </c>
      <c r="C327" t="s">
        <v>21</v>
      </c>
      <c r="D327" t="s">
        <v>22</v>
      </c>
      <c r="E327" t="s">
        <v>23</v>
      </c>
      <c r="F327">
        <v>15000</v>
      </c>
      <c r="G327">
        <v>27</v>
      </c>
      <c r="H327" t="s">
        <v>38</v>
      </c>
      <c r="I327" t="s">
        <v>25</v>
      </c>
      <c r="J327">
        <v>4</v>
      </c>
      <c r="K327" t="s">
        <v>218</v>
      </c>
      <c r="L327" t="s">
        <v>777</v>
      </c>
      <c r="M327" t="s">
        <v>778</v>
      </c>
      <c r="N327" s="2">
        <v>45983</v>
      </c>
      <c r="O327" s="2">
        <v>46010</v>
      </c>
      <c r="P327" t="s">
        <v>29</v>
      </c>
      <c r="Q327" t="s">
        <v>30</v>
      </c>
      <c r="R327" t="s">
        <v>31</v>
      </c>
      <c r="S327" t="s">
        <v>77</v>
      </c>
      <c r="T327" t="s">
        <v>33</v>
      </c>
      <c r="U327" t="s">
        <v>78</v>
      </c>
      <c r="V327" t="str">
        <f>IF(B327&lt;=18,"Children",IF(B327&lt;=35,"Young adult",IF(B327&lt;=60,"Adult", "Senior Citizen")))</f>
        <v>Adult</v>
      </c>
      <c r="W327" t="str">
        <f t="shared" si="35"/>
        <v>Nov</v>
      </c>
      <c r="X327">
        <f t="shared" si="36"/>
        <v>11</v>
      </c>
      <c r="Y327" t="str">
        <f t="shared" si="37"/>
        <v>Q4</v>
      </c>
      <c r="Z327">
        <f t="shared" si="38"/>
        <v>2025</v>
      </c>
      <c r="AA327" t="str">
        <f t="shared" si="39"/>
        <v>Saturday</v>
      </c>
      <c r="AB327">
        <f t="shared" si="40"/>
        <v>-27</v>
      </c>
      <c r="AC327" t="str">
        <f>IF(OR(D327="Heart Disease",D327="Cancer",D327="Stroke"),"High",IF(OR(D327="Diabetes",D327="Asthma"),"Medium","Low"))</f>
        <v>High</v>
      </c>
      <c r="AD327" t="str">
        <f t="shared" si="41"/>
        <v>Yes</v>
      </c>
      <c r="AE327" t="str">
        <f>IF(G327&lt;=2,"Short Stay", IF(G327&lt;=7,"Normal Stay", "Long Stay"))</f>
        <v>Long Stay</v>
      </c>
      <c r="AF327" t="str">
        <f>IF(F327&gt;60000,"Expensive",IF(F327&gt;30000,"Moderate","Affordable"))</f>
        <v>Affordable</v>
      </c>
      <c r="AG327" t="str">
        <f>IF(J327&gt;=4.5,"Excellent",IF(J327&gt;=3.5,"Good",IF(J327&gt;=2.5,"Average","Poor")))</f>
        <v>Good</v>
      </c>
      <c r="AH327" t="str">
        <f>IF(OR(TEXT(N327,"dddd")="Saturday",TEXT(N327,"dddd")="Sunday"),"Weekend","Weekday")</f>
        <v>Weekend</v>
      </c>
    </row>
    <row r="328" spans="1:34" x14ac:dyDescent="0.3">
      <c r="A328">
        <v>332</v>
      </c>
      <c r="B328">
        <v>65</v>
      </c>
      <c r="C328" t="s">
        <v>35</v>
      </c>
      <c r="D328" t="s">
        <v>36</v>
      </c>
      <c r="E328" t="s">
        <v>37</v>
      </c>
      <c r="F328">
        <v>2000</v>
      </c>
      <c r="G328">
        <v>25</v>
      </c>
      <c r="H328" t="s">
        <v>24</v>
      </c>
      <c r="I328" t="s">
        <v>39</v>
      </c>
      <c r="J328">
        <v>3</v>
      </c>
      <c r="K328" t="s">
        <v>210</v>
      </c>
      <c r="L328" t="s">
        <v>779</v>
      </c>
      <c r="M328" t="s">
        <v>780</v>
      </c>
      <c r="N328" s="2">
        <v>45984</v>
      </c>
      <c r="O328" s="2">
        <v>46009</v>
      </c>
      <c r="P328" t="s">
        <v>29</v>
      </c>
      <c r="Q328" t="s">
        <v>52</v>
      </c>
      <c r="R328" t="s">
        <v>45</v>
      </c>
      <c r="S328" t="s">
        <v>77</v>
      </c>
      <c r="T328" t="s">
        <v>33</v>
      </c>
      <c r="U328" t="s">
        <v>104</v>
      </c>
      <c r="V328" t="str">
        <f>IF(B328&lt;=18,"Children",IF(B328&lt;=35,"Young adult",IF(B328&lt;=60,"Adult", "Senior Citizen")))</f>
        <v>Senior Citizen</v>
      </c>
      <c r="W328" t="str">
        <f t="shared" si="35"/>
        <v>Nov</v>
      </c>
      <c r="X328">
        <f t="shared" si="36"/>
        <v>11</v>
      </c>
      <c r="Y328" t="str">
        <f t="shared" si="37"/>
        <v>Q4</v>
      </c>
      <c r="Z328">
        <f t="shared" si="38"/>
        <v>2025</v>
      </c>
      <c r="AA328" t="str">
        <f t="shared" si="39"/>
        <v>Sunday</v>
      </c>
      <c r="AB328">
        <f t="shared" si="40"/>
        <v>-25</v>
      </c>
      <c r="AC328" t="str">
        <f>IF(OR(D328="Heart Disease",D328="Cancer",D328="Stroke"),"High",IF(OR(D328="Diabetes",D328="Asthma"),"Medium","Low"))</f>
        <v>Medium</v>
      </c>
      <c r="AD328" t="str">
        <f t="shared" si="41"/>
        <v>No</v>
      </c>
      <c r="AE328" t="str">
        <f>IF(G328&lt;=2,"Short Stay", IF(G328&lt;=7,"Normal Stay", "Long Stay"))</f>
        <v>Long Stay</v>
      </c>
      <c r="AF328" t="str">
        <f>IF(F328&gt;60000,"Expensive",IF(F328&gt;30000,"Moderate","Affordable"))</f>
        <v>Affordable</v>
      </c>
      <c r="AG328" t="str">
        <f>IF(J328&gt;=4.5,"Excellent",IF(J328&gt;=3.5,"Good",IF(J328&gt;=2.5,"Average","Poor")))</f>
        <v>Average</v>
      </c>
      <c r="AH328" t="str">
        <f>IF(OR(TEXT(N328,"dddd")="Saturday",TEXT(N328,"dddd")="Sunday"),"Weekend","Weekday")</f>
        <v>Weekend</v>
      </c>
    </row>
    <row r="329" spans="1:34" x14ac:dyDescent="0.3">
      <c r="A329">
        <v>333</v>
      </c>
      <c r="B329">
        <v>30</v>
      </c>
      <c r="C329" t="s">
        <v>21</v>
      </c>
      <c r="D329" t="s">
        <v>47</v>
      </c>
      <c r="E329" t="s">
        <v>48</v>
      </c>
      <c r="F329">
        <v>500</v>
      </c>
      <c r="G329">
        <v>23</v>
      </c>
      <c r="H329" t="s">
        <v>24</v>
      </c>
      <c r="I329" t="s">
        <v>25</v>
      </c>
      <c r="J329">
        <v>5</v>
      </c>
      <c r="K329" t="s">
        <v>160</v>
      </c>
      <c r="L329" t="s">
        <v>781</v>
      </c>
      <c r="M329" t="s">
        <v>782</v>
      </c>
      <c r="N329" s="2">
        <v>45985</v>
      </c>
      <c r="O329" s="2">
        <v>46008</v>
      </c>
      <c r="P329" t="s">
        <v>29</v>
      </c>
      <c r="Q329" t="s">
        <v>71</v>
      </c>
      <c r="R329" t="s">
        <v>45</v>
      </c>
      <c r="S329" t="s">
        <v>110</v>
      </c>
      <c r="T329" t="s">
        <v>33</v>
      </c>
      <c r="U329" t="s">
        <v>46</v>
      </c>
      <c r="V329" t="str">
        <f>IF(B329&lt;=18,"Children",IF(B329&lt;=35,"Young adult",IF(B329&lt;=60,"Adult", "Senior Citizen")))</f>
        <v>Young adult</v>
      </c>
      <c r="W329" t="str">
        <f t="shared" si="35"/>
        <v>Nov</v>
      </c>
      <c r="X329">
        <f t="shared" si="36"/>
        <v>11</v>
      </c>
      <c r="Y329" t="str">
        <f t="shared" si="37"/>
        <v>Q4</v>
      </c>
      <c r="Z329">
        <f t="shared" si="38"/>
        <v>2025</v>
      </c>
      <c r="AA329" t="str">
        <f t="shared" si="39"/>
        <v>Monday</v>
      </c>
      <c r="AB329">
        <f t="shared" si="40"/>
        <v>-23</v>
      </c>
      <c r="AC329" t="str">
        <f>IF(OR(D329="Heart Disease",D329="Cancer",D329="Stroke"),"High",IF(OR(D329="Diabetes",D329="Asthma"),"Medium","Low"))</f>
        <v>Low</v>
      </c>
      <c r="AD329" t="str">
        <f t="shared" si="41"/>
        <v>No</v>
      </c>
      <c r="AE329" t="str">
        <f>IF(G329&lt;=2,"Short Stay", IF(G329&lt;=7,"Normal Stay", "Long Stay"))</f>
        <v>Long Stay</v>
      </c>
      <c r="AF329" t="str">
        <f>IF(F329&gt;60000,"Expensive",IF(F329&gt;30000,"Moderate","Affordable"))</f>
        <v>Affordable</v>
      </c>
      <c r="AG329" t="str">
        <f>IF(J329&gt;=4.5,"Excellent",IF(J329&gt;=3.5,"Good",IF(J329&gt;=2.5,"Average","Poor")))</f>
        <v>Excellent</v>
      </c>
      <c r="AH329" t="str">
        <f>IF(OR(TEXT(N329,"dddd")="Saturday",TEXT(N329,"dddd")="Sunday"),"Weekend","Weekday")</f>
        <v>Weekday</v>
      </c>
    </row>
    <row r="330" spans="1:34" x14ac:dyDescent="0.3">
      <c r="A330">
        <v>334</v>
      </c>
      <c r="B330">
        <v>70</v>
      </c>
      <c r="C330" t="s">
        <v>35</v>
      </c>
      <c r="D330" t="s">
        <v>54</v>
      </c>
      <c r="E330" t="s">
        <v>55</v>
      </c>
      <c r="F330">
        <v>10000</v>
      </c>
      <c r="G330">
        <v>29</v>
      </c>
      <c r="H330" t="s">
        <v>38</v>
      </c>
      <c r="I330" t="s">
        <v>39</v>
      </c>
      <c r="J330">
        <v>2</v>
      </c>
      <c r="K330" t="s">
        <v>133</v>
      </c>
      <c r="L330" t="s">
        <v>783</v>
      </c>
      <c r="M330" t="s">
        <v>784</v>
      </c>
      <c r="N330" s="2">
        <v>45986</v>
      </c>
      <c r="O330" s="2">
        <v>46015</v>
      </c>
      <c r="P330" t="s">
        <v>43</v>
      </c>
      <c r="Q330" t="s">
        <v>44</v>
      </c>
      <c r="R330" t="s">
        <v>59</v>
      </c>
      <c r="S330" t="s">
        <v>53</v>
      </c>
      <c r="T330" t="s">
        <v>33</v>
      </c>
      <c r="U330" t="s">
        <v>34</v>
      </c>
      <c r="V330" t="str">
        <f>IF(B330&lt;=18,"Children",IF(B330&lt;=35,"Young adult",IF(B330&lt;=60,"Adult", "Senior Citizen")))</f>
        <v>Senior Citizen</v>
      </c>
      <c r="W330" t="str">
        <f t="shared" si="35"/>
        <v>Nov</v>
      </c>
      <c r="X330">
        <f t="shared" si="36"/>
        <v>11</v>
      </c>
      <c r="Y330" t="str">
        <f t="shared" si="37"/>
        <v>Q4</v>
      </c>
      <c r="Z330">
        <f t="shared" si="38"/>
        <v>2025</v>
      </c>
      <c r="AA330" t="str">
        <f t="shared" si="39"/>
        <v>Tuesday</v>
      </c>
      <c r="AB330">
        <f t="shared" si="40"/>
        <v>-29</v>
      </c>
      <c r="AC330" t="str">
        <f>IF(OR(D330="Heart Disease",D330="Cancer",D330="Stroke"),"High",IF(OR(D330="Diabetes",D330="Asthma"),"Medium","Low"))</f>
        <v>High</v>
      </c>
      <c r="AD330" t="str">
        <f t="shared" si="41"/>
        <v>Yes</v>
      </c>
      <c r="AE330" t="str">
        <f>IF(G330&lt;=2,"Short Stay", IF(G330&lt;=7,"Normal Stay", "Long Stay"))</f>
        <v>Long Stay</v>
      </c>
      <c r="AF330" t="str">
        <f>IF(F330&gt;60000,"Expensive",IF(F330&gt;30000,"Moderate","Affordable"))</f>
        <v>Affordable</v>
      </c>
      <c r="AG330" t="str">
        <f>IF(J330&gt;=4.5,"Excellent",IF(J330&gt;=3.5,"Good",IF(J330&gt;=2.5,"Average","Poor")))</f>
        <v>Poor</v>
      </c>
      <c r="AH330" t="str">
        <f>IF(OR(TEXT(N330,"dddd")="Saturday",TEXT(N330,"dddd")="Sunday"),"Weekend","Weekday")</f>
        <v>Weekday</v>
      </c>
    </row>
    <row r="331" spans="1:34" x14ac:dyDescent="0.3">
      <c r="A331">
        <v>335</v>
      </c>
      <c r="B331">
        <v>55</v>
      </c>
      <c r="C331" t="s">
        <v>21</v>
      </c>
      <c r="D331" t="s">
        <v>60</v>
      </c>
      <c r="E331" t="s">
        <v>61</v>
      </c>
      <c r="F331">
        <v>25000</v>
      </c>
      <c r="G331">
        <v>32</v>
      </c>
      <c r="H331" t="s">
        <v>24</v>
      </c>
      <c r="I331" t="s">
        <v>25</v>
      </c>
      <c r="J331">
        <v>4</v>
      </c>
      <c r="K331" t="s">
        <v>215</v>
      </c>
      <c r="L331" t="s">
        <v>785</v>
      </c>
      <c r="M331" t="s">
        <v>786</v>
      </c>
      <c r="N331" s="2">
        <v>45987</v>
      </c>
      <c r="O331" s="2">
        <v>46019</v>
      </c>
      <c r="P331" t="s">
        <v>29</v>
      </c>
      <c r="Q331" t="s">
        <v>44</v>
      </c>
      <c r="R331" t="s">
        <v>65</v>
      </c>
      <c r="S331" t="s">
        <v>110</v>
      </c>
      <c r="T331" t="s">
        <v>33</v>
      </c>
      <c r="U331" t="s">
        <v>78</v>
      </c>
      <c r="V331" t="str">
        <f>IF(B331&lt;=18,"Children",IF(B331&lt;=35,"Young adult",IF(B331&lt;=60,"Adult", "Senior Citizen")))</f>
        <v>Adult</v>
      </c>
      <c r="W331" t="str">
        <f t="shared" si="35"/>
        <v>Nov</v>
      </c>
      <c r="X331">
        <f t="shared" si="36"/>
        <v>11</v>
      </c>
      <c r="Y331" t="str">
        <f t="shared" si="37"/>
        <v>Q4</v>
      </c>
      <c r="Z331">
        <f t="shared" si="38"/>
        <v>2025</v>
      </c>
      <c r="AA331" t="str">
        <f t="shared" si="39"/>
        <v>Wednesday</v>
      </c>
      <c r="AB331">
        <f t="shared" si="40"/>
        <v>-32</v>
      </c>
      <c r="AC331" t="str">
        <f>IF(OR(D331="Heart Disease",D331="Cancer",D331="Stroke"),"High",IF(OR(D331="Diabetes",D331="Asthma"),"Medium","Low"))</f>
        <v>High</v>
      </c>
      <c r="AD331" t="str">
        <f t="shared" si="41"/>
        <v>Yes</v>
      </c>
      <c r="AE331" t="str">
        <f>IF(G331&lt;=2,"Short Stay", IF(G331&lt;=7,"Normal Stay", "Long Stay"))</f>
        <v>Long Stay</v>
      </c>
      <c r="AF331" t="str">
        <f>IF(F331&gt;60000,"Expensive",IF(F331&gt;30000,"Moderate","Affordable"))</f>
        <v>Affordable</v>
      </c>
      <c r="AG331" t="str">
        <f>IF(J331&gt;=4.5,"Excellent",IF(J331&gt;=3.5,"Good",IF(J331&gt;=2.5,"Average","Poor")))</f>
        <v>Good</v>
      </c>
      <c r="AH331" t="str">
        <f>IF(OR(TEXT(N331,"dddd")="Saturday",TEXT(N331,"dddd")="Sunday"),"Weekend","Weekday")</f>
        <v>Weekday</v>
      </c>
    </row>
    <row r="332" spans="1:34" x14ac:dyDescent="0.3">
      <c r="A332">
        <v>336</v>
      </c>
      <c r="B332">
        <v>68</v>
      </c>
      <c r="C332" t="s">
        <v>35</v>
      </c>
      <c r="D332" t="s">
        <v>66</v>
      </c>
      <c r="E332" t="s">
        <v>67</v>
      </c>
      <c r="F332">
        <v>1000</v>
      </c>
      <c r="G332">
        <v>24</v>
      </c>
      <c r="H332" t="s">
        <v>24</v>
      </c>
      <c r="I332" t="s">
        <v>39</v>
      </c>
      <c r="J332">
        <v>4</v>
      </c>
      <c r="K332" t="s">
        <v>160</v>
      </c>
      <c r="L332" t="s">
        <v>787</v>
      </c>
      <c r="M332" t="s">
        <v>788</v>
      </c>
      <c r="N332" s="2">
        <v>45988</v>
      </c>
      <c r="O332" s="2">
        <v>46012</v>
      </c>
      <c r="P332" t="s">
        <v>29</v>
      </c>
      <c r="Q332" t="s">
        <v>139</v>
      </c>
      <c r="R332" t="s">
        <v>45</v>
      </c>
      <c r="S332" t="s">
        <v>53</v>
      </c>
      <c r="T332" t="s">
        <v>33</v>
      </c>
      <c r="U332" t="s">
        <v>104</v>
      </c>
      <c r="V332" t="str">
        <f>IF(B332&lt;=18,"Children",IF(B332&lt;=35,"Young adult",IF(B332&lt;=60,"Adult", "Senior Citizen")))</f>
        <v>Senior Citizen</v>
      </c>
      <c r="W332" t="str">
        <f t="shared" si="35"/>
        <v>Nov</v>
      </c>
      <c r="X332">
        <f t="shared" si="36"/>
        <v>11</v>
      </c>
      <c r="Y332" t="str">
        <f t="shared" si="37"/>
        <v>Q4</v>
      </c>
      <c r="Z332">
        <f t="shared" si="38"/>
        <v>2025</v>
      </c>
      <c r="AA332" t="str">
        <f t="shared" si="39"/>
        <v>Thursday</v>
      </c>
      <c r="AB332">
        <f t="shared" si="40"/>
        <v>-24</v>
      </c>
      <c r="AC332" t="str">
        <f>IF(OR(D332="Heart Disease",D332="Cancer",D332="Stroke"),"High",IF(OR(D332="Diabetes",D332="Asthma"),"Medium","Low"))</f>
        <v>Low</v>
      </c>
      <c r="AD332" t="str">
        <f t="shared" si="41"/>
        <v>No</v>
      </c>
      <c r="AE332" t="str">
        <f>IF(G332&lt;=2,"Short Stay", IF(G332&lt;=7,"Normal Stay", "Long Stay"))</f>
        <v>Long Stay</v>
      </c>
      <c r="AF332" t="str">
        <f>IF(F332&gt;60000,"Expensive",IF(F332&gt;30000,"Moderate","Affordable"))</f>
        <v>Affordable</v>
      </c>
      <c r="AG332" t="str">
        <f>IF(J332&gt;=4.5,"Excellent",IF(J332&gt;=3.5,"Good",IF(J332&gt;=2.5,"Average","Poor")))</f>
        <v>Good</v>
      </c>
      <c r="AH332" t="str">
        <f>IF(OR(TEXT(N332,"dddd")="Saturday",TEXT(N332,"dddd")="Sunday"),"Weekend","Weekday")</f>
        <v>Weekday</v>
      </c>
    </row>
    <row r="333" spans="1:34" x14ac:dyDescent="0.3">
      <c r="A333">
        <v>337</v>
      </c>
      <c r="B333">
        <v>45</v>
      </c>
      <c r="C333" t="s">
        <v>21</v>
      </c>
      <c r="D333" t="s">
        <v>73</v>
      </c>
      <c r="E333" t="s">
        <v>74</v>
      </c>
      <c r="F333">
        <v>8000</v>
      </c>
      <c r="G333">
        <v>26</v>
      </c>
      <c r="H333" t="s">
        <v>24</v>
      </c>
      <c r="I333" t="s">
        <v>25</v>
      </c>
      <c r="J333">
        <v>3</v>
      </c>
      <c r="K333" t="s">
        <v>81</v>
      </c>
      <c r="L333" t="s">
        <v>789</v>
      </c>
      <c r="M333" t="s">
        <v>790</v>
      </c>
      <c r="N333" s="2">
        <v>45989</v>
      </c>
      <c r="O333" s="2">
        <v>46015</v>
      </c>
      <c r="P333" t="s">
        <v>43</v>
      </c>
      <c r="Q333" t="s">
        <v>30</v>
      </c>
      <c r="R333" t="s">
        <v>45</v>
      </c>
      <c r="S333" t="s">
        <v>77</v>
      </c>
      <c r="T333" t="s">
        <v>33</v>
      </c>
      <c r="U333" t="s">
        <v>104</v>
      </c>
      <c r="V333" t="str">
        <f>IF(B333&lt;=18,"Children",IF(B333&lt;=35,"Young adult",IF(B333&lt;=60,"Adult", "Senior Citizen")))</f>
        <v>Adult</v>
      </c>
      <c r="W333" t="str">
        <f t="shared" si="35"/>
        <v>Nov</v>
      </c>
      <c r="X333">
        <f t="shared" si="36"/>
        <v>11</v>
      </c>
      <c r="Y333" t="str">
        <f t="shared" si="37"/>
        <v>Q4</v>
      </c>
      <c r="Z333">
        <f t="shared" si="38"/>
        <v>2025</v>
      </c>
      <c r="AA333" t="str">
        <f t="shared" si="39"/>
        <v>Friday</v>
      </c>
      <c r="AB333">
        <f t="shared" si="40"/>
        <v>-26</v>
      </c>
      <c r="AC333" t="str">
        <f>IF(OR(D333="Heart Disease",D333="Cancer",D333="Stroke"),"High",IF(OR(D333="Diabetes",D333="Asthma"),"Medium","Low"))</f>
        <v>Low</v>
      </c>
      <c r="AD333" t="str">
        <f t="shared" si="41"/>
        <v>No</v>
      </c>
      <c r="AE333" t="str">
        <f>IF(G333&lt;=2,"Short Stay", IF(G333&lt;=7,"Normal Stay", "Long Stay"))</f>
        <v>Long Stay</v>
      </c>
      <c r="AF333" t="str">
        <f>IF(F333&gt;60000,"Expensive",IF(F333&gt;30000,"Moderate","Affordable"))</f>
        <v>Affordable</v>
      </c>
      <c r="AG333" t="str">
        <f>IF(J333&gt;=4.5,"Excellent",IF(J333&gt;=3.5,"Good",IF(J333&gt;=2.5,"Average","Poor")))</f>
        <v>Average</v>
      </c>
      <c r="AH333" t="str">
        <f>IF(OR(TEXT(N333,"dddd")="Saturday",TEXT(N333,"dddd")="Sunday"),"Weekend","Weekday")</f>
        <v>Weekday</v>
      </c>
    </row>
    <row r="334" spans="1:34" x14ac:dyDescent="0.3">
      <c r="A334">
        <v>338</v>
      </c>
      <c r="B334">
        <v>40</v>
      </c>
      <c r="C334" t="s">
        <v>35</v>
      </c>
      <c r="D334" t="s">
        <v>79</v>
      </c>
      <c r="E334" t="s">
        <v>80</v>
      </c>
      <c r="F334">
        <v>3000</v>
      </c>
      <c r="G334">
        <v>28</v>
      </c>
      <c r="H334" t="s">
        <v>24</v>
      </c>
      <c r="I334" t="s">
        <v>25</v>
      </c>
      <c r="J334">
        <v>4</v>
      </c>
      <c r="K334" t="s">
        <v>144</v>
      </c>
      <c r="L334" t="s">
        <v>791</v>
      </c>
      <c r="M334" t="s">
        <v>792</v>
      </c>
      <c r="N334" s="2">
        <v>45990</v>
      </c>
      <c r="O334" s="2">
        <v>46018</v>
      </c>
      <c r="P334" t="s">
        <v>29</v>
      </c>
      <c r="Q334" t="s">
        <v>139</v>
      </c>
      <c r="R334" t="s">
        <v>45</v>
      </c>
      <c r="S334" t="s">
        <v>110</v>
      </c>
      <c r="T334" t="s">
        <v>33</v>
      </c>
      <c r="U334" t="s">
        <v>78</v>
      </c>
      <c r="V334" t="str">
        <f>IF(B334&lt;=18,"Children",IF(B334&lt;=35,"Young adult",IF(B334&lt;=60,"Adult", "Senior Citizen")))</f>
        <v>Adult</v>
      </c>
      <c r="W334" t="str">
        <f t="shared" si="35"/>
        <v>Nov</v>
      </c>
      <c r="X334">
        <f t="shared" si="36"/>
        <v>11</v>
      </c>
      <c r="Y334" t="str">
        <f t="shared" si="37"/>
        <v>Q4</v>
      </c>
      <c r="Z334">
        <f t="shared" si="38"/>
        <v>2025</v>
      </c>
      <c r="AA334" t="str">
        <f t="shared" si="39"/>
        <v>Saturday</v>
      </c>
      <c r="AB334">
        <f t="shared" si="40"/>
        <v>-28</v>
      </c>
      <c r="AC334" t="str">
        <f>IF(OR(D334="Heart Disease",D334="Cancer",D334="Stroke"),"High",IF(OR(D334="Diabetes",D334="Asthma"),"Medium","Low"))</f>
        <v>Low</v>
      </c>
      <c r="AD334" t="str">
        <f t="shared" si="41"/>
        <v>No</v>
      </c>
      <c r="AE334" t="str">
        <f>IF(G334&lt;=2,"Short Stay", IF(G334&lt;=7,"Normal Stay", "Long Stay"))</f>
        <v>Long Stay</v>
      </c>
      <c r="AF334" t="str">
        <f>IF(F334&gt;60000,"Expensive",IF(F334&gt;30000,"Moderate","Affordable"))</f>
        <v>Affordable</v>
      </c>
      <c r="AG334" t="str">
        <f>IF(J334&gt;=4.5,"Excellent",IF(J334&gt;=3.5,"Good",IF(J334&gt;=2.5,"Average","Poor")))</f>
        <v>Good</v>
      </c>
      <c r="AH334" t="str">
        <f>IF(OR(TEXT(N334,"dddd")="Saturday",TEXT(N334,"dddd")="Sunday"),"Weekend","Weekday")</f>
        <v>Weekend</v>
      </c>
    </row>
    <row r="335" spans="1:34" x14ac:dyDescent="0.3">
      <c r="A335">
        <v>339</v>
      </c>
      <c r="B335">
        <v>78</v>
      </c>
      <c r="C335" t="s">
        <v>21</v>
      </c>
      <c r="D335" t="s">
        <v>85</v>
      </c>
      <c r="E335" t="s">
        <v>86</v>
      </c>
      <c r="F335">
        <v>18000</v>
      </c>
      <c r="G335">
        <v>30</v>
      </c>
      <c r="H335" t="s">
        <v>38</v>
      </c>
      <c r="I335" t="s">
        <v>39</v>
      </c>
      <c r="J335">
        <v>2</v>
      </c>
      <c r="K335" t="s">
        <v>169</v>
      </c>
      <c r="L335" t="s">
        <v>793</v>
      </c>
      <c r="M335" t="s">
        <v>794</v>
      </c>
      <c r="N335" s="2">
        <v>45991</v>
      </c>
      <c r="O335" s="2">
        <v>46021</v>
      </c>
      <c r="P335" t="s">
        <v>29</v>
      </c>
      <c r="Q335" t="s">
        <v>30</v>
      </c>
      <c r="R335" t="s">
        <v>45</v>
      </c>
      <c r="S335" t="s">
        <v>84</v>
      </c>
      <c r="T335" t="s">
        <v>33</v>
      </c>
      <c r="U335" t="s">
        <v>104</v>
      </c>
      <c r="V335" t="str">
        <f>IF(B335&lt;=18,"Children",IF(B335&lt;=35,"Young adult",IF(B335&lt;=60,"Adult", "Senior Citizen")))</f>
        <v>Senior Citizen</v>
      </c>
      <c r="W335" t="str">
        <f t="shared" si="35"/>
        <v>Nov</v>
      </c>
      <c r="X335">
        <f t="shared" si="36"/>
        <v>11</v>
      </c>
      <c r="Y335" t="str">
        <f t="shared" si="37"/>
        <v>Q4</v>
      </c>
      <c r="Z335">
        <f t="shared" si="38"/>
        <v>2025</v>
      </c>
      <c r="AA335" t="str">
        <f t="shared" si="39"/>
        <v>Sunday</v>
      </c>
      <c r="AB335">
        <f t="shared" si="40"/>
        <v>-30</v>
      </c>
      <c r="AC335" t="str">
        <f>IF(OR(D335="Heart Disease",D335="Cancer",D335="Stroke"),"High",IF(OR(D335="Diabetes",D335="Asthma"),"Medium","Low"))</f>
        <v>Low</v>
      </c>
      <c r="AD335" t="str">
        <f t="shared" si="41"/>
        <v>No</v>
      </c>
      <c r="AE335" t="str">
        <f>IF(G335&lt;=2,"Short Stay", IF(G335&lt;=7,"Normal Stay", "Long Stay"))</f>
        <v>Long Stay</v>
      </c>
      <c r="AF335" t="str">
        <f>IF(F335&gt;60000,"Expensive",IF(F335&gt;30000,"Moderate","Affordable"))</f>
        <v>Affordable</v>
      </c>
      <c r="AG335" t="str">
        <f>IF(J335&gt;=4.5,"Excellent",IF(J335&gt;=3.5,"Good",IF(J335&gt;=2.5,"Average","Poor")))</f>
        <v>Poor</v>
      </c>
      <c r="AH335" t="str">
        <f>IF(OR(TEXT(N335,"dddd")="Saturday",TEXT(N335,"dddd")="Sunday"),"Weekend","Weekday")</f>
        <v>Weekend</v>
      </c>
    </row>
    <row r="336" spans="1:34" x14ac:dyDescent="0.3">
      <c r="A336">
        <v>340</v>
      </c>
      <c r="B336">
        <v>25</v>
      </c>
      <c r="C336" t="s">
        <v>35</v>
      </c>
      <c r="D336" t="s">
        <v>89</v>
      </c>
      <c r="E336" t="s">
        <v>90</v>
      </c>
      <c r="F336">
        <v>100</v>
      </c>
      <c r="G336">
        <v>23</v>
      </c>
      <c r="H336" t="s">
        <v>24</v>
      </c>
      <c r="I336" t="s">
        <v>25</v>
      </c>
      <c r="J336">
        <v>5</v>
      </c>
      <c r="K336" t="s">
        <v>250</v>
      </c>
      <c r="L336" t="s">
        <v>795</v>
      </c>
      <c r="M336" t="s">
        <v>796</v>
      </c>
      <c r="N336" s="2">
        <v>45992</v>
      </c>
      <c r="O336" s="2">
        <v>46015</v>
      </c>
      <c r="P336" t="s">
        <v>43</v>
      </c>
      <c r="Q336" t="s">
        <v>139</v>
      </c>
      <c r="R336" t="s">
        <v>45</v>
      </c>
      <c r="S336" t="s">
        <v>53</v>
      </c>
      <c r="T336" t="s">
        <v>33</v>
      </c>
      <c r="U336" t="s">
        <v>78</v>
      </c>
      <c r="V336" t="str">
        <f>IF(B336&lt;=18,"Children",IF(B336&lt;=35,"Young adult",IF(B336&lt;=60,"Adult", "Senior Citizen")))</f>
        <v>Young adult</v>
      </c>
      <c r="W336" t="str">
        <f t="shared" si="35"/>
        <v>Dec</v>
      </c>
      <c r="X336">
        <f t="shared" si="36"/>
        <v>12</v>
      </c>
      <c r="Y336" t="str">
        <f t="shared" si="37"/>
        <v>Q4</v>
      </c>
      <c r="Z336">
        <f t="shared" si="38"/>
        <v>2025</v>
      </c>
      <c r="AA336" t="str">
        <f t="shared" si="39"/>
        <v>Monday</v>
      </c>
      <c r="AB336">
        <f t="shared" si="40"/>
        <v>-23</v>
      </c>
      <c r="AC336" t="str">
        <f>IF(OR(D336="Heart Disease",D336="Cancer",D336="Stroke"),"High",IF(OR(D336="Diabetes",D336="Asthma"),"Medium","Low"))</f>
        <v>Low</v>
      </c>
      <c r="AD336" t="str">
        <f t="shared" si="41"/>
        <v>No</v>
      </c>
      <c r="AE336" t="str">
        <f>IF(G336&lt;=2,"Short Stay", IF(G336&lt;=7,"Normal Stay", "Long Stay"))</f>
        <v>Long Stay</v>
      </c>
      <c r="AF336" t="str">
        <f>IF(F336&gt;60000,"Expensive",IF(F336&gt;30000,"Moderate","Affordable"))</f>
        <v>Affordable</v>
      </c>
      <c r="AG336" t="str">
        <f>IF(J336&gt;=4.5,"Excellent",IF(J336&gt;=3.5,"Good",IF(J336&gt;=2.5,"Average","Poor")))</f>
        <v>Excellent</v>
      </c>
      <c r="AH336" t="str">
        <f>IF(OR(TEXT(N336,"dddd")="Saturday",TEXT(N336,"dddd")="Sunday"),"Weekend","Weekday")</f>
        <v>Weekday</v>
      </c>
    </row>
    <row r="337" spans="1:34" x14ac:dyDescent="0.3">
      <c r="A337">
        <v>341</v>
      </c>
      <c r="B337">
        <v>52</v>
      </c>
      <c r="C337" t="s">
        <v>21</v>
      </c>
      <c r="D337" t="s">
        <v>94</v>
      </c>
      <c r="E337" t="s">
        <v>95</v>
      </c>
      <c r="F337">
        <v>800</v>
      </c>
      <c r="G337">
        <v>24</v>
      </c>
      <c r="H337" t="s">
        <v>24</v>
      </c>
      <c r="I337" t="s">
        <v>39</v>
      </c>
      <c r="J337">
        <v>4</v>
      </c>
      <c r="K337" t="s">
        <v>194</v>
      </c>
      <c r="L337" t="s">
        <v>797</v>
      </c>
      <c r="M337" t="s">
        <v>798</v>
      </c>
      <c r="N337" s="2">
        <v>45993</v>
      </c>
      <c r="O337" s="2">
        <v>46017</v>
      </c>
      <c r="P337" t="s">
        <v>43</v>
      </c>
      <c r="Q337" t="s">
        <v>71</v>
      </c>
      <c r="R337" t="s">
        <v>45</v>
      </c>
      <c r="S337" t="s">
        <v>32</v>
      </c>
      <c r="T337" t="s">
        <v>33</v>
      </c>
      <c r="U337" t="s">
        <v>34</v>
      </c>
      <c r="V337" t="str">
        <f>IF(B337&lt;=18,"Children",IF(B337&lt;=35,"Young adult",IF(B337&lt;=60,"Adult", "Senior Citizen")))</f>
        <v>Adult</v>
      </c>
      <c r="W337" t="str">
        <f t="shared" si="35"/>
        <v>Dec</v>
      </c>
      <c r="X337">
        <f t="shared" si="36"/>
        <v>12</v>
      </c>
      <c r="Y337" t="str">
        <f t="shared" si="37"/>
        <v>Q4</v>
      </c>
      <c r="Z337">
        <f t="shared" si="38"/>
        <v>2025</v>
      </c>
      <c r="AA337" t="str">
        <f t="shared" si="39"/>
        <v>Tuesday</v>
      </c>
      <c r="AB337">
        <f t="shared" si="40"/>
        <v>-24</v>
      </c>
      <c r="AC337" t="str">
        <f>IF(OR(D337="Heart Disease",D337="Cancer",D337="Stroke"),"High",IF(OR(D337="Diabetes",D337="Asthma"),"Medium","Low"))</f>
        <v>Low</v>
      </c>
      <c r="AD337" t="str">
        <f t="shared" si="41"/>
        <v>No</v>
      </c>
      <c r="AE337" t="str">
        <f>IF(G337&lt;=2,"Short Stay", IF(G337&lt;=7,"Normal Stay", "Long Stay"))</f>
        <v>Long Stay</v>
      </c>
      <c r="AF337" t="str">
        <f>IF(F337&gt;60000,"Expensive",IF(F337&gt;30000,"Moderate","Affordable"))</f>
        <v>Affordable</v>
      </c>
      <c r="AG337" t="str">
        <f>IF(J337&gt;=4.5,"Excellent",IF(J337&gt;=3.5,"Good",IF(J337&gt;=2.5,"Average","Poor")))</f>
        <v>Good</v>
      </c>
      <c r="AH337" t="str">
        <f>IF(OR(TEXT(N337,"dddd")="Saturday",TEXT(N337,"dddd")="Sunday"),"Weekend","Weekday")</f>
        <v>Weekday</v>
      </c>
    </row>
    <row r="338" spans="1:34" x14ac:dyDescent="0.3">
      <c r="A338">
        <v>342</v>
      </c>
      <c r="B338">
        <v>58</v>
      </c>
      <c r="C338" t="s">
        <v>35</v>
      </c>
      <c r="D338" t="s">
        <v>99</v>
      </c>
      <c r="E338" t="s">
        <v>100</v>
      </c>
      <c r="F338">
        <v>20000</v>
      </c>
      <c r="G338">
        <v>31</v>
      </c>
      <c r="H338" t="s">
        <v>24</v>
      </c>
      <c r="I338" t="s">
        <v>25</v>
      </c>
      <c r="J338">
        <v>3</v>
      </c>
      <c r="K338" t="s">
        <v>194</v>
      </c>
      <c r="L338" t="s">
        <v>799</v>
      </c>
      <c r="M338" t="s">
        <v>800</v>
      </c>
      <c r="N338" s="2">
        <v>45994</v>
      </c>
      <c r="O338" s="2">
        <v>46025</v>
      </c>
      <c r="P338" t="s">
        <v>29</v>
      </c>
      <c r="Q338" t="s">
        <v>44</v>
      </c>
      <c r="R338" t="s">
        <v>45</v>
      </c>
      <c r="S338" t="s">
        <v>84</v>
      </c>
      <c r="T338" t="s">
        <v>33</v>
      </c>
      <c r="U338" t="s">
        <v>104</v>
      </c>
      <c r="V338" t="str">
        <f>IF(B338&lt;=18,"Children",IF(B338&lt;=35,"Young adult",IF(B338&lt;=60,"Adult", "Senior Citizen")))</f>
        <v>Adult</v>
      </c>
      <c r="W338" t="str">
        <f t="shared" si="35"/>
        <v>Dec</v>
      </c>
      <c r="X338">
        <f t="shared" si="36"/>
        <v>12</v>
      </c>
      <c r="Y338" t="str">
        <f t="shared" si="37"/>
        <v>Q4</v>
      </c>
      <c r="Z338">
        <f t="shared" si="38"/>
        <v>2025</v>
      </c>
      <c r="AA338" t="str">
        <f t="shared" si="39"/>
        <v>Wednesday</v>
      </c>
      <c r="AB338">
        <f t="shared" si="40"/>
        <v>-31</v>
      </c>
      <c r="AC338" t="str">
        <f>IF(OR(D338="Heart Disease",D338="Cancer",D338="Stroke"),"High",IF(OR(D338="Diabetes",D338="Asthma"),"Medium","Low"))</f>
        <v>Low</v>
      </c>
      <c r="AD338" t="str">
        <f t="shared" si="41"/>
        <v>No</v>
      </c>
      <c r="AE338" t="str">
        <f>IF(G338&lt;=2,"Short Stay", IF(G338&lt;=7,"Normal Stay", "Long Stay"))</f>
        <v>Long Stay</v>
      </c>
      <c r="AF338" t="str">
        <f>IF(F338&gt;60000,"Expensive",IF(F338&gt;30000,"Moderate","Affordable"))</f>
        <v>Affordable</v>
      </c>
      <c r="AG338" t="str">
        <f>IF(J338&gt;=4.5,"Excellent",IF(J338&gt;=3.5,"Good",IF(J338&gt;=2.5,"Average","Poor")))</f>
        <v>Average</v>
      </c>
      <c r="AH338" t="str">
        <f>IF(OR(TEXT(N338,"dddd")="Saturday",TEXT(N338,"dddd")="Sunday"),"Weekend","Weekday")</f>
        <v>Weekday</v>
      </c>
    </row>
    <row r="339" spans="1:34" x14ac:dyDescent="0.3">
      <c r="A339">
        <v>343</v>
      </c>
      <c r="B339">
        <v>32</v>
      </c>
      <c r="C339" t="s">
        <v>21</v>
      </c>
      <c r="D339" t="s">
        <v>105</v>
      </c>
      <c r="E339" t="s">
        <v>106</v>
      </c>
      <c r="F339">
        <v>12000</v>
      </c>
      <c r="G339">
        <v>25</v>
      </c>
      <c r="H339" t="s">
        <v>24</v>
      </c>
      <c r="I339" t="s">
        <v>25</v>
      </c>
      <c r="J339">
        <v>4</v>
      </c>
      <c r="K339" t="s">
        <v>223</v>
      </c>
      <c r="L339" t="s">
        <v>801</v>
      </c>
      <c r="M339" t="s">
        <v>802</v>
      </c>
      <c r="N339" s="2">
        <v>45995</v>
      </c>
      <c r="O339" s="2">
        <v>46020</v>
      </c>
      <c r="P339" t="s">
        <v>29</v>
      </c>
      <c r="Q339" t="s">
        <v>139</v>
      </c>
      <c r="R339" t="s">
        <v>45</v>
      </c>
      <c r="S339" t="s">
        <v>53</v>
      </c>
      <c r="T339" t="s">
        <v>33</v>
      </c>
      <c r="U339" t="s">
        <v>78</v>
      </c>
      <c r="V339" t="str">
        <f>IF(B339&lt;=18,"Children",IF(B339&lt;=35,"Young adult",IF(B339&lt;=60,"Adult", "Senior Citizen")))</f>
        <v>Young adult</v>
      </c>
      <c r="W339" t="str">
        <f t="shared" si="35"/>
        <v>Dec</v>
      </c>
      <c r="X339">
        <f t="shared" si="36"/>
        <v>12</v>
      </c>
      <c r="Y339" t="str">
        <f t="shared" si="37"/>
        <v>Q4</v>
      </c>
      <c r="Z339">
        <f t="shared" si="38"/>
        <v>2025</v>
      </c>
      <c r="AA339" t="str">
        <f t="shared" si="39"/>
        <v>Thursday</v>
      </c>
      <c r="AB339">
        <f t="shared" si="40"/>
        <v>-25</v>
      </c>
      <c r="AC339" t="str">
        <f>IF(OR(D339="Heart Disease",D339="Cancer",D339="Stroke"),"High",IF(OR(D339="Diabetes",D339="Asthma"),"Medium","Low"))</f>
        <v>Low</v>
      </c>
      <c r="AD339" t="str">
        <f t="shared" si="41"/>
        <v>No</v>
      </c>
      <c r="AE339" t="str">
        <f>IF(G339&lt;=2,"Short Stay", IF(G339&lt;=7,"Normal Stay", "Long Stay"))</f>
        <v>Long Stay</v>
      </c>
      <c r="AF339" t="str">
        <f>IF(F339&gt;60000,"Expensive",IF(F339&gt;30000,"Moderate","Affordable"))</f>
        <v>Affordable</v>
      </c>
      <c r="AG339" t="str">
        <f>IF(J339&gt;=4.5,"Excellent",IF(J339&gt;=3.5,"Good",IF(J339&gt;=2.5,"Average","Poor")))</f>
        <v>Good</v>
      </c>
      <c r="AH339" t="str">
        <f>IF(OR(TEXT(N339,"dddd")="Saturday",TEXT(N339,"dddd")="Sunday"),"Weekend","Weekday")</f>
        <v>Weekday</v>
      </c>
    </row>
    <row r="340" spans="1:34" x14ac:dyDescent="0.3">
      <c r="A340">
        <v>344</v>
      </c>
      <c r="B340">
        <v>55</v>
      </c>
      <c r="C340" t="s">
        <v>35</v>
      </c>
      <c r="D340" t="s">
        <v>111</v>
      </c>
      <c r="E340" t="s">
        <v>112</v>
      </c>
      <c r="F340">
        <v>6000</v>
      </c>
      <c r="G340">
        <v>26</v>
      </c>
      <c r="H340" t="s">
        <v>24</v>
      </c>
      <c r="I340" t="s">
        <v>25</v>
      </c>
      <c r="J340">
        <v>3</v>
      </c>
      <c r="K340" t="s">
        <v>281</v>
      </c>
      <c r="L340" t="s">
        <v>803</v>
      </c>
      <c r="M340" t="s">
        <v>804</v>
      </c>
      <c r="N340" s="2">
        <v>45996</v>
      </c>
      <c r="O340" s="2">
        <v>46022</v>
      </c>
      <c r="P340" t="s">
        <v>29</v>
      </c>
      <c r="Q340" t="s">
        <v>139</v>
      </c>
      <c r="R340" t="s">
        <v>45</v>
      </c>
      <c r="S340" t="s">
        <v>32</v>
      </c>
      <c r="T340" t="s">
        <v>33</v>
      </c>
      <c r="U340" t="s">
        <v>34</v>
      </c>
      <c r="V340" t="str">
        <f>IF(B340&lt;=18,"Children",IF(B340&lt;=35,"Young adult",IF(B340&lt;=60,"Adult", "Senior Citizen")))</f>
        <v>Adult</v>
      </c>
      <c r="W340" t="str">
        <f t="shared" si="35"/>
        <v>Dec</v>
      </c>
      <c r="X340">
        <f t="shared" si="36"/>
        <v>12</v>
      </c>
      <c r="Y340" t="str">
        <f t="shared" si="37"/>
        <v>Q4</v>
      </c>
      <c r="Z340">
        <f t="shared" si="38"/>
        <v>2025</v>
      </c>
      <c r="AA340" t="str">
        <f t="shared" si="39"/>
        <v>Friday</v>
      </c>
      <c r="AB340">
        <f t="shared" si="40"/>
        <v>-26</v>
      </c>
      <c r="AC340" t="str">
        <f>IF(OR(D340="Heart Disease",D340="Cancer",D340="Stroke"),"High",IF(OR(D340="Diabetes",D340="Asthma"),"Medium","Low"))</f>
        <v>Low</v>
      </c>
      <c r="AD340" t="str">
        <f t="shared" si="41"/>
        <v>No</v>
      </c>
      <c r="AE340" t="str">
        <f>IF(G340&lt;=2,"Short Stay", IF(G340&lt;=7,"Normal Stay", "Long Stay"))</f>
        <v>Long Stay</v>
      </c>
      <c r="AF340" t="str">
        <f>IF(F340&gt;60000,"Expensive",IF(F340&gt;30000,"Moderate","Affordable"))</f>
        <v>Affordable</v>
      </c>
      <c r="AG340" t="str">
        <f>IF(J340&gt;=4.5,"Excellent",IF(J340&gt;=3.5,"Good",IF(J340&gt;=2.5,"Average","Poor")))</f>
        <v>Average</v>
      </c>
      <c r="AH340" t="str">
        <f>IF(OR(TEXT(N340,"dddd")="Saturday",TEXT(N340,"dddd")="Sunday"),"Weekend","Weekday")</f>
        <v>Weekday</v>
      </c>
    </row>
    <row r="341" spans="1:34" x14ac:dyDescent="0.3">
      <c r="A341">
        <v>345</v>
      </c>
      <c r="B341">
        <v>65</v>
      </c>
      <c r="C341" t="s">
        <v>21</v>
      </c>
      <c r="D341" t="s">
        <v>116</v>
      </c>
      <c r="E341" t="s">
        <v>117</v>
      </c>
      <c r="F341">
        <v>4000</v>
      </c>
      <c r="G341">
        <v>27</v>
      </c>
      <c r="H341" t="s">
        <v>24</v>
      </c>
      <c r="I341" t="s">
        <v>39</v>
      </c>
      <c r="J341">
        <v>4</v>
      </c>
      <c r="K341" t="s">
        <v>56</v>
      </c>
      <c r="L341" t="s">
        <v>805</v>
      </c>
      <c r="M341" t="s">
        <v>806</v>
      </c>
      <c r="N341" s="2">
        <v>45997</v>
      </c>
      <c r="O341" s="2">
        <v>46024</v>
      </c>
      <c r="P341" t="s">
        <v>29</v>
      </c>
      <c r="Q341" t="s">
        <v>52</v>
      </c>
      <c r="R341" t="s">
        <v>45</v>
      </c>
      <c r="S341" t="s">
        <v>77</v>
      </c>
      <c r="T341" t="s">
        <v>33</v>
      </c>
      <c r="U341" t="s">
        <v>34</v>
      </c>
      <c r="V341" t="str">
        <f>IF(B341&lt;=18,"Children",IF(B341&lt;=35,"Young adult",IF(B341&lt;=60,"Adult", "Senior Citizen")))</f>
        <v>Senior Citizen</v>
      </c>
      <c r="W341" t="str">
        <f t="shared" si="35"/>
        <v>Dec</v>
      </c>
      <c r="X341">
        <f t="shared" si="36"/>
        <v>12</v>
      </c>
      <c r="Y341" t="str">
        <f t="shared" si="37"/>
        <v>Q4</v>
      </c>
      <c r="Z341">
        <f t="shared" si="38"/>
        <v>2025</v>
      </c>
      <c r="AA341" t="str">
        <f t="shared" si="39"/>
        <v>Saturday</v>
      </c>
      <c r="AB341">
        <f t="shared" si="40"/>
        <v>-27</v>
      </c>
      <c r="AC341" t="str">
        <f>IF(OR(D341="Heart Disease",D341="Cancer",D341="Stroke"),"High",IF(OR(D341="Diabetes",D341="Asthma"),"Medium","Low"))</f>
        <v>Low</v>
      </c>
      <c r="AD341" t="str">
        <f t="shared" si="41"/>
        <v>No</v>
      </c>
      <c r="AE341" t="str">
        <f>IF(G341&lt;=2,"Short Stay", IF(G341&lt;=7,"Normal Stay", "Long Stay"))</f>
        <v>Long Stay</v>
      </c>
      <c r="AF341" t="str">
        <f>IF(F341&gt;60000,"Expensive",IF(F341&gt;30000,"Moderate","Affordable"))</f>
        <v>Affordable</v>
      </c>
      <c r="AG341" t="str">
        <f>IF(J341&gt;=4.5,"Excellent",IF(J341&gt;=3.5,"Good",IF(J341&gt;=2.5,"Average","Poor")))</f>
        <v>Good</v>
      </c>
      <c r="AH341" t="str">
        <f>IF(OR(TEXT(N341,"dddd")="Saturday",TEXT(N341,"dddd")="Sunday"),"Weekend","Weekday")</f>
        <v>Weekend</v>
      </c>
    </row>
    <row r="342" spans="1:34" x14ac:dyDescent="0.3">
      <c r="A342">
        <v>346</v>
      </c>
      <c r="B342">
        <v>55</v>
      </c>
      <c r="C342" t="s">
        <v>21</v>
      </c>
      <c r="D342" t="s">
        <v>22</v>
      </c>
      <c r="E342" t="s">
        <v>23</v>
      </c>
      <c r="F342">
        <v>15000</v>
      </c>
      <c r="G342">
        <v>28</v>
      </c>
      <c r="H342" t="s">
        <v>38</v>
      </c>
      <c r="I342" t="s">
        <v>25</v>
      </c>
      <c r="J342">
        <v>3</v>
      </c>
      <c r="K342" t="s">
        <v>218</v>
      </c>
      <c r="L342" t="s">
        <v>807</v>
      </c>
      <c r="M342" t="s">
        <v>808</v>
      </c>
      <c r="N342" s="2">
        <v>45998</v>
      </c>
      <c r="O342" s="2">
        <v>46026</v>
      </c>
      <c r="P342" t="s">
        <v>43</v>
      </c>
      <c r="Q342" t="s">
        <v>44</v>
      </c>
      <c r="R342" t="s">
        <v>31</v>
      </c>
      <c r="S342" t="s">
        <v>53</v>
      </c>
      <c r="T342" t="s">
        <v>33</v>
      </c>
      <c r="U342" t="s">
        <v>78</v>
      </c>
      <c r="V342" t="str">
        <f>IF(B342&lt;=18,"Children",IF(B342&lt;=35,"Young adult",IF(B342&lt;=60,"Adult", "Senior Citizen")))</f>
        <v>Adult</v>
      </c>
      <c r="W342" t="str">
        <f t="shared" si="35"/>
        <v>Dec</v>
      </c>
      <c r="X342">
        <f t="shared" si="36"/>
        <v>12</v>
      </c>
      <c r="Y342" t="str">
        <f t="shared" si="37"/>
        <v>Q4</v>
      </c>
      <c r="Z342">
        <f t="shared" si="38"/>
        <v>2025</v>
      </c>
      <c r="AA342" t="str">
        <f t="shared" si="39"/>
        <v>Sunday</v>
      </c>
      <c r="AB342">
        <f t="shared" si="40"/>
        <v>-28</v>
      </c>
      <c r="AC342" t="str">
        <f>IF(OR(D342="Heart Disease",D342="Cancer",D342="Stroke"),"High",IF(OR(D342="Diabetes",D342="Asthma"),"Medium","Low"))</f>
        <v>High</v>
      </c>
      <c r="AD342" t="str">
        <f t="shared" si="41"/>
        <v>Yes</v>
      </c>
      <c r="AE342" t="str">
        <f>IF(G342&lt;=2,"Short Stay", IF(G342&lt;=7,"Normal Stay", "Long Stay"))</f>
        <v>Long Stay</v>
      </c>
      <c r="AF342" t="str">
        <f>IF(F342&gt;60000,"Expensive",IF(F342&gt;30000,"Moderate","Affordable"))</f>
        <v>Affordable</v>
      </c>
      <c r="AG342" t="str">
        <f>IF(J342&gt;=4.5,"Excellent",IF(J342&gt;=3.5,"Good",IF(J342&gt;=2.5,"Average","Poor")))</f>
        <v>Average</v>
      </c>
      <c r="AH342" t="str">
        <f>IF(OR(TEXT(N342,"dddd")="Saturday",TEXT(N342,"dddd")="Sunday"),"Weekend","Weekday")</f>
        <v>Weekend</v>
      </c>
    </row>
    <row r="343" spans="1:34" x14ac:dyDescent="0.3">
      <c r="A343">
        <v>347</v>
      </c>
      <c r="B343">
        <v>62</v>
      </c>
      <c r="C343" t="s">
        <v>35</v>
      </c>
      <c r="D343" t="s">
        <v>36</v>
      </c>
      <c r="E343" t="s">
        <v>37</v>
      </c>
      <c r="F343">
        <v>2000</v>
      </c>
      <c r="G343">
        <v>26</v>
      </c>
      <c r="H343" t="s">
        <v>24</v>
      </c>
      <c r="I343" t="s">
        <v>39</v>
      </c>
      <c r="J343">
        <v>4</v>
      </c>
      <c r="K343" t="s">
        <v>107</v>
      </c>
      <c r="L343" t="s">
        <v>809</v>
      </c>
      <c r="M343" t="s">
        <v>810</v>
      </c>
      <c r="N343" s="2">
        <v>45999</v>
      </c>
      <c r="O343" s="2">
        <v>46025</v>
      </c>
      <c r="P343" t="s">
        <v>43</v>
      </c>
      <c r="Q343" t="s">
        <v>52</v>
      </c>
      <c r="R343" t="s">
        <v>45</v>
      </c>
      <c r="S343" t="s">
        <v>84</v>
      </c>
      <c r="T343" t="s">
        <v>33</v>
      </c>
      <c r="U343" t="s">
        <v>34</v>
      </c>
      <c r="V343" t="str">
        <f>IF(B343&lt;=18,"Children",IF(B343&lt;=35,"Young adult",IF(B343&lt;=60,"Adult", "Senior Citizen")))</f>
        <v>Senior Citizen</v>
      </c>
      <c r="W343" t="str">
        <f t="shared" si="35"/>
        <v>Dec</v>
      </c>
      <c r="X343">
        <f t="shared" si="36"/>
        <v>12</v>
      </c>
      <c r="Y343" t="str">
        <f t="shared" si="37"/>
        <v>Q4</v>
      </c>
      <c r="Z343">
        <f t="shared" si="38"/>
        <v>2025</v>
      </c>
      <c r="AA343" t="str">
        <f t="shared" si="39"/>
        <v>Monday</v>
      </c>
      <c r="AB343">
        <f t="shared" si="40"/>
        <v>-26</v>
      </c>
      <c r="AC343" t="str">
        <f>IF(OR(D343="Heart Disease",D343="Cancer",D343="Stroke"),"High",IF(OR(D343="Diabetes",D343="Asthma"),"Medium","Low"))</f>
        <v>Medium</v>
      </c>
      <c r="AD343" t="str">
        <f t="shared" si="41"/>
        <v>No</v>
      </c>
      <c r="AE343" t="str">
        <f>IF(G343&lt;=2,"Short Stay", IF(G343&lt;=7,"Normal Stay", "Long Stay"))</f>
        <v>Long Stay</v>
      </c>
      <c r="AF343" t="str">
        <f>IF(F343&gt;60000,"Expensive",IF(F343&gt;30000,"Moderate","Affordable"))</f>
        <v>Affordable</v>
      </c>
      <c r="AG343" t="str">
        <f>IF(J343&gt;=4.5,"Excellent",IF(J343&gt;=3.5,"Good",IF(J343&gt;=2.5,"Average","Poor")))</f>
        <v>Good</v>
      </c>
      <c r="AH343" t="str">
        <f>IF(OR(TEXT(N343,"dddd")="Saturday",TEXT(N343,"dddd")="Sunday"),"Weekend","Weekday")</f>
        <v>Weekday</v>
      </c>
    </row>
    <row r="344" spans="1:34" x14ac:dyDescent="0.3">
      <c r="A344">
        <v>348</v>
      </c>
      <c r="B344">
        <v>35</v>
      </c>
      <c r="C344" t="s">
        <v>21</v>
      </c>
      <c r="D344" t="s">
        <v>47</v>
      </c>
      <c r="E344" t="s">
        <v>48</v>
      </c>
      <c r="F344">
        <v>500</v>
      </c>
      <c r="G344">
        <v>24</v>
      </c>
      <c r="H344" t="s">
        <v>38</v>
      </c>
      <c r="I344" t="s">
        <v>25</v>
      </c>
      <c r="J344">
        <v>5</v>
      </c>
      <c r="K344" t="s">
        <v>62</v>
      </c>
      <c r="L344" t="s">
        <v>811</v>
      </c>
      <c r="M344" t="s">
        <v>812</v>
      </c>
      <c r="N344" s="2">
        <v>46000</v>
      </c>
      <c r="O344" s="2">
        <v>46024</v>
      </c>
      <c r="P344" t="s">
        <v>43</v>
      </c>
      <c r="Q344" t="s">
        <v>139</v>
      </c>
      <c r="R344" t="s">
        <v>45</v>
      </c>
      <c r="S344" t="s">
        <v>72</v>
      </c>
      <c r="T344" t="s">
        <v>33</v>
      </c>
      <c r="U344" t="s">
        <v>78</v>
      </c>
      <c r="V344" t="str">
        <f>IF(B344&lt;=18,"Children",IF(B344&lt;=35,"Young adult",IF(B344&lt;=60,"Adult", "Senior Citizen")))</f>
        <v>Young adult</v>
      </c>
      <c r="W344" t="str">
        <f t="shared" si="35"/>
        <v>Dec</v>
      </c>
      <c r="X344">
        <f t="shared" si="36"/>
        <v>12</v>
      </c>
      <c r="Y344" t="str">
        <f t="shared" si="37"/>
        <v>Q4</v>
      </c>
      <c r="Z344">
        <f t="shared" si="38"/>
        <v>2025</v>
      </c>
      <c r="AA344" t="str">
        <f t="shared" si="39"/>
        <v>Tuesday</v>
      </c>
      <c r="AB344">
        <f t="shared" si="40"/>
        <v>-24</v>
      </c>
      <c r="AC344" t="str">
        <f>IF(OR(D344="Heart Disease",D344="Cancer",D344="Stroke"),"High",IF(OR(D344="Diabetes",D344="Asthma"),"Medium","Low"))</f>
        <v>Low</v>
      </c>
      <c r="AD344" t="str">
        <f t="shared" si="41"/>
        <v>No</v>
      </c>
      <c r="AE344" t="str">
        <f>IF(G344&lt;=2,"Short Stay", IF(G344&lt;=7,"Normal Stay", "Long Stay"))</f>
        <v>Long Stay</v>
      </c>
      <c r="AF344" t="str">
        <f>IF(F344&gt;60000,"Expensive",IF(F344&gt;30000,"Moderate","Affordable"))</f>
        <v>Affordable</v>
      </c>
      <c r="AG344" t="str">
        <f>IF(J344&gt;=4.5,"Excellent",IF(J344&gt;=3.5,"Good",IF(J344&gt;=2.5,"Average","Poor")))</f>
        <v>Excellent</v>
      </c>
      <c r="AH344" t="str">
        <f>IF(OR(TEXT(N344,"dddd")="Saturday",TEXT(N344,"dddd")="Sunday"),"Weekend","Weekday")</f>
        <v>Weekday</v>
      </c>
    </row>
    <row r="345" spans="1:34" x14ac:dyDescent="0.3">
      <c r="A345">
        <v>349</v>
      </c>
      <c r="B345">
        <v>78</v>
      </c>
      <c r="C345" t="s">
        <v>35</v>
      </c>
      <c r="D345" t="s">
        <v>54</v>
      </c>
      <c r="E345" t="s">
        <v>55</v>
      </c>
      <c r="F345">
        <v>10000</v>
      </c>
      <c r="G345">
        <v>30</v>
      </c>
      <c r="H345" t="s">
        <v>24</v>
      </c>
      <c r="I345" t="s">
        <v>39</v>
      </c>
      <c r="J345">
        <v>2</v>
      </c>
      <c r="K345" t="s">
        <v>482</v>
      </c>
      <c r="L345" t="s">
        <v>813</v>
      </c>
      <c r="M345" t="s">
        <v>814</v>
      </c>
      <c r="N345" s="2">
        <v>46001</v>
      </c>
      <c r="O345" s="2">
        <v>46031</v>
      </c>
      <c r="P345" t="s">
        <v>43</v>
      </c>
      <c r="Q345" t="s">
        <v>139</v>
      </c>
      <c r="R345" t="s">
        <v>59</v>
      </c>
      <c r="S345" t="s">
        <v>32</v>
      </c>
      <c r="T345" t="s">
        <v>33</v>
      </c>
      <c r="U345" t="s">
        <v>46</v>
      </c>
      <c r="V345" t="str">
        <f>IF(B345&lt;=18,"Children",IF(B345&lt;=35,"Young adult",IF(B345&lt;=60,"Adult", "Senior Citizen")))</f>
        <v>Senior Citizen</v>
      </c>
      <c r="W345" t="str">
        <f t="shared" si="35"/>
        <v>Dec</v>
      </c>
      <c r="X345">
        <f t="shared" si="36"/>
        <v>12</v>
      </c>
      <c r="Y345" t="str">
        <f t="shared" si="37"/>
        <v>Q4</v>
      </c>
      <c r="Z345">
        <f t="shared" si="38"/>
        <v>2025</v>
      </c>
      <c r="AA345" t="str">
        <f t="shared" si="39"/>
        <v>Wednesday</v>
      </c>
      <c r="AB345">
        <f t="shared" si="40"/>
        <v>-30</v>
      </c>
      <c r="AC345" t="str">
        <f>IF(OR(D345="Heart Disease",D345="Cancer",D345="Stroke"),"High",IF(OR(D345="Diabetes",D345="Asthma"),"Medium","Low"))</f>
        <v>High</v>
      </c>
      <c r="AD345" t="str">
        <f t="shared" si="41"/>
        <v>Yes</v>
      </c>
      <c r="AE345" t="str">
        <f>IF(G345&lt;=2,"Short Stay", IF(G345&lt;=7,"Normal Stay", "Long Stay"))</f>
        <v>Long Stay</v>
      </c>
      <c r="AF345" t="str">
        <f>IF(F345&gt;60000,"Expensive",IF(F345&gt;30000,"Moderate","Affordable"))</f>
        <v>Affordable</v>
      </c>
      <c r="AG345" t="str">
        <f>IF(J345&gt;=4.5,"Excellent",IF(J345&gt;=3.5,"Good",IF(J345&gt;=2.5,"Average","Poor")))</f>
        <v>Poor</v>
      </c>
      <c r="AH345" t="str">
        <f>IF(OR(TEXT(N345,"dddd")="Saturday",TEXT(N345,"dddd")="Sunday"),"Weekend","Weekday")</f>
        <v>Weekday</v>
      </c>
    </row>
    <row r="346" spans="1:34" x14ac:dyDescent="0.3">
      <c r="A346">
        <v>350</v>
      </c>
      <c r="B346">
        <v>53</v>
      </c>
      <c r="C346" t="s">
        <v>21</v>
      </c>
      <c r="D346" t="s">
        <v>60</v>
      </c>
      <c r="E346" t="s">
        <v>61</v>
      </c>
      <c r="F346">
        <v>25000</v>
      </c>
      <c r="G346">
        <v>33</v>
      </c>
      <c r="H346" t="s">
        <v>38</v>
      </c>
      <c r="I346" t="s">
        <v>25</v>
      </c>
      <c r="J346">
        <v>4</v>
      </c>
      <c r="K346" t="s">
        <v>120</v>
      </c>
      <c r="L346" t="s">
        <v>815</v>
      </c>
      <c r="M346" t="s">
        <v>816</v>
      </c>
      <c r="N346" s="2">
        <v>46002</v>
      </c>
      <c r="O346" s="2">
        <v>46035</v>
      </c>
      <c r="P346" t="s">
        <v>43</v>
      </c>
      <c r="Q346" t="s">
        <v>139</v>
      </c>
      <c r="R346" t="s">
        <v>65</v>
      </c>
      <c r="S346" t="s">
        <v>84</v>
      </c>
      <c r="T346" t="s">
        <v>33</v>
      </c>
      <c r="U346" t="s">
        <v>78</v>
      </c>
      <c r="V346" t="str">
        <f>IF(B346&lt;=18,"Children",IF(B346&lt;=35,"Young adult",IF(B346&lt;=60,"Adult", "Senior Citizen")))</f>
        <v>Adult</v>
      </c>
      <c r="W346" t="str">
        <f t="shared" si="35"/>
        <v>Dec</v>
      </c>
      <c r="X346">
        <f t="shared" si="36"/>
        <v>12</v>
      </c>
      <c r="Y346" t="str">
        <f t="shared" si="37"/>
        <v>Q4</v>
      </c>
      <c r="Z346">
        <f t="shared" si="38"/>
        <v>2025</v>
      </c>
      <c r="AA346" t="str">
        <f t="shared" si="39"/>
        <v>Thursday</v>
      </c>
      <c r="AB346">
        <f t="shared" si="40"/>
        <v>-33</v>
      </c>
      <c r="AC346" t="str">
        <f>IF(OR(D346="Heart Disease",D346="Cancer",D346="Stroke"),"High",IF(OR(D346="Diabetes",D346="Asthma"),"Medium","Low"))</f>
        <v>High</v>
      </c>
      <c r="AD346" t="str">
        <f t="shared" si="41"/>
        <v>Yes</v>
      </c>
      <c r="AE346" t="str">
        <f>IF(G346&lt;=2,"Short Stay", IF(G346&lt;=7,"Normal Stay", "Long Stay"))</f>
        <v>Long Stay</v>
      </c>
      <c r="AF346" t="str">
        <f>IF(F346&gt;60000,"Expensive",IF(F346&gt;30000,"Moderate","Affordable"))</f>
        <v>Affordable</v>
      </c>
      <c r="AG346" t="str">
        <f>IF(J346&gt;=4.5,"Excellent",IF(J346&gt;=3.5,"Good",IF(J346&gt;=2.5,"Average","Poor")))</f>
        <v>Good</v>
      </c>
      <c r="AH346" t="str">
        <f>IF(OR(TEXT(N346,"dddd")="Saturday",TEXT(N346,"dddd")="Sunday"),"Weekend","Weekday")</f>
        <v>Weekday</v>
      </c>
    </row>
    <row r="347" spans="1:34" x14ac:dyDescent="0.3">
      <c r="A347">
        <v>351</v>
      </c>
      <c r="B347">
        <v>72</v>
      </c>
      <c r="C347" t="s">
        <v>35</v>
      </c>
      <c r="D347" t="s">
        <v>66</v>
      </c>
      <c r="E347" t="s">
        <v>67</v>
      </c>
      <c r="F347">
        <v>1000</v>
      </c>
      <c r="G347">
        <v>25</v>
      </c>
      <c r="H347" t="s">
        <v>24</v>
      </c>
      <c r="I347" t="s">
        <v>39</v>
      </c>
      <c r="J347">
        <v>4</v>
      </c>
      <c r="K347" t="s">
        <v>294</v>
      </c>
      <c r="L347" t="s">
        <v>817</v>
      </c>
      <c r="M347" t="s">
        <v>818</v>
      </c>
      <c r="N347" s="2">
        <v>46003</v>
      </c>
      <c r="O347" s="2">
        <v>46028</v>
      </c>
      <c r="P347" t="s">
        <v>43</v>
      </c>
      <c r="Q347" t="s">
        <v>44</v>
      </c>
      <c r="R347" t="s">
        <v>45</v>
      </c>
      <c r="S347" t="s">
        <v>72</v>
      </c>
      <c r="T347" t="s">
        <v>33</v>
      </c>
      <c r="U347" t="s">
        <v>78</v>
      </c>
      <c r="V347" t="str">
        <f>IF(B347&lt;=18,"Children",IF(B347&lt;=35,"Young adult",IF(B347&lt;=60,"Adult", "Senior Citizen")))</f>
        <v>Senior Citizen</v>
      </c>
      <c r="W347" t="str">
        <f t="shared" si="35"/>
        <v>Dec</v>
      </c>
      <c r="X347">
        <f t="shared" si="36"/>
        <v>12</v>
      </c>
      <c r="Y347" t="str">
        <f t="shared" si="37"/>
        <v>Q4</v>
      </c>
      <c r="Z347">
        <f t="shared" si="38"/>
        <v>2025</v>
      </c>
      <c r="AA347" t="str">
        <f t="shared" si="39"/>
        <v>Friday</v>
      </c>
      <c r="AB347">
        <f t="shared" si="40"/>
        <v>-25</v>
      </c>
      <c r="AC347" t="str">
        <f>IF(OR(D347="Heart Disease",D347="Cancer",D347="Stroke"),"High",IF(OR(D347="Diabetes",D347="Asthma"),"Medium","Low"))</f>
        <v>Low</v>
      </c>
      <c r="AD347" t="str">
        <f t="shared" si="41"/>
        <v>No</v>
      </c>
      <c r="AE347" t="str">
        <f>IF(G347&lt;=2,"Short Stay", IF(G347&lt;=7,"Normal Stay", "Long Stay"))</f>
        <v>Long Stay</v>
      </c>
      <c r="AF347" t="str">
        <f>IF(F347&gt;60000,"Expensive",IF(F347&gt;30000,"Moderate","Affordable"))</f>
        <v>Affordable</v>
      </c>
      <c r="AG347" t="str">
        <f>IF(J347&gt;=4.5,"Excellent",IF(J347&gt;=3.5,"Good",IF(J347&gt;=2.5,"Average","Poor")))</f>
        <v>Good</v>
      </c>
      <c r="AH347" t="str">
        <f>IF(OR(TEXT(N347,"dddd")="Saturday",TEXT(N347,"dddd")="Sunday"),"Weekend","Weekday")</f>
        <v>Weekday</v>
      </c>
    </row>
    <row r="348" spans="1:34" x14ac:dyDescent="0.3">
      <c r="A348">
        <v>352</v>
      </c>
      <c r="B348">
        <v>60</v>
      </c>
      <c r="C348" t="s">
        <v>21</v>
      </c>
      <c r="D348" t="s">
        <v>73</v>
      </c>
      <c r="E348" t="s">
        <v>74</v>
      </c>
      <c r="F348">
        <v>8000</v>
      </c>
      <c r="G348">
        <v>27</v>
      </c>
      <c r="H348" t="s">
        <v>38</v>
      </c>
      <c r="I348" t="s">
        <v>25</v>
      </c>
      <c r="J348">
        <v>3</v>
      </c>
      <c r="K348" t="s">
        <v>281</v>
      </c>
      <c r="L348" t="s">
        <v>819</v>
      </c>
      <c r="M348" t="s">
        <v>820</v>
      </c>
      <c r="N348" s="2">
        <v>46004</v>
      </c>
      <c r="O348" s="2">
        <v>46031</v>
      </c>
      <c r="P348" t="s">
        <v>29</v>
      </c>
      <c r="Q348" t="s">
        <v>52</v>
      </c>
      <c r="R348" t="s">
        <v>45</v>
      </c>
      <c r="S348" t="s">
        <v>84</v>
      </c>
      <c r="T348" t="s">
        <v>33</v>
      </c>
      <c r="U348" t="s">
        <v>46</v>
      </c>
      <c r="V348" t="str">
        <f>IF(B348&lt;=18,"Children",IF(B348&lt;=35,"Young adult",IF(B348&lt;=60,"Adult", "Senior Citizen")))</f>
        <v>Adult</v>
      </c>
      <c r="W348" t="str">
        <f t="shared" si="35"/>
        <v>Dec</v>
      </c>
      <c r="X348">
        <f t="shared" si="36"/>
        <v>12</v>
      </c>
      <c r="Y348" t="str">
        <f t="shared" si="37"/>
        <v>Q4</v>
      </c>
      <c r="Z348">
        <f t="shared" si="38"/>
        <v>2025</v>
      </c>
      <c r="AA348" t="str">
        <f t="shared" si="39"/>
        <v>Saturday</v>
      </c>
      <c r="AB348">
        <f t="shared" si="40"/>
        <v>-27</v>
      </c>
      <c r="AC348" t="str">
        <f>IF(OR(D348="Heart Disease",D348="Cancer",D348="Stroke"),"High",IF(OR(D348="Diabetes",D348="Asthma"),"Medium","Low"))</f>
        <v>Low</v>
      </c>
      <c r="AD348" t="str">
        <f t="shared" si="41"/>
        <v>No</v>
      </c>
      <c r="AE348" t="str">
        <f>IF(G348&lt;=2,"Short Stay", IF(G348&lt;=7,"Normal Stay", "Long Stay"))</f>
        <v>Long Stay</v>
      </c>
      <c r="AF348" t="str">
        <f>IF(F348&gt;60000,"Expensive",IF(F348&gt;30000,"Moderate","Affordable"))</f>
        <v>Affordable</v>
      </c>
      <c r="AG348" t="str">
        <f>IF(J348&gt;=4.5,"Excellent",IF(J348&gt;=3.5,"Good",IF(J348&gt;=2.5,"Average","Poor")))</f>
        <v>Average</v>
      </c>
      <c r="AH348" t="str">
        <f>IF(OR(TEXT(N348,"dddd")="Saturday",TEXT(N348,"dddd")="Sunday"),"Weekend","Weekday")</f>
        <v>Weekend</v>
      </c>
    </row>
    <row r="349" spans="1:34" x14ac:dyDescent="0.3">
      <c r="A349">
        <v>353</v>
      </c>
      <c r="B349">
        <v>45</v>
      </c>
      <c r="C349" t="s">
        <v>35</v>
      </c>
      <c r="D349" t="s">
        <v>79</v>
      </c>
      <c r="E349" t="s">
        <v>80</v>
      </c>
      <c r="F349">
        <v>3000</v>
      </c>
      <c r="G349">
        <v>29</v>
      </c>
      <c r="H349" t="s">
        <v>24</v>
      </c>
      <c r="I349" t="s">
        <v>25</v>
      </c>
      <c r="J349">
        <v>4</v>
      </c>
      <c r="K349" t="s">
        <v>133</v>
      </c>
      <c r="L349" t="s">
        <v>821</v>
      </c>
      <c r="M349" t="s">
        <v>822</v>
      </c>
      <c r="N349" s="2">
        <v>46005</v>
      </c>
      <c r="O349" s="2">
        <v>46034</v>
      </c>
      <c r="P349" t="s">
        <v>29</v>
      </c>
      <c r="Q349" t="s">
        <v>44</v>
      </c>
      <c r="R349" t="s">
        <v>45</v>
      </c>
      <c r="S349" t="s">
        <v>53</v>
      </c>
      <c r="T349" t="s">
        <v>33</v>
      </c>
      <c r="U349" t="s">
        <v>78</v>
      </c>
      <c r="V349" t="str">
        <f>IF(B349&lt;=18,"Children",IF(B349&lt;=35,"Young adult",IF(B349&lt;=60,"Adult", "Senior Citizen")))</f>
        <v>Adult</v>
      </c>
      <c r="W349" t="str">
        <f t="shared" si="35"/>
        <v>Dec</v>
      </c>
      <c r="X349">
        <f t="shared" si="36"/>
        <v>12</v>
      </c>
      <c r="Y349" t="str">
        <f t="shared" si="37"/>
        <v>Q4</v>
      </c>
      <c r="Z349">
        <f t="shared" si="38"/>
        <v>2025</v>
      </c>
      <c r="AA349" t="str">
        <f t="shared" si="39"/>
        <v>Sunday</v>
      </c>
      <c r="AB349">
        <f t="shared" si="40"/>
        <v>-29</v>
      </c>
      <c r="AC349" t="str">
        <f>IF(OR(D349="Heart Disease",D349="Cancer",D349="Stroke"),"High",IF(OR(D349="Diabetes",D349="Asthma"),"Medium","Low"))</f>
        <v>Low</v>
      </c>
      <c r="AD349" t="str">
        <f t="shared" si="41"/>
        <v>No</v>
      </c>
      <c r="AE349" t="str">
        <f>IF(G349&lt;=2,"Short Stay", IF(G349&lt;=7,"Normal Stay", "Long Stay"))</f>
        <v>Long Stay</v>
      </c>
      <c r="AF349" t="str">
        <f>IF(F349&gt;60000,"Expensive",IF(F349&gt;30000,"Moderate","Affordable"))</f>
        <v>Affordable</v>
      </c>
      <c r="AG349" t="str">
        <f>IF(J349&gt;=4.5,"Excellent",IF(J349&gt;=3.5,"Good",IF(J349&gt;=2.5,"Average","Poor")))</f>
        <v>Good</v>
      </c>
      <c r="AH349" t="str">
        <f>IF(OR(TEXT(N349,"dddd")="Saturday",TEXT(N349,"dddd")="Sunday"),"Weekend","Weekday")</f>
        <v>Weekend</v>
      </c>
    </row>
    <row r="350" spans="1:34" x14ac:dyDescent="0.3">
      <c r="A350">
        <v>354</v>
      </c>
      <c r="B350">
        <v>75</v>
      </c>
      <c r="C350" t="s">
        <v>21</v>
      </c>
      <c r="D350" t="s">
        <v>85</v>
      </c>
      <c r="E350" t="s">
        <v>86</v>
      </c>
      <c r="F350">
        <v>18000</v>
      </c>
      <c r="G350">
        <v>31</v>
      </c>
      <c r="H350" t="s">
        <v>38</v>
      </c>
      <c r="I350" t="s">
        <v>39</v>
      </c>
      <c r="J350">
        <v>2</v>
      </c>
      <c r="K350" t="s">
        <v>160</v>
      </c>
      <c r="L350" t="s">
        <v>823</v>
      </c>
      <c r="M350" t="s">
        <v>824</v>
      </c>
      <c r="N350" s="2">
        <v>46006</v>
      </c>
      <c r="O350" s="2">
        <v>46037</v>
      </c>
      <c r="P350" t="s">
        <v>29</v>
      </c>
      <c r="Q350" t="s">
        <v>44</v>
      </c>
      <c r="R350" t="s">
        <v>45</v>
      </c>
      <c r="S350" t="s">
        <v>110</v>
      </c>
      <c r="T350" t="s">
        <v>33</v>
      </c>
      <c r="U350" t="s">
        <v>104</v>
      </c>
      <c r="V350" t="str">
        <f>IF(B350&lt;=18,"Children",IF(B350&lt;=35,"Young adult",IF(B350&lt;=60,"Adult", "Senior Citizen")))</f>
        <v>Senior Citizen</v>
      </c>
      <c r="W350" t="str">
        <f t="shared" si="35"/>
        <v>Dec</v>
      </c>
      <c r="X350">
        <f t="shared" si="36"/>
        <v>12</v>
      </c>
      <c r="Y350" t="str">
        <f t="shared" si="37"/>
        <v>Q4</v>
      </c>
      <c r="Z350">
        <f t="shared" si="38"/>
        <v>2025</v>
      </c>
      <c r="AA350" t="str">
        <f t="shared" si="39"/>
        <v>Monday</v>
      </c>
      <c r="AB350">
        <f t="shared" si="40"/>
        <v>-31</v>
      </c>
      <c r="AC350" t="str">
        <f>IF(OR(D350="Heart Disease",D350="Cancer",D350="Stroke"),"High",IF(OR(D350="Diabetes",D350="Asthma"),"Medium","Low"))</f>
        <v>Low</v>
      </c>
      <c r="AD350" t="str">
        <f t="shared" si="41"/>
        <v>No</v>
      </c>
      <c r="AE350" t="str">
        <f>IF(G350&lt;=2,"Short Stay", IF(G350&lt;=7,"Normal Stay", "Long Stay"))</f>
        <v>Long Stay</v>
      </c>
      <c r="AF350" t="str">
        <f>IF(F350&gt;60000,"Expensive",IF(F350&gt;30000,"Moderate","Affordable"))</f>
        <v>Affordable</v>
      </c>
      <c r="AG350" t="str">
        <f>IF(J350&gt;=4.5,"Excellent",IF(J350&gt;=3.5,"Good",IF(J350&gt;=2.5,"Average","Poor")))</f>
        <v>Poor</v>
      </c>
      <c r="AH350" t="str">
        <f>IF(OR(TEXT(N350,"dddd")="Saturday",TEXT(N350,"dddd")="Sunday"),"Weekend","Weekday")</f>
        <v>Weekday</v>
      </c>
    </row>
    <row r="351" spans="1:34" x14ac:dyDescent="0.3">
      <c r="A351">
        <v>355</v>
      </c>
      <c r="B351">
        <v>28</v>
      </c>
      <c r="C351" t="s">
        <v>35</v>
      </c>
      <c r="D351" t="s">
        <v>89</v>
      </c>
      <c r="E351" t="s">
        <v>90</v>
      </c>
      <c r="F351">
        <v>100</v>
      </c>
      <c r="G351">
        <v>24</v>
      </c>
      <c r="H351" t="s">
        <v>24</v>
      </c>
      <c r="I351" t="s">
        <v>25</v>
      </c>
      <c r="J351">
        <v>5</v>
      </c>
      <c r="K351" t="s">
        <v>125</v>
      </c>
      <c r="L351" t="s">
        <v>825</v>
      </c>
      <c r="M351" t="s">
        <v>826</v>
      </c>
      <c r="N351" s="2">
        <v>46007</v>
      </c>
      <c r="O351" s="2">
        <v>46031</v>
      </c>
      <c r="P351" t="s">
        <v>29</v>
      </c>
      <c r="Q351" t="s">
        <v>139</v>
      </c>
      <c r="R351" t="s">
        <v>45</v>
      </c>
      <c r="S351" t="s">
        <v>53</v>
      </c>
      <c r="T351" t="s">
        <v>33</v>
      </c>
      <c r="U351" t="s">
        <v>34</v>
      </c>
      <c r="V351" t="str">
        <f>IF(B351&lt;=18,"Children",IF(B351&lt;=35,"Young adult",IF(B351&lt;=60,"Adult", "Senior Citizen")))</f>
        <v>Young adult</v>
      </c>
      <c r="W351" t="str">
        <f t="shared" si="35"/>
        <v>Dec</v>
      </c>
      <c r="X351">
        <f t="shared" si="36"/>
        <v>12</v>
      </c>
      <c r="Y351" t="str">
        <f t="shared" si="37"/>
        <v>Q4</v>
      </c>
      <c r="Z351">
        <f t="shared" si="38"/>
        <v>2025</v>
      </c>
      <c r="AA351" t="str">
        <f t="shared" si="39"/>
        <v>Tuesday</v>
      </c>
      <c r="AB351">
        <f t="shared" si="40"/>
        <v>-24</v>
      </c>
      <c r="AC351" t="str">
        <f>IF(OR(D351="Heart Disease",D351="Cancer",D351="Stroke"),"High",IF(OR(D351="Diabetes",D351="Asthma"),"Medium","Low"))</f>
        <v>Low</v>
      </c>
      <c r="AD351" t="str">
        <f t="shared" si="41"/>
        <v>No</v>
      </c>
      <c r="AE351" t="str">
        <f>IF(G351&lt;=2,"Short Stay", IF(G351&lt;=7,"Normal Stay", "Long Stay"))</f>
        <v>Long Stay</v>
      </c>
      <c r="AF351" t="str">
        <f>IF(F351&gt;60000,"Expensive",IF(F351&gt;30000,"Moderate","Affordable"))</f>
        <v>Affordable</v>
      </c>
      <c r="AG351" t="str">
        <f>IF(J351&gt;=4.5,"Excellent",IF(J351&gt;=3.5,"Good",IF(J351&gt;=2.5,"Average","Poor")))</f>
        <v>Excellent</v>
      </c>
      <c r="AH351" t="str">
        <f>IF(OR(TEXT(N351,"dddd")="Saturday",TEXT(N351,"dddd")="Sunday"),"Weekend","Weekday")</f>
        <v>Weekday</v>
      </c>
    </row>
    <row r="352" spans="1:34" x14ac:dyDescent="0.3">
      <c r="A352">
        <v>357</v>
      </c>
      <c r="B352">
        <v>67</v>
      </c>
      <c r="C352" t="s">
        <v>35</v>
      </c>
      <c r="D352" t="s">
        <v>99</v>
      </c>
      <c r="E352" t="s">
        <v>100</v>
      </c>
      <c r="F352">
        <v>20000</v>
      </c>
      <c r="G352">
        <v>32</v>
      </c>
      <c r="H352" t="s">
        <v>24</v>
      </c>
      <c r="I352" t="s">
        <v>25</v>
      </c>
      <c r="J352">
        <v>3</v>
      </c>
      <c r="K352" t="s">
        <v>203</v>
      </c>
      <c r="L352" t="s">
        <v>827</v>
      </c>
      <c r="M352" t="s">
        <v>828</v>
      </c>
      <c r="N352" s="2">
        <v>46008</v>
      </c>
      <c r="O352" s="2">
        <v>46040</v>
      </c>
      <c r="P352" t="s">
        <v>29</v>
      </c>
      <c r="Q352" t="s">
        <v>139</v>
      </c>
      <c r="R352" t="s">
        <v>45</v>
      </c>
      <c r="S352" t="s">
        <v>77</v>
      </c>
      <c r="T352" t="s">
        <v>33</v>
      </c>
      <c r="U352" t="s">
        <v>104</v>
      </c>
      <c r="V352" t="str">
        <f>IF(B352&lt;=18,"Children",IF(B352&lt;=35,"Young adult",IF(B352&lt;=60,"Adult", "Senior Citizen")))</f>
        <v>Senior Citizen</v>
      </c>
      <c r="W352" t="str">
        <f t="shared" si="35"/>
        <v>Dec</v>
      </c>
      <c r="X352">
        <f t="shared" si="36"/>
        <v>12</v>
      </c>
      <c r="Y352" t="str">
        <f t="shared" si="37"/>
        <v>Q4</v>
      </c>
      <c r="Z352">
        <f t="shared" si="38"/>
        <v>2025</v>
      </c>
      <c r="AA352" t="str">
        <f t="shared" si="39"/>
        <v>Wednesday</v>
      </c>
      <c r="AB352">
        <f t="shared" si="40"/>
        <v>-32</v>
      </c>
      <c r="AC352" t="str">
        <f>IF(OR(D352="Heart Disease",D352="Cancer",D352="Stroke"),"High",IF(OR(D352="Diabetes",D352="Asthma"),"Medium","Low"))</f>
        <v>Low</v>
      </c>
      <c r="AD352" t="str">
        <f t="shared" si="41"/>
        <v>No</v>
      </c>
      <c r="AE352" t="str">
        <f>IF(G352&lt;=2,"Short Stay", IF(G352&lt;=7,"Normal Stay", "Long Stay"))</f>
        <v>Long Stay</v>
      </c>
      <c r="AF352" t="str">
        <f>IF(F352&gt;60000,"Expensive",IF(F352&gt;30000,"Moderate","Affordable"))</f>
        <v>Affordable</v>
      </c>
      <c r="AG352" t="str">
        <f>IF(J352&gt;=4.5,"Excellent",IF(J352&gt;=3.5,"Good",IF(J352&gt;=2.5,"Average","Poor")))</f>
        <v>Average</v>
      </c>
      <c r="AH352" t="str">
        <f>IF(OR(TEXT(N352,"dddd")="Saturday",TEXT(N352,"dddd")="Sunday"),"Weekend","Weekday")</f>
        <v>Weekday</v>
      </c>
    </row>
    <row r="353" spans="1:34" x14ac:dyDescent="0.3">
      <c r="A353">
        <v>358</v>
      </c>
      <c r="B353">
        <v>35</v>
      </c>
      <c r="C353" t="s">
        <v>21</v>
      </c>
      <c r="D353" t="s">
        <v>105</v>
      </c>
      <c r="E353" t="s">
        <v>106</v>
      </c>
      <c r="F353">
        <v>12000</v>
      </c>
      <c r="G353">
        <v>26</v>
      </c>
      <c r="H353" t="s">
        <v>24</v>
      </c>
      <c r="I353" t="s">
        <v>25</v>
      </c>
      <c r="J353">
        <v>4</v>
      </c>
      <c r="K353" t="s">
        <v>149</v>
      </c>
      <c r="L353" t="s">
        <v>829</v>
      </c>
      <c r="M353" t="s">
        <v>830</v>
      </c>
      <c r="N353" s="2">
        <v>46009</v>
      </c>
      <c r="O353" s="2">
        <v>46035</v>
      </c>
      <c r="P353" t="s">
        <v>29</v>
      </c>
      <c r="Q353" t="s">
        <v>52</v>
      </c>
      <c r="R353" t="s">
        <v>45</v>
      </c>
      <c r="S353" t="s">
        <v>32</v>
      </c>
      <c r="T353" t="s">
        <v>33</v>
      </c>
      <c r="U353" t="s">
        <v>104</v>
      </c>
      <c r="V353" t="str">
        <f>IF(B353&lt;=18,"Children",IF(B353&lt;=35,"Young adult",IF(B353&lt;=60,"Adult", "Senior Citizen")))</f>
        <v>Young adult</v>
      </c>
      <c r="W353" t="str">
        <f t="shared" si="35"/>
        <v>Dec</v>
      </c>
      <c r="X353">
        <f t="shared" si="36"/>
        <v>12</v>
      </c>
      <c r="Y353" t="str">
        <f t="shared" si="37"/>
        <v>Q4</v>
      </c>
      <c r="Z353">
        <f t="shared" si="38"/>
        <v>2025</v>
      </c>
      <c r="AA353" t="str">
        <f t="shared" si="39"/>
        <v>Thursday</v>
      </c>
      <c r="AB353">
        <f t="shared" si="40"/>
        <v>-26</v>
      </c>
      <c r="AC353" t="str">
        <f>IF(OR(D353="Heart Disease",D353="Cancer",D353="Stroke"),"High",IF(OR(D353="Diabetes",D353="Asthma"),"Medium","Low"))</f>
        <v>Low</v>
      </c>
      <c r="AD353" t="str">
        <f t="shared" si="41"/>
        <v>No</v>
      </c>
      <c r="AE353" t="str">
        <f>IF(G353&lt;=2,"Short Stay", IF(G353&lt;=7,"Normal Stay", "Long Stay"))</f>
        <v>Long Stay</v>
      </c>
      <c r="AF353" t="str">
        <f>IF(F353&gt;60000,"Expensive",IF(F353&gt;30000,"Moderate","Affordable"))</f>
        <v>Affordable</v>
      </c>
      <c r="AG353" t="str">
        <f>IF(J353&gt;=4.5,"Excellent",IF(J353&gt;=3.5,"Good",IF(J353&gt;=2.5,"Average","Poor")))</f>
        <v>Good</v>
      </c>
      <c r="AH353" t="str">
        <f>IF(OR(TEXT(N353,"dddd")="Saturday",TEXT(N353,"dddd")="Sunday"),"Weekend","Weekday")</f>
        <v>Weekday</v>
      </c>
    </row>
    <row r="354" spans="1:34" x14ac:dyDescent="0.3">
      <c r="A354">
        <v>359</v>
      </c>
      <c r="B354">
        <v>50</v>
      </c>
      <c r="C354" t="s">
        <v>35</v>
      </c>
      <c r="D354" t="s">
        <v>111</v>
      </c>
      <c r="E354" t="s">
        <v>112</v>
      </c>
      <c r="F354">
        <v>6000</v>
      </c>
      <c r="G354">
        <v>27</v>
      </c>
      <c r="H354" t="s">
        <v>24</v>
      </c>
      <c r="I354" t="s">
        <v>25</v>
      </c>
      <c r="J354">
        <v>3</v>
      </c>
      <c r="K354" t="s">
        <v>215</v>
      </c>
      <c r="L354" t="s">
        <v>831</v>
      </c>
      <c r="M354" t="s">
        <v>832</v>
      </c>
      <c r="N354" s="2">
        <v>46010</v>
      </c>
      <c r="O354" s="2">
        <v>46037</v>
      </c>
      <c r="P354" t="s">
        <v>43</v>
      </c>
      <c r="Q354" t="s">
        <v>139</v>
      </c>
      <c r="R354" t="s">
        <v>45</v>
      </c>
      <c r="S354" t="s">
        <v>77</v>
      </c>
      <c r="T354" t="s">
        <v>33</v>
      </c>
      <c r="U354" t="s">
        <v>104</v>
      </c>
      <c r="V354" t="str">
        <f>IF(B354&lt;=18,"Children",IF(B354&lt;=35,"Young adult",IF(B354&lt;=60,"Adult", "Senior Citizen")))</f>
        <v>Adult</v>
      </c>
      <c r="W354" t="str">
        <f t="shared" si="35"/>
        <v>Dec</v>
      </c>
      <c r="X354">
        <f t="shared" si="36"/>
        <v>12</v>
      </c>
      <c r="Y354" t="str">
        <f t="shared" si="37"/>
        <v>Q4</v>
      </c>
      <c r="Z354">
        <f t="shared" si="38"/>
        <v>2025</v>
      </c>
      <c r="AA354" t="str">
        <f t="shared" si="39"/>
        <v>Friday</v>
      </c>
      <c r="AB354">
        <f t="shared" si="40"/>
        <v>-27</v>
      </c>
      <c r="AC354" t="str">
        <f>IF(OR(D354="Heart Disease",D354="Cancer",D354="Stroke"),"High",IF(OR(D354="Diabetes",D354="Asthma"),"Medium","Low"))</f>
        <v>Low</v>
      </c>
      <c r="AD354" t="str">
        <f t="shared" si="41"/>
        <v>No</v>
      </c>
      <c r="AE354" t="str">
        <f>IF(G354&lt;=2,"Short Stay", IF(G354&lt;=7,"Normal Stay", "Long Stay"))</f>
        <v>Long Stay</v>
      </c>
      <c r="AF354" t="str">
        <f>IF(F354&gt;60000,"Expensive",IF(F354&gt;30000,"Moderate","Affordable"))</f>
        <v>Affordable</v>
      </c>
      <c r="AG354" t="str">
        <f>IF(J354&gt;=4.5,"Excellent",IF(J354&gt;=3.5,"Good",IF(J354&gt;=2.5,"Average","Poor")))</f>
        <v>Average</v>
      </c>
      <c r="AH354" t="str">
        <f>IF(OR(TEXT(N354,"dddd")="Saturday",TEXT(N354,"dddd")="Sunday"),"Weekend","Weekday")</f>
        <v>Weekday</v>
      </c>
    </row>
    <row r="355" spans="1:34" x14ac:dyDescent="0.3">
      <c r="A355">
        <v>360</v>
      </c>
      <c r="B355">
        <v>60</v>
      </c>
      <c r="C355" t="s">
        <v>21</v>
      </c>
      <c r="D355" t="s">
        <v>116</v>
      </c>
      <c r="E355" t="s">
        <v>117</v>
      </c>
      <c r="F355">
        <v>4000</v>
      </c>
      <c r="G355">
        <v>28</v>
      </c>
      <c r="H355" t="s">
        <v>24</v>
      </c>
      <c r="I355" t="s">
        <v>39</v>
      </c>
      <c r="J355">
        <v>4</v>
      </c>
      <c r="K355" t="s">
        <v>120</v>
      </c>
      <c r="L355" t="s">
        <v>833</v>
      </c>
      <c r="M355" t="s">
        <v>834</v>
      </c>
      <c r="N355" s="2">
        <v>46011</v>
      </c>
      <c r="O355" s="2">
        <v>46039</v>
      </c>
      <c r="P355" t="s">
        <v>43</v>
      </c>
      <c r="Q355" t="s">
        <v>44</v>
      </c>
      <c r="R355" t="s">
        <v>45</v>
      </c>
      <c r="S355" t="s">
        <v>72</v>
      </c>
      <c r="T355" t="s">
        <v>33</v>
      </c>
      <c r="U355" t="s">
        <v>46</v>
      </c>
      <c r="V355" t="str">
        <f>IF(B355&lt;=18,"Children",IF(B355&lt;=35,"Young adult",IF(B355&lt;=60,"Adult", "Senior Citizen")))</f>
        <v>Adult</v>
      </c>
      <c r="W355" t="str">
        <f t="shared" si="35"/>
        <v>Dec</v>
      </c>
      <c r="X355">
        <f t="shared" si="36"/>
        <v>12</v>
      </c>
      <c r="Y355" t="str">
        <f t="shared" si="37"/>
        <v>Q4</v>
      </c>
      <c r="Z355">
        <f t="shared" si="38"/>
        <v>2025</v>
      </c>
      <c r="AA355" t="str">
        <f t="shared" si="39"/>
        <v>Saturday</v>
      </c>
      <c r="AB355">
        <f t="shared" si="40"/>
        <v>-28</v>
      </c>
      <c r="AC355" t="str">
        <f>IF(OR(D355="Heart Disease",D355="Cancer",D355="Stroke"),"High",IF(OR(D355="Diabetes",D355="Asthma"),"Medium","Low"))</f>
        <v>Low</v>
      </c>
      <c r="AD355" t="str">
        <f t="shared" si="41"/>
        <v>No</v>
      </c>
      <c r="AE355" t="str">
        <f>IF(G355&lt;=2,"Short Stay", IF(G355&lt;=7,"Normal Stay", "Long Stay"))</f>
        <v>Long Stay</v>
      </c>
      <c r="AF355" t="str">
        <f>IF(F355&gt;60000,"Expensive",IF(F355&gt;30000,"Moderate","Affordable"))</f>
        <v>Affordable</v>
      </c>
      <c r="AG355" t="str">
        <f>IF(J355&gt;=4.5,"Excellent",IF(J355&gt;=3.5,"Good",IF(J355&gt;=2.5,"Average","Poor")))</f>
        <v>Good</v>
      </c>
      <c r="AH355" t="str">
        <f>IF(OR(TEXT(N355,"dddd")="Saturday",TEXT(N355,"dddd")="Sunday"),"Weekend","Weekday")</f>
        <v>Weekend</v>
      </c>
    </row>
    <row r="356" spans="1:34" x14ac:dyDescent="0.3">
      <c r="A356">
        <v>361</v>
      </c>
      <c r="B356">
        <v>48</v>
      </c>
      <c r="C356" t="s">
        <v>21</v>
      </c>
      <c r="D356" t="s">
        <v>22</v>
      </c>
      <c r="E356" t="s">
        <v>23</v>
      </c>
      <c r="F356">
        <v>15000</v>
      </c>
      <c r="G356">
        <v>29</v>
      </c>
      <c r="H356" t="s">
        <v>38</v>
      </c>
      <c r="I356" t="s">
        <v>25</v>
      </c>
      <c r="J356">
        <v>4</v>
      </c>
      <c r="K356" t="s">
        <v>113</v>
      </c>
      <c r="L356" t="s">
        <v>835</v>
      </c>
      <c r="M356" t="s">
        <v>836</v>
      </c>
      <c r="N356" s="2">
        <v>46012</v>
      </c>
      <c r="O356" s="2">
        <v>46041</v>
      </c>
      <c r="P356" t="s">
        <v>29</v>
      </c>
      <c r="Q356" t="s">
        <v>30</v>
      </c>
      <c r="R356" t="s">
        <v>31</v>
      </c>
      <c r="S356" t="s">
        <v>84</v>
      </c>
      <c r="T356" t="s">
        <v>33</v>
      </c>
      <c r="U356" t="s">
        <v>46</v>
      </c>
      <c r="V356" t="str">
        <f>IF(B356&lt;=18,"Children",IF(B356&lt;=35,"Young adult",IF(B356&lt;=60,"Adult", "Senior Citizen")))</f>
        <v>Adult</v>
      </c>
      <c r="W356" t="str">
        <f t="shared" si="35"/>
        <v>Dec</v>
      </c>
      <c r="X356">
        <f t="shared" si="36"/>
        <v>12</v>
      </c>
      <c r="Y356" t="str">
        <f t="shared" si="37"/>
        <v>Q4</v>
      </c>
      <c r="Z356">
        <f t="shared" si="38"/>
        <v>2025</v>
      </c>
      <c r="AA356" t="str">
        <f t="shared" si="39"/>
        <v>Sunday</v>
      </c>
      <c r="AB356">
        <f t="shared" si="40"/>
        <v>-29</v>
      </c>
      <c r="AC356" t="str">
        <f>IF(OR(D356="Heart Disease",D356="Cancer",D356="Stroke"),"High",IF(OR(D356="Diabetes",D356="Asthma"),"Medium","Low"))</f>
        <v>High</v>
      </c>
      <c r="AD356" t="str">
        <f t="shared" si="41"/>
        <v>Yes</v>
      </c>
      <c r="AE356" t="str">
        <f>IF(G356&lt;=2,"Short Stay", IF(G356&lt;=7,"Normal Stay", "Long Stay"))</f>
        <v>Long Stay</v>
      </c>
      <c r="AF356" t="str">
        <f>IF(F356&gt;60000,"Expensive",IF(F356&gt;30000,"Moderate","Affordable"))</f>
        <v>Affordable</v>
      </c>
      <c r="AG356" t="str">
        <f>IF(J356&gt;=4.5,"Excellent",IF(J356&gt;=3.5,"Good",IF(J356&gt;=2.5,"Average","Poor")))</f>
        <v>Good</v>
      </c>
      <c r="AH356" t="str">
        <f>IF(OR(TEXT(N356,"dddd")="Saturday",TEXT(N356,"dddd")="Sunday"),"Weekend","Weekday")</f>
        <v>Weekend</v>
      </c>
    </row>
    <row r="357" spans="1:34" x14ac:dyDescent="0.3">
      <c r="A357">
        <v>362</v>
      </c>
      <c r="B357">
        <v>65</v>
      </c>
      <c r="C357" t="s">
        <v>35</v>
      </c>
      <c r="D357" t="s">
        <v>36</v>
      </c>
      <c r="E357" t="s">
        <v>37</v>
      </c>
      <c r="F357">
        <v>2000</v>
      </c>
      <c r="G357">
        <v>27</v>
      </c>
      <c r="H357" t="s">
        <v>24</v>
      </c>
      <c r="I357" t="s">
        <v>39</v>
      </c>
      <c r="J357">
        <v>3</v>
      </c>
      <c r="K357" t="s">
        <v>175</v>
      </c>
      <c r="L357" t="s">
        <v>837</v>
      </c>
      <c r="M357" t="s">
        <v>838</v>
      </c>
      <c r="N357" s="2">
        <v>46013</v>
      </c>
      <c r="O357" s="2">
        <v>46040</v>
      </c>
      <c r="P357" t="s">
        <v>29</v>
      </c>
      <c r="Q357" t="s">
        <v>52</v>
      </c>
      <c r="R357" t="s">
        <v>45</v>
      </c>
      <c r="S357" t="s">
        <v>53</v>
      </c>
      <c r="T357" t="s">
        <v>33</v>
      </c>
      <c r="U357" t="s">
        <v>78</v>
      </c>
      <c r="V357" t="str">
        <f>IF(B357&lt;=18,"Children",IF(B357&lt;=35,"Young adult",IF(B357&lt;=60,"Adult", "Senior Citizen")))</f>
        <v>Senior Citizen</v>
      </c>
      <c r="W357" t="str">
        <f t="shared" si="35"/>
        <v>Dec</v>
      </c>
      <c r="X357">
        <f t="shared" si="36"/>
        <v>12</v>
      </c>
      <c r="Y357" t="str">
        <f t="shared" si="37"/>
        <v>Q4</v>
      </c>
      <c r="Z357">
        <f t="shared" si="38"/>
        <v>2025</v>
      </c>
      <c r="AA357" t="str">
        <f t="shared" si="39"/>
        <v>Monday</v>
      </c>
      <c r="AB357">
        <f t="shared" si="40"/>
        <v>-27</v>
      </c>
      <c r="AC357" t="str">
        <f>IF(OR(D357="Heart Disease",D357="Cancer",D357="Stroke"),"High",IF(OR(D357="Diabetes",D357="Asthma"),"Medium","Low"))</f>
        <v>Medium</v>
      </c>
      <c r="AD357" t="str">
        <f t="shared" si="41"/>
        <v>No</v>
      </c>
      <c r="AE357" t="str">
        <f>IF(G357&lt;=2,"Short Stay", IF(G357&lt;=7,"Normal Stay", "Long Stay"))</f>
        <v>Long Stay</v>
      </c>
      <c r="AF357" t="str">
        <f>IF(F357&gt;60000,"Expensive",IF(F357&gt;30000,"Moderate","Affordable"))</f>
        <v>Affordable</v>
      </c>
      <c r="AG357" t="str">
        <f>IF(J357&gt;=4.5,"Excellent",IF(J357&gt;=3.5,"Good",IF(J357&gt;=2.5,"Average","Poor")))</f>
        <v>Average</v>
      </c>
      <c r="AH357" t="str">
        <f>IF(OR(TEXT(N357,"dddd")="Saturday",TEXT(N357,"dddd")="Sunday"),"Weekend","Weekday")</f>
        <v>Weekday</v>
      </c>
    </row>
    <row r="358" spans="1:34" x14ac:dyDescent="0.3">
      <c r="A358">
        <v>363</v>
      </c>
      <c r="B358">
        <v>30</v>
      </c>
      <c r="C358" t="s">
        <v>21</v>
      </c>
      <c r="D358" t="s">
        <v>47</v>
      </c>
      <c r="E358" t="s">
        <v>48</v>
      </c>
      <c r="F358">
        <v>500</v>
      </c>
      <c r="G358">
        <v>25</v>
      </c>
      <c r="H358" t="s">
        <v>24</v>
      </c>
      <c r="I358" t="s">
        <v>25</v>
      </c>
      <c r="J358">
        <v>5</v>
      </c>
      <c r="K358" t="s">
        <v>187</v>
      </c>
      <c r="L358" t="s">
        <v>839</v>
      </c>
      <c r="M358" t="s">
        <v>840</v>
      </c>
      <c r="N358" s="2">
        <v>46014</v>
      </c>
      <c r="O358" s="2">
        <v>46039</v>
      </c>
      <c r="P358" t="s">
        <v>29</v>
      </c>
      <c r="Q358" t="s">
        <v>71</v>
      </c>
      <c r="R358" t="s">
        <v>45</v>
      </c>
      <c r="S358" t="s">
        <v>84</v>
      </c>
      <c r="T358" t="s">
        <v>33</v>
      </c>
      <c r="U358" t="s">
        <v>78</v>
      </c>
      <c r="V358" t="str">
        <f>IF(B358&lt;=18,"Children",IF(B358&lt;=35,"Young adult",IF(B358&lt;=60,"Adult", "Senior Citizen")))</f>
        <v>Young adult</v>
      </c>
      <c r="W358" t="str">
        <f t="shared" si="35"/>
        <v>Dec</v>
      </c>
      <c r="X358">
        <f t="shared" si="36"/>
        <v>12</v>
      </c>
      <c r="Y358" t="str">
        <f t="shared" si="37"/>
        <v>Q4</v>
      </c>
      <c r="Z358">
        <f t="shared" si="38"/>
        <v>2025</v>
      </c>
      <c r="AA358" t="str">
        <f t="shared" si="39"/>
        <v>Tuesday</v>
      </c>
      <c r="AB358">
        <f t="shared" si="40"/>
        <v>-25</v>
      </c>
      <c r="AC358" t="str">
        <f>IF(OR(D358="Heart Disease",D358="Cancer",D358="Stroke"),"High",IF(OR(D358="Diabetes",D358="Asthma"),"Medium","Low"))</f>
        <v>Low</v>
      </c>
      <c r="AD358" t="str">
        <f t="shared" si="41"/>
        <v>No</v>
      </c>
      <c r="AE358" t="str">
        <f>IF(G358&lt;=2,"Short Stay", IF(G358&lt;=7,"Normal Stay", "Long Stay"))</f>
        <v>Long Stay</v>
      </c>
      <c r="AF358" t="str">
        <f>IF(F358&gt;60000,"Expensive",IF(F358&gt;30000,"Moderate","Affordable"))</f>
        <v>Affordable</v>
      </c>
      <c r="AG358" t="str">
        <f>IF(J358&gt;=4.5,"Excellent",IF(J358&gt;=3.5,"Good",IF(J358&gt;=2.5,"Average","Poor")))</f>
        <v>Excellent</v>
      </c>
      <c r="AH358" t="str">
        <f>IF(OR(TEXT(N358,"dddd")="Saturday",TEXT(N358,"dddd")="Sunday"),"Weekend","Weekday")</f>
        <v>Weekday</v>
      </c>
    </row>
    <row r="359" spans="1:34" x14ac:dyDescent="0.3">
      <c r="A359">
        <v>364</v>
      </c>
      <c r="B359">
        <v>70</v>
      </c>
      <c r="C359" t="s">
        <v>35</v>
      </c>
      <c r="D359" t="s">
        <v>54</v>
      </c>
      <c r="E359" t="s">
        <v>55</v>
      </c>
      <c r="F359">
        <v>10000</v>
      </c>
      <c r="G359">
        <v>31</v>
      </c>
      <c r="H359" t="s">
        <v>38</v>
      </c>
      <c r="I359" t="s">
        <v>39</v>
      </c>
      <c r="J359">
        <v>2</v>
      </c>
      <c r="K359" t="s">
        <v>250</v>
      </c>
      <c r="L359" t="s">
        <v>841</v>
      </c>
      <c r="M359" t="s">
        <v>842</v>
      </c>
      <c r="N359" s="2">
        <v>46015</v>
      </c>
      <c r="O359" s="2">
        <v>46046</v>
      </c>
      <c r="P359" t="s">
        <v>43</v>
      </c>
      <c r="Q359" t="s">
        <v>139</v>
      </c>
      <c r="R359" t="s">
        <v>59</v>
      </c>
      <c r="S359" t="s">
        <v>110</v>
      </c>
      <c r="T359" t="s">
        <v>33</v>
      </c>
      <c r="U359" t="s">
        <v>34</v>
      </c>
      <c r="V359" t="str">
        <f>IF(B359&lt;=18,"Children",IF(B359&lt;=35,"Young adult",IF(B359&lt;=60,"Adult", "Senior Citizen")))</f>
        <v>Senior Citizen</v>
      </c>
      <c r="W359" t="str">
        <f t="shared" si="35"/>
        <v>Dec</v>
      </c>
      <c r="X359">
        <f t="shared" si="36"/>
        <v>12</v>
      </c>
      <c r="Y359" t="str">
        <f t="shared" si="37"/>
        <v>Q4</v>
      </c>
      <c r="Z359">
        <f t="shared" si="38"/>
        <v>2025</v>
      </c>
      <c r="AA359" t="str">
        <f t="shared" si="39"/>
        <v>Wednesday</v>
      </c>
      <c r="AB359">
        <f t="shared" si="40"/>
        <v>-31</v>
      </c>
      <c r="AC359" t="str">
        <f>IF(OR(D359="Heart Disease",D359="Cancer",D359="Stroke"),"High",IF(OR(D359="Diabetes",D359="Asthma"),"Medium","Low"))</f>
        <v>High</v>
      </c>
      <c r="AD359" t="str">
        <f t="shared" si="41"/>
        <v>Yes</v>
      </c>
      <c r="AE359" t="str">
        <f>IF(G359&lt;=2,"Short Stay", IF(G359&lt;=7,"Normal Stay", "Long Stay"))</f>
        <v>Long Stay</v>
      </c>
      <c r="AF359" t="str">
        <f>IF(F359&gt;60000,"Expensive",IF(F359&gt;30000,"Moderate","Affordable"))</f>
        <v>Affordable</v>
      </c>
      <c r="AG359" t="str">
        <f>IF(J359&gt;=4.5,"Excellent",IF(J359&gt;=3.5,"Good",IF(J359&gt;=2.5,"Average","Poor")))</f>
        <v>Poor</v>
      </c>
      <c r="AH359" t="str">
        <f>IF(OR(TEXT(N359,"dddd")="Saturday",TEXT(N359,"dddd")="Sunday"),"Weekend","Weekday")</f>
        <v>Weekday</v>
      </c>
    </row>
    <row r="360" spans="1:34" x14ac:dyDescent="0.3">
      <c r="A360">
        <v>365</v>
      </c>
      <c r="B360">
        <v>55</v>
      </c>
      <c r="C360" t="s">
        <v>21</v>
      </c>
      <c r="D360" t="s">
        <v>60</v>
      </c>
      <c r="E360" t="s">
        <v>61</v>
      </c>
      <c r="F360">
        <v>25000</v>
      </c>
      <c r="G360">
        <v>34</v>
      </c>
      <c r="H360" t="s">
        <v>24</v>
      </c>
      <c r="I360" t="s">
        <v>25</v>
      </c>
      <c r="J360">
        <v>4</v>
      </c>
      <c r="K360" t="s">
        <v>62</v>
      </c>
      <c r="L360" t="s">
        <v>843</v>
      </c>
      <c r="M360" t="s">
        <v>844</v>
      </c>
      <c r="N360" s="2">
        <v>46016</v>
      </c>
      <c r="O360" s="2">
        <v>46050</v>
      </c>
      <c r="P360" t="s">
        <v>43</v>
      </c>
      <c r="Q360" t="s">
        <v>30</v>
      </c>
      <c r="R360" t="s">
        <v>65</v>
      </c>
      <c r="S360" t="s">
        <v>53</v>
      </c>
      <c r="T360" t="s">
        <v>33</v>
      </c>
      <c r="U360" t="s">
        <v>78</v>
      </c>
      <c r="V360" t="str">
        <f>IF(B360&lt;=18,"Children",IF(B360&lt;=35,"Young adult",IF(B360&lt;=60,"Adult", "Senior Citizen")))</f>
        <v>Adult</v>
      </c>
      <c r="W360" t="str">
        <f t="shared" si="35"/>
        <v>Dec</v>
      </c>
      <c r="X360">
        <f t="shared" si="36"/>
        <v>12</v>
      </c>
      <c r="Y360" t="str">
        <f t="shared" si="37"/>
        <v>Q4</v>
      </c>
      <c r="Z360">
        <f t="shared" si="38"/>
        <v>2025</v>
      </c>
      <c r="AA360" t="str">
        <f t="shared" si="39"/>
        <v>Thursday</v>
      </c>
      <c r="AB360">
        <f t="shared" si="40"/>
        <v>-34</v>
      </c>
      <c r="AC360" t="str">
        <f>IF(OR(D360="Heart Disease",D360="Cancer",D360="Stroke"),"High",IF(OR(D360="Diabetes",D360="Asthma"),"Medium","Low"))</f>
        <v>High</v>
      </c>
      <c r="AD360" t="str">
        <f t="shared" si="41"/>
        <v>Yes</v>
      </c>
      <c r="AE360" t="str">
        <f>IF(G360&lt;=2,"Short Stay", IF(G360&lt;=7,"Normal Stay", "Long Stay"))</f>
        <v>Long Stay</v>
      </c>
      <c r="AF360" t="str">
        <f>IF(F360&gt;60000,"Expensive",IF(F360&gt;30000,"Moderate","Affordable"))</f>
        <v>Affordable</v>
      </c>
      <c r="AG360" t="str">
        <f>IF(J360&gt;=4.5,"Excellent",IF(J360&gt;=3.5,"Good",IF(J360&gt;=2.5,"Average","Poor")))</f>
        <v>Good</v>
      </c>
      <c r="AH360" t="str">
        <f>IF(OR(TEXT(N360,"dddd")="Saturday",TEXT(N360,"dddd")="Sunday"),"Weekend","Weekday")</f>
        <v>Weekday</v>
      </c>
    </row>
    <row r="361" spans="1:34" x14ac:dyDescent="0.3">
      <c r="A361">
        <v>366</v>
      </c>
      <c r="B361">
        <v>68</v>
      </c>
      <c r="C361" t="s">
        <v>35</v>
      </c>
      <c r="D361" t="s">
        <v>66</v>
      </c>
      <c r="E361" t="s">
        <v>67</v>
      </c>
      <c r="F361">
        <v>1000</v>
      </c>
      <c r="G361">
        <v>26</v>
      </c>
      <c r="H361" t="s">
        <v>24</v>
      </c>
      <c r="I361" t="s">
        <v>39</v>
      </c>
      <c r="J361">
        <v>4</v>
      </c>
      <c r="K361" t="s">
        <v>317</v>
      </c>
      <c r="L361" t="s">
        <v>845</v>
      </c>
      <c r="M361" t="s">
        <v>846</v>
      </c>
      <c r="N361" s="2">
        <v>46017</v>
      </c>
      <c r="O361" s="2">
        <v>46043</v>
      </c>
      <c r="P361" t="s">
        <v>43</v>
      </c>
      <c r="Q361" t="s">
        <v>71</v>
      </c>
      <c r="R361" t="s">
        <v>45</v>
      </c>
      <c r="S361" t="s">
        <v>84</v>
      </c>
      <c r="T361" t="s">
        <v>33</v>
      </c>
      <c r="U361" t="s">
        <v>34</v>
      </c>
      <c r="V361" t="str">
        <f>IF(B361&lt;=18,"Children",IF(B361&lt;=35,"Young adult",IF(B361&lt;=60,"Adult", "Senior Citizen")))</f>
        <v>Senior Citizen</v>
      </c>
      <c r="W361" t="str">
        <f t="shared" si="35"/>
        <v>Dec</v>
      </c>
      <c r="X361">
        <f t="shared" si="36"/>
        <v>12</v>
      </c>
      <c r="Y361" t="str">
        <f t="shared" si="37"/>
        <v>Q4</v>
      </c>
      <c r="Z361">
        <f t="shared" si="38"/>
        <v>2025</v>
      </c>
      <c r="AA361" t="str">
        <f t="shared" si="39"/>
        <v>Friday</v>
      </c>
      <c r="AB361">
        <f t="shared" si="40"/>
        <v>-26</v>
      </c>
      <c r="AC361" t="str">
        <f>IF(OR(D361="Heart Disease",D361="Cancer",D361="Stroke"),"High",IF(OR(D361="Diabetes",D361="Asthma"),"Medium","Low"))</f>
        <v>Low</v>
      </c>
      <c r="AD361" t="str">
        <f t="shared" si="41"/>
        <v>No</v>
      </c>
      <c r="AE361" t="str">
        <f>IF(G361&lt;=2,"Short Stay", IF(G361&lt;=7,"Normal Stay", "Long Stay"))</f>
        <v>Long Stay</v>
      </c>
      <c r="AF361" t="str">
        <f>IF(F361&gt;60000,"Expensive",IF(F361&gt;30000,"Moderate","Affordable"))</f>
        <v>Affordable</v>
      </c>
      <c r="AG361" t="str">
        <f>IF(J361&gt;=4.5,"Excellent",IF(J361&gt;=3.5,"Good",IF(J361&gt;=2.5,"Average","Poor")))</f>
        <v>Good</v>
      </c>
      <c r="AH361" t="str">
        <f>IF(OR(TEXT(N361,"dddd")="Saturday",TEXT(N361,"dddd")="Sunday"),"Weekend","Weekday")</f>
        <v>Weekday</v>
      </c>
    </row>
    <row r="362" spans="1:34" x14ac:dyDescent="0.3">
      <c r="A362">
        <v>367</v>
      </c>
      <c r="B362">
        <v>45</v>
      </c>
      <c r="C362" t="s">
        <v>21</v>
      </c>
      <c r="D362" t="s">
        <v>73</v>
      </c>
      <c r="E362" t="s">
        <v>74</v>
      </c>
      <c r="F362">
        <v>8000</v>
      </c>
      <c r="G362">
        <v>28</v>
      </c>
      <c r="H362" t="s">
        <v>24</v>
      </c>
      <c r="I362" t="s">
        <v>25</v>
      </c>
      <c r="J362">
        <v>3</v>
      </c>
      <c r="K362" t="s">
        <v>107</v>
      </c>
      <c r="L362" t="s">
        <v>847</v>
      </c>
      <c r="M362" t="s">
        <v>848</v>
      </c>
      <c r="N362" s="2">
        <v>46018</v>
      </c>
      <c r="O362" s="2">
        <v>46046</v>
      </c>
      <c r="P362" t="s">
        <v>43</v>
      </c>
      <c r="Q362" t="s">
        <v>139</v>
      </c>
      <c r="R362" t="s">
        <v>45</v>
      </c>
      <c r="S362" t="s">
        <v>84</v>
      </c>
      <c r="T362" t="s">
        <v>33</v>
      </c>
      <c r="U362" t="s">
        <v>46</v>
      </c>
      <c r="V362" t="str">
        <f>IF(B362&lt;=18,"Children",IF(B362&lt;=35,"Young adult",IF(B362&lt;=60,"Adult", "Senior Citizen")))</f>
        <v>Adult</v>
      </c>
      <c r="W362" t="str">
        <f t="shared" si="35"/>
        <v>Dec</v>
      </c>
      <c r="X362">
        <f t="shared" si="36"/>
        <v>12</v>
      </c>
      <c r="Y362" t="str">
        <f t="shared" si="37"/>
        <v>Q4</v>
      </c>
      <c r="Z362">
        <f t="shared" si="38"/>
        <v>2025</v>
      </c>
      <c r="AA362" t="str">
        <f t="shared" si="39"/>
        <v>Saturday</v>
      </c>
      <c r="AB362">
        <f t="shared" si="40"/>
        <v>-28</v>
      </c>
      <c r="AC362" t="str">
        <f>IF(OR(D362="Heart Disease",D362="Cancer",D362="Stroke"),"High",IF(OR(D362="Diabetes",D362="Asthma"),"Medium","Low"))</f>
        <v>Low</v>
      </c>
      <c r="AD362" t="str">
        <f t="shared" si="41"/>
        <v>No</v>
      </c>
      <c r="AE362" t="str">
        <f>IF(G362&lt;=2,"Short Stay", IF(G362&lt;=7,"Normal Stay", "Long Stay"))</f>
        <v>Long Stay</v>
      </c>
      <c r="AF362" t="str">
        <f>IF(F362&gt;60000,"Expensive",IF(F362&gt;30000,"Moderate","Affordable"))</f>
        <v>Affordable</v>
      </c>
      <c r="AG362" t="str">
        <f>IF(J362&gt;=4.5,"Excellent",IF(J362&gt;=3.5,"Good",IF(J362&gt;=2.5,"Average","Poor")))</f>
        <v>Average</v>
      </c>
      <c r="AH362" t="str">
        <f>IF(OR(TEXT(N362,"dddd")="Saturday",TEXT(N362,"dddd")="Sunday"),"Weekend","Weekday")</f>
        <v>Weekend</v>
      </c>
    </row>
    <row r="363" spans="1:34" x14ac:dyDescent="0.3">
      <c r="A363">
        <v>368</v>
      </c>
      <c r="B363">
        <v>40</v>
      </c>
      <c r="C363" t="s">
        <v>35</v>
      </c>
      <c r="D363" t="s">
        <v>79</v>
      </c>
      <c r="E363" t="s">
        <v>80</v>
      </c>
      <c r="F363">
        <v>3000</v>
      </c>
      <c r="G363">
        <v>30</v>
      </c>
      <c r="H363" t="s">
        <v>24</v>
      </c>
      <c r="I363" t="s">
        <v>25</v>
      </c>
      <c r="J363">
        <v>4</v>
      </c>
      <c r="K363" t="s">
        <v>125</v>
      </c>
      <c r="L363" t="s">
        <v>849</v>
      </c>
      <c r="M363" t="s">
        <v>850</v>
      </c>
      <c r="N363" s="2">
        <v>46019</v>
      </c>
      <c r="O363" s="2">
        <v>46049</v>
      </c>
      <c r="P363" t="s">
        <v>29</v>
      </c>
      <c r="Q363" t="s">
        <v>30</v>
      </c>
      <c r="R363" t="s">
        <v>45</v>
      </c>
      <c r="S363" t="s">
        <v>72</v>
      </c>
      <c r="T363" t="s">
        <v>33</v>
      </c>
      <c r="U363" t="s">
        <v>78</v>
      </c>
      <c r="V363" t="str">
        <f>IF(B363&lt;=18,"Children",IF(B363&lt;=35,"Young adult",IF(B363&lt;=60,"Adult", "Senior Citizen")))</f>
        <v>Adult</v>
      </c>
      <c r="W363" t="str">
        <f t="shared" si="35"/>
        <v>Dec</v>
      </c>
      <c r="X363">
        <f t="shared" si="36"/>
        <v>12</v>
      </c>
      <c r="Y363" t="str">
        <f t="shared" si="37"/>
        <v>Q4</v>
      </c>
      <c r="Z363">
        <f t="shared" si="38"/>
        <v>2025</v>
      </c>
      <c r="AA363" t="str">
        <f t="shared" si="39"/>
        <v>Sunday</v>
      </c>
      <c r="AB363">
        <f t="shared" si="40"/>
        <v>-30</v>
      </c>
      <c r="AC363" t="str">
        <f>IF(OR(D363="Heart Disease",D363="Cancer",D363="Stroke"),"High",IF(OR(D363="Diabetes",D363="Asthma"),"Medium","Low"))</f>
        <v>Low</v>
      </c>
      <c r="AD363" t="str">
        <f t="shared" si="41"/>
        <v>No</v>
      </c>
      <c r="AE363" t="str">
        <f>IF(G363&lt;=2,"Short Stay", IF(G363&lt;=7,"Normal Stay", "Long Stay"))</f>
        <v>Long Stay</v>
      </c>
      <c r="AF363" t="str">
        <f>IF(F363&gt;60000,"Expensive",IF(F363&gt;30000,"Moderate","Affordable"))</f>
        <v>Affordable</v>
      </c>
      <c r="AG363" t="str">
        <f>IF(J363&gt;=4.5,"Excellent",IF(J363&gt;=3.5,"Good",IF(J363&gt;=2.5,"Average","Poor")))</f>
        <v>Good</v>
      </c>
      <c r="AH363" t="str">
        <f>IF(OR(TEXT(N363,"dddd")="Saturday",TEXT(N363,"dddd")="Sunday"),"Weekend","Weekday")</f>
        <v>Weekend</v>
      </c>
    </row>
    <row r="364" spans="1:34" x14ac:dyDescent="0.3">
      <c r="A364">
        <v>369</v>
      </c>
      <c r="B364">
        <v>78</v>
      </c>
      <c r="C364" t="s">
        <v>21</v>
      </c>
      <c r="D364" t="s">
        <v>85</v>
      </c>
      <c r="E364" t="s">
        <v>86</v>
      </c>
      <c r="F364">
        <v>18000</v>
      </c>
      <c r="G364">
        <v>32</v>
      </c>
      <c r="H364" t="s">
        <v>38</v>
      </c>
      <c r="I364" t="s">
        <v>39</v>
      </c>
      <c r="J364">
        <v>2</v>
      </c>
      <c r="K364" t="s">
        <v>197</v>
      </c>
      <c r="L364" t="s">
        <v>851</v>
      </c>
      <c r="M364" t="s">
        <v>852</v>
      </c>
      <c r="N364" s="2">
        <v>46020</v>
      </c>
      <c r="O364" s="2">
        <v>46052</v>
      </c>
      <c r="P364" t="s">
        <v>29</v>
      </c>
      <c r="Q364" t="s">
        <v>71</v>
      </c>
      <c r="R364" t="s">
        <v>45</v>
      </c>
      <c r="S364" t="s">
        <v>32</v>
      </c>
      <c r="T364" t="s">
        <v>33</v>
      </c>
      <c r="U364" t="s">
        <v>78</v>
      </c>
      <c r="V364" t="str">
        <f>IF(B364&lt;=18,"Children",IF(B364&lt;=35,"Young adult",IF(B364&lt;=60,"Adult", "Senior Citizen")))</f>
        <v>Senior Citizen</v>
      </c>
      <c r="W364" t="str">
        <f t="shared" si="35"/>
        <v>Dec</v>
      </c>
      <c r="X364">
        <f t="shared" si="36"/>
        <v>12</v>
      </c>
      <c r="Y364" t="str">
        <f t="shared" si="37"/>
        <v>Q4</v>
      </c>
      <c r="Z364">
        <f t="shared" si="38"/>
        <v>2025</v>
      </c>
      <c r="AA364" t="str">
        <f t="shared" si="39"/>
        <v>Monday</v>
      </c>
      <c r="AB364">
        <f t="shared" si="40"/>
        <v>-32</v>
      </c>
      <c r="AC364" t="str">
        <f>IF(OR(D364="Heart Disease",D364="Cancer",D364="Stroke"),"High",IF(OR(D364="Diabetes",D364="Asthma"),"Medium","Low"))</f>
        <v>Low</v>
      </c>
      <c r="AD364" t="str">
        <f t="shared" si="41"/>
        <v>No</v>
      </c>
      <c r="AE364" t="str">
        <f>IF(G364&lt;=2,"Short Stay", IF(G364&lt;=7,"Normal Stay", "Long Stay"))</f>
        <v>Long Stay</v>
      </c>
      <c r="AF364" t="str">
        <f>IF(F364&gt;60000,"Expensive",IF(F364&gt;30000,"Moderate","Affordable"))</f>
        <v>Affordable</v>
      </c>
      <c r="AG364" t="str">
        <f>IF(J364&gt;=4.5,"Excellent",IF(J364&gt;=3.5,"Good",IF(J364&gt;=2.5,"Average","Poor")))</f>
        <v>Poor</v>
      </c>
      <c r="AH364" t="str">
        <f>IF(OR(TEXT(N364,"dddd")="Saturday",TEXT(N364,"dddd")="Sunday"),"Weekend","Weekday")</f>
        <v>Weekday</v>
      </c>
    </row>
    <row r="365" spans="1:34" x14ac:dyDescent="0.3">
      <c r="A365">
        <v>370</v>
      </c>
      <c r="B365">
        <v>25</v>
      </c>
      <c r="C365" t="s">
        <v>35</v>
      </c>
      <c r="D365" t="s">
        <v>89</v>
      </c>
      <c r="E365" t="s">
        <v>90</v>
      </c>
      <c r="F365">
        <v>100</v>
      </c>
      <c r="G365">
        <v>25</v>
      </c>
      <c r="H365" t="s">
        <v>24</v>
      </c>
      <c r="I365" t="s">
        <v>25</v>
      </c>
      <c r="J365">
        <v>5</v>
      </c>
      <c r="K365" t="s">
        <v>68</v>
      </c>
      <c r="L365" t="s">
        <v>853</v>
      </c>
      <c r="M365" t="s">
        <v>854</v>
      </c>
      <c r="N365" s="2">
        <v>46021</v>
      </c>
      <c r="O365" s="2">
        <v>46046</v>
      </c>
      <c r="P365" t="s">
        <v>29</v>
      </c>
      <c r="Q365" t="s">
        <v>30</v>
      </c>
      <c r="R365" t="s">
        <v>45</v>
      </c>
      <c r="S365" t="s">
        <v>72</v>
      </c>
      <c r="T365" t="s">
        <v>33</v>
      </c>
      <c r="U365" t="s">
        <v>104</v>
      </c>
      <c r="V365" t="str">
        <f>IF(B365&lt;=18,"Children",IF(B365&lt;=35,"Young adult",IF(B365&lt;=60,"Adult", "Senior Citizen")))</f>
        <v>Young adult</v>
      </c>
      <c r="W365" t="str">
        <f t="shared" si="35"/>
        <v>Dec</v>
      </c>
      <c r="X365">
        <f t="shared" si="36"/>
        <v>12</v>
      </c>
      <c r="Y365" t="str">
        <f t="shared" si="37"/>
        <v>Q4</v>
      </c>
      <c r="Z365">
        <f t="shared" si="38"/>
        <v>2025</v>
      </c>
      <c r="AA365" t="str">
        <f t="shared" si="39"/>
        <v>Tuesday</v>
      </c>
      <c r="AB365">
        <f t="shared" si="40"/>
        <v>-25</v>
      </c>
      <c r="AC365" t="str">
        <f>IF(OR(D365="Heart Disease",D365="Cancer",D365="Stroke"),"High",IF(OR(D365="Diabetes",D365="Asthma"),"Medium","Low"))</f>
        <v>Low</v>
      </c>
      <c r="AD365" t="str">
        <f t="shared" si="41"/>
        <v>No</v>
      </c>
      <c r="AE365" t="str">
        <f>IF(G365&lt;=2,"Short Stay", IF(G365&lt;=7,"Normal Stay", "Long Stay"))</f>
        <v>Long Stay</v>
      </c>
      <c r="AF365" t="str">
        <f>IF(F365&gt;60000,"Expensive",IF(F365&gt;30000,"Moderate","Affordable"))</f>
        <v>Affordable</v>
      </c>
      <c r="AG365" t="str">
        <f>IF(J365&gt;=4.5,"Excellent",IF(J365&gt;=3.5,"Good",IF(J365&gt;=2.5,"Average","Poor")))</f>
        <v>Excellent</v>
      </c>
      <c r="AH365" t="str">
        <f>IF(OR(TEXT(N365,"dddd")="Saturday",TEXT(N365,"dddd")="Sunday"),"Weekend","Weekday")</f>
        <v>Weekday</v>
      </c>
    </row>
    <row r="366" spans="1:34" x14ac:dyDescent="0.3">
      <c r="A366">
        <v>371</v>
      </c>
      <c r="B366">
        <v>52</v>
      </c>
      <c r="C366" t="s">
        <v>21</v>
      </c>
      <c r="D366" t="s">
        <v>94</v>
      </c>
      <c r="E366" t="s">
        <v>95</v>
      </c>
      <c r="F366">
        <v>800</v>
      </c>
      <c r="G366">
        <v>26</v>
      </c>
      <c r="H366" t="s">
        <v>24</v>
      </c>
      <c r="I366" t="s">
        <v>39</v>
      </c>
      <c r="J366">
        <v>4</v>
      </c>
      <c r="K366" t="s">
        <v>336</v>
      </c>
      <c r="L366" t="s">
        <v>855</v>
      </c>
      <c r="M366" t="s">
        <v>856</v>
      </c>
      <c r="N366" s="2">
        <v>46022</v>
      </c>
      <c r="O366" s="2">
        <v>46048</v>
      </c>
      <c r="P366" t="s">
        <v>29</v>
      </c>
      <c r="Q366" t="s">
        <v>44</v>
      </c>
      <c r="R366" t="s">
        <v>45</v>
      </c>
      <c r="S366" t="s">
        <v>110</v>
      </c>
      <c r="T366" t="s">
        <v>33</v>
      </c>
      <c r="U366" t="s">
        <v>46</v>
      </c>
      <c r="V366" t="str">
        <f>IF(B366&lt;=18,"Children",IF(B366&lt;=35,"Young adult",IF(B366&lt;=60,"Adult", "Senior Citizen")))</f>
        <v>Adult</v>
      </c>
      <c r="W366" t="str">
        <f t="shared" si="35"/>
        <v>Dec</v>
      </c>
      <c r="X366">
        <f t="shared" si="36"/>
        <v>12</v>
      </c>
      <c r="Y366" t="str">
        <f t="shared" si="37"/>
        <v>Q4</v>
      </c>
      <c r="Z366">
        <f t="shared" si="38"/>
        <v>2025</v>
      </c>
      <c r="AA366" t="str">
        <f t="shared" si="39"/>
        <v>Wednesday</v>
      </c>
      <c r="AB366">
        <f t="shared" si="40"/>
        <v>-26</v>
      </c>
      <c r="AC366" t="str">
        <f>IF(OR(D366="Heart Disease",D366="Cancer",D366="Stroke"),"High",IF(OR(D366="Diabetes",D366="Asthma"),"Medium","Low"))</f>
        <v>Low</v>
      </c>
      <c r="AD366" t="str">
        <f t="shared" si="41"/>
        <v>No</v>
      </c>
      <c r="AE366" t="str">
        <f>IF(G366&lt;=2,"Short Stay", IF(G366&lt;=7,"Normal Stay", "Long Stay"))</f>
        <v>Long Stay</v>
      </c>
      <c r="AF366" t="str">
        <f>IF(F366&gt;60000,"Expensive",IF(F366&gt;30000,"Moderate","Affordable"))</f>
        <v>Affordable</v>
      </c>
      <c r="AG366" t="str">
        <f>IF(J366&gt;=4.5,"Excellent",IF(J366&gt;=3.5,"Good",IF(J366&gt;=2.5,"Average","Poor")))</f>
        <v>Good</v>
      </c>
      <c r="AH366" t="str">
        <f>IF(OR(TEXT(N366,"dddd")="Saturday",TEXT(N366,"dddd")="Sunday"),"Weekend","Weekday")</f>
        <v>Weekday</v>
      </c>
    </row>
    <row r="367" spans="1:34" x14ac:dyDescent="0.3">
      <c r="A367">
        <v>372</v>
      </c>
      <c r="B367">
        <v>58</v>
      </c>
      <c r="C367" t="s">
        <v>35</v>
      </c>
      <c r="D367" t="s">
        <v>99</v>
      </c>
      <c r="E367" t="s">
        <v>100</v>
      </c>
      <c r="F367">
        <v>20000</v>
      </c>
      <c r="G367">
        <v>33</v>
      </c>
      <c r="H367" t="s">
        <v>24</v>
      </c>
      <c r="I367" t="s">
        <v>25</v>
      </c>
      <c r="J367">
        <v>3</v>
      </c>
      <c r="K367" t="s">
        <v>157</v>
      </c>
      <c r="L367" t="s">
        <v>857</v>
      </c>
      <c r="M367" t="s">
        <v>858</v>
      </c>
      <c r="N367" s="2">
        <v>46023</v>
      </c>
      <c r="O367" s="2">
        <v>46056</v>
      </c>
      <c r="P367" t="s">
        <v>29</v>
      </c>
      <c r="Q367" t="s">
        <v>139</v>
      </c>
      <c r="R367" t="s">
        <v>45</v>
      </c>
      <c r="S367" t="s">
        <v>77</v>
      </c>
      <c r="T367" t="s">
        <v>33</v>
      </c>
      <c r="U367" t="s">
        <v>46</v>
      </c>
      <c r="V367" t="str">
        <f>IF(B367&lt;=18,"Children",IF(B367&lt;=35,"Young adult",IF(B367&lt;=60,"Adult", "Senior Citizen")))</f>
        <v>Adult</v>
      </c>
      <c r="W367" t="str">
        <f t="shared" si="35"/>
        <v>Jan</v>
      </c>
      <c r="X367">
        <f t="shared" si="36"/>
        <v>1</v>
      </c>
      <c r="Y367" t="str">
        <f t="shared" si="37"/>
        <v>Q1</v>
      </c>
      <c r="Z367">
        <f t="shared" si="38"/>
        <v>2026</v>
      </c>
      <c r="AA367" t="str">
        <f t="shared" si="39"/>
        <v>Thursday</v>
      </c>
      <c r="AB367">
        <f t="shared" si="40"/>
        <v>-33</v>
      </c>
      <c r="AC367" t="str">
        <f>IF(OR(D367="Heart Disease",D367="Cancer",D367="Stroke"),"High",IF(OR(D367="Diabetes",D367="Asthma"),"Medium","Low"))</f>
        <v>Low</v>
      </c>
      <c r="AD367" t="str">
        <f t="shared" si="41"/>
        <v>No</v>
      </c>
      <c r="AE367" t="str">
        <f>IF(G367&lt;=2,"Short Stay", IF(G367&lt;=7,"Normal Stay", "Long Stay"))</f>
        <v>Long Stay</v>
      </c>
      <c r="AF367" t="str">
        <f>IF(F367&gt;60000,"Expensive",IF(F367&gt;30000,"Moderate","Affordable"))</f>
        <v>Affordable</v>
      </c>
      <c r="AG367" t="str">
        <f>IF(J367&gt;=4.5,"Excellent",IF(J367&gt;=3.5,"Good",IF(J367&gt;=2.5,"Average","Poor")))</f>
        <v>Average</v>
      </c>
      <c r="AH367" t="str">
        <f>IF(OR(TEXT(N367,"dddd")="Saturday",TEXT(N367,"dddd")="Sunday"),"Weekend","Weekday")</f>
        <v>Weekday</v>
      </c>
    </row>
    <row r="368" spans="1:34" x14ac:dyDescent="0.3">
      <c r="A368">
        <v>373</v>
      </c>
      <c r="B368">
        <v>32</v>
      </c>
      <c r="C368" t="s">
        <v>21</v>
      </c>
      <c r="D368" t="s">
        <v>105</v>
      </c>
      <c r="E368" t="s">
        <v>106</v>
      </c>
      <c r="F368">
        <v>12000</v>
      </c>
      <c r="G368">
        <v>27</v>
      </c>
      <c r="H368" t="s">
        <v>24</v>
      </c>
      <c r="I368" t="s">
        <v>25</v>
      </c>
      <c r="J368">
        <v>4</v>
      </c>
      <c r="K368" t="s">
        <v>125</v>
      </c>
      <c r="L368" t="s">
        <v>859</v>
      </c>
      <c r="M368" t="s">
        <v>860</v>
      </c>
      <c r="N368" s="2">
        <v>46024</v>
      </c>
      <c r="O368" s="2">
        <v>46051</v>
      </c>
      <c r="P368" t="s">
        <v>43</v>
      </c>
      <c r="Q368" t="s">
        <v>139</v>
      </c>
      <c r="R368" t="s">
        <v>45</v>
      </c>
      <c r="S368" t="s">
        <v>72</v>
      </c>
      <c r="T368" t="s">
        <v>33</v>
      </c>
      <c r="U368" t="s">
        <v>34</v>
      </c>
      <c r="V368" t="str">
        <f>IF(B368&lt;=18,"Children",IF(B368&lt;=35,"Young adult",IF(B368&lt;=60,"Adult", "Senior Citizen")))</f>
        <v>Young adult</v>
      </c>
      <c r="W368" t="str">
        <f t="shared" si="35"/>
        <v>Jan</v>
      </c>
      <c r="X368">
        <f t="shared" si="36"/>
        <v>1</v>
      </c>
      <c r="Y368" t="str">
        <f t="shared" si="37"/>
        <v>Q1</v>
      </c>
      <c r="Z368">
        <f t="shared" si="38"/>
        <v>2026</v>
      </c>
      <c r="AA368" t="str">
        <f t="shared" si="39"/>
        <v>Friday</v>
      </c>
      <c r="AB368">
        <f t="shared" si="40"/>
        <v>-27</v>
      </c>
      <c r="AC368" t="str">
        <f>IF(OR(D368="Heart Disease",D368="Cancer",D368="Stroke"),"High",IF(OR(D368="Diabetes",D368="Asthma"),"Medium","Low"))</f>
        <v>Low</v>
      </c>
      <c r="AD368" t="str">
        <f t="shared" si="41"/>
        <v>No</v>
      </c>
      <c r="AE368" t="str">
        <f>IF(G368&lt;=2,"Short Stay", IF(G368&lt;=7,"Normal Stay", "Long Stay"))</f>
        <v>Long Stay</v>
      </c>
      <c r="AF368" t="str">
        <f>IF(F368&gt;60000,"Expensive",IF(F368&gt;30000,"Moderate","Affordable"))</f>
        <v>Affordable</v>
      </c>
      <c r="AG368" t="str">
        <f>IF(J368&gt;=4.5,"Excellent",IF(J368&gt;=3.5,"Good",IF(J368&gt;=2.5,"Average","Poor")))</f>
        <v>Good</v>
      </c>
      <c r="AH368" t="str">
        <f>IF(OR(TEXT(N368,"dddd")="Saturday",TEXT(N368,"dddd")="Sunday"),"Weekend","Weekday")</f>
        <v>Weekday</v>
      </c>
    </row>
    <row r="369" spans="1:34" x14ac:dyDescent="0.3">
      <c r="A369">
        <v>374</v>
      </c>
      <c r="B369">
        <v>55</v>
      </c>
      <c r="C369" t="s">
        <v>35</v>
      </c>
      <c r="D369" t="s">
        <v>111</v>
      </c>
      <c r="E369" t="s">
        <v>112</v>
      </c>
      <c r="F369">
        <v>6000</v>
      </c>
      <c r="G369">
        <v>28</v>
      </c>
      <c r="H369" t="s">
        <v>24</v>
      </c>
      <c r="I369" t="s">
        <v>25</v>
      </c>
      <c r="J369">
        <v>3</v>
      </c>
      <c r="K369" t="s">
        <v>317</v>
      </c>
      <c r="L369" t="s">
        <v>861</v>
      </c>
      <c r="M369" t="s">
        <v>862</v>
      </c>
      <c r="N369" s="2">
        <v>46025</v>
      </c>
      <c r="O369" s="2">
        <v>46053</v>
      </c>
      <c r="P369" t="s">
        <v>43</v>
      </c>
      <c r="Q369" t="s">
        <v>71</v>
      </c>
      <c r="R369" t="s">
        <v>45</v>
      </c>
      <c r="S369" t="s">
        <v>110</v>
      </c>
      <c r="T369" t="s">
        <v>33</v>
      </c>
      <c r="U369" t="s">
        <v>78</v>
      </c>
      <c r="V369" t="str">
        <f>IF(B369&lt;=18,"Children",IF(B369&lt;=35,"Young adult",IF(B369&lt;=60,"Adult", "Senior Citizen")))</f>
        <v>Adult</v>
      </c>
      <c r="W369" t="str">
        <f t="shared" si="35"/>
        <v>Jan</v>
      </c>
      <c r="X369">
        <f t="shared" si="36"/>
        <v>1</v>
      </c>
      <c r="Y369" t="str">
        <f t="shared" si="37"/>
        <v>Q1</v>
      </c>
      <c r="Z369">
        <f t="shared" si="38"/>
        <v>2026</v>
      </c>
      <c r="AA369" t="str">
        <f t="shared" si="39"/>
        <v>Saturday</v>
      </c>
      <c r="AB369">
        <f t="shared" si="40"/>
        <v>-28</v>
      </c>
      <c r="AC369" t="str">
        <f>IF(OR(D369="Heart Disease",D369="Cancer",D369="Stroke"),"High",IF(OR(D369="Diabetes",D369="Asthma"),"Medium","Low"))</f>
        <v>Low</v>
      </c>
      <c r="AD369" t="str">
        <f t="shared" si="41"/>
        <v>No</v>
      </c>
      <c r="AE369" t="str">
        <f>IF(G369&lt;=2,"Short Stay", IF(G369&lt;=7,"Normal Stay", "Long Stay"))</f>
        <v>Long Stay</v>
      </c>
      <c r="AF369" t="str">
        <f>IF(F369&gt;60000,"Expensive",IF(F369&gt;30000,"Moderate","Affordable"))</f>
        <v>Affordable</v>
      </c>
      <c r="AG369" t="str">
        <f>IF(J369&gt;=4.5,"Excellent",IF(J369&gt;=3.5,"Good",IF(J369&gt;=2.5,"Average","Poor")))</f>
        <v>Average</v>
      </c>
      <c r="AH369" t="str">
        <f>IF(OR(TEXT(N369,"dddd")="Saturday",TEXT(N369,"dddd")="Sunday"),"Weekend","Weekday")</f>
        <v>Weekend</v>
      </c>
    </row>
    <row r="370" spans="1:34" x14ac:dyDescent="0.3">
      <c r="A370">
        <v>375</v>
      </c>
      <c r="B370">
        <v>65</v>
      </c>
      <c r="C370" t="s">
        <v>21</v>
      </c>
      <c r="D370" t="s">
        <v>116</v>
      </c>
      <c r="E370" t="s">
        <v>117</v>
      </c>
      <c r="F370">
        <v>4000</v>
      </c>
      <c r="G370">
        <v>29</v>
      </c>
      <c r="H370" t="s">
        <v>24</v>
      </c>
      <c r="I370" t="s">
        <v>39</v>
      </c>
      <c r="J370">
        <v>4</v>
      </c>
      <c r="K370" t="s">
        <v>336</v>
      </c>
      <c r="L370" t="s">
        <v>863</v>
      </c>
      <c r="M370" t="s">
        <v>864</v>
      </c>
      <c r="N370" s="2">
        <v>46026</v>
      </c>
      <c r="O370" s="2">
        <v>46055</v>
      </c>
      <c r="P370" t="s">
        <v>29</v>
      </c>
      <c r="Q370" t="s">
        <v>52</v>
      </c>
      <c r="R370" t="s">
        <v>45</v>
      </c>
      <c r="S370" t="s">
        <v>77</v>
      </c>
      <c r="T370" t="s">
        <v>33</v>
      </c>
      <c r="U370" t="s">
        <v>78</v>
      </c>
      <c r="V370" t="str">
        <f>IF(B370&lt;=18,"Children",IF(B370&lt;=35,"Young adult",IF(B370&lt;=60,"Adult", "Senior Citizen")))</f>
        <v>Senior Citizen</v>
      </c>
      <c r="W370" t="str">
        <f t="shared" si="35"/>
        <v>Jan</v>
      </c>
      <c r="X370">
        <f t="shared" si="36"/>
        <v>1</v>
      </c>
      <c r="Y370" t="str">
        <f t="shared" si="37"/>
        <v>Q1</v>
      </c>
      <c r="Z370">
        <f t="shared" si="38"/>
        <v>2026</v>
      </c>
      <c r="AA370" t="str">
        <f t="shared" si="39"/>
        <v>Sunday</v>
      </c>
      <c r="AB370">
        <f t="shared" si="40"/>
        <v>-29</v>
      </c>
      <c r="AC370" t="str">
        <f>IF(OR(D370="Heart Disease",D370="Cancer",D370="Stroke"),"High",IF(OR(D370="Diabetes",D370="Asthma"),"Medium","Low"))</f>
        <v>Low</v>
      </c>
      <c r="AD370" t="str">
        <f t="shared" si="41"/>
        <v>No</v>
      </c>
      <c r="AE370" t="str">
        <f>IF(G370&lt;=2,"Short Stay", IF(G370&lt;=7,"Normal Stay", "Long Stay"))</f>
        <v>Long Stay</v>
      </c>
      <c r="AF370" t="str">
        <f>IF(F370&gt;60000,"Expensive",IF(F370&gt;30000,"Moderate","Affordable"))</f>
        <v>Affordable</v>
      </c>
      <c r="AG370" t="str">
        <f>IF(J370&gt;=4.5,"Excellent",IF(J370&gt;=3.5,"Good",IF(J370&gt;=2.5,"Average","Poor")))</f>
        <v>Good</v>
      </c>
      <c r="AH370" t="str">
        <f>IF(OR(TEXT(N370,"dddd")="Saturday",TEXT(N370,"dddd")="Sunday"),"Weekend","Weekday")</f>
        <v>Weekend</v>
      </c>
    </row>
    <row r="371" spans="1:34" x14ac:dyDescent="0.3">
      <c r="A371">
        <v>376</v>
      </c>
      <c r="B371">
        <v>55</v>
      </c>
      <c r="C371" t="s">
        <v>21</v>
      </c>
      <c r="D371" t="s">
        <v>22</v>
      </c>
      <c r="E371" t="s">
        <v>23</v>
      </c>
      <c r="F371">
        <v>15000</v>
      </c>
      <c r="G371">
        <v>30</v>
      </c>
      <c r="H371" t="s">
        <v>38</v>
      </c>
      <c r="I371" t="s">
        <v>25</v>
      </c>
      <c r="J371">
        <v>3</v>
      </c>
      <c r="K371" t="s">
        <v>120</v>
      </c>
      <c r="L371" t="s">
        <v>865</v>
      </c>
      <c r="M371" t="s">
        <v>866</v>
      </c>
      <c r="N371" s="2">
        <v>46027</v>
      </c>
      <c r="O371" s="2">
        <v>46057</v>
      </c>
      <c r="P371" t="s">
        <v>43</v>
      </c>
      <c r="Q371" t="s">
        <v>30</v>
      </c>
      <c r="R371" t="s">
        <v>31</v>
      </c>
      <c r="S371" t="s">
        <v>53</v>
      </c>
      <c r="T371" t="s">
        <v>33</v>
      </c>
      <c r="U371" t="s">
        <v>34</v>
      </c>
      <c r="V371" t="str">
        <f>IF(B371&lt;=18,"Children",IF(B371&lt;=35,"Young adult",IF(B371&lt;=60,"Adult", "Senior Citizen")))</f>
        <v>Adult</v>
      </c>
      <c r="W371" t="str">
        <f t="shared" si="35"/>
        <v>Jan</v>
      </c>
      <c r="X371">
        <f t="shared" si="36"/>
        <v>1</v>
      </c>
      <c r="Y371" t="str">
        <f t="shared" si="37"/>
        <v>Q1</v>
      </c>
      <c r="Z371">
        <f t="shared" si="38"/>
        <v>2026</v>
      </c>
      <c r="AA371" t="str">
        <f t="shared" si="39"/>
        <v>Monday</v>
      </c>
      <c r="AB371">
        <f t="shared" si="40"/>
        <v>-30</v>
      </c>
      <c r="AC371" t="str">
        <f>IF(OR(D371="Heart Disease",D371="Cancer",D371="Stroke"),"High",IF(OR(D371="Diabetes",D371="Asthma"),"Medium","Low"))</f>
        <v>High</v>
      </c>
      <c r="AD371" t="str">
        <f t="shared" si="41"/>
        <v>Yes</v>
      </c>
      <c r="AE371" t="str">
        <f>IF(G371&lt;=2,"Short Stay", IF(G371&lt;=7,"Normal Stay", "Long Stay"))</f>
        <v>Long Stay</v>
      </c>
      <c r="AF371" t="str">
        <f>IF(F371&gt;60000,"Expensive",IF(F371&gt;30000,"Moderate","Affordable"))</f>
        <v>Affordable</v>
      </c>
      <c r="AG371" t="str">
        <f>IF(J371&gt;=4.5,"Excellent",IF(J371&gt;=3.5,"Good",IF(J371&gt;=2.5,"Average","Poor")))</f>
        <v>Average</v>
      </c>
      <c r="AH371" t="str">
        <f>IF(OR(TEXT(N371,"dddd")="Saturday",TEXT(N371,"dddd")="Sunday"),"Weekend","Weekday")</f>
        <v>Weekday</v>
      </c>
    </row>
    <row r="372" spans="1:34" x14ac:dyDescent="0.3">
      <c r="A372">
        <v>377</v>
      </c>
      <c r="B372">
        <v>62</v>
      </c>
      <c r="C372" t="s">
        <v>35</v>
      </c>
      <c r="D372" t="s">
        <v>36</v>
      </c>
      <c r="E372" t="s">
        <v>37</v>
      </c>
      <c r="F372">
        <v>2000</v>
      </c>
      <c r="G372">
        <v>28</v>
      </c>
      <c r="H372" t="s">
        <v>24</v>
      </c>
      <c r="I372" t="s">
        <v>39</v>
      </c>
      <c r="J372">
        <v>4</v>
      </c>
      <c r="K372" t="s">
        <v>96</v>
      </c>
      <c r="L372" t="s">
        <v>867</v>
      </c>
      <c r="M372" t="s">
        <v>868</v>
      </c>
      <c r="N372" s="2">
        <v>46028</v>
      </c>
      <c r="O372" s="2">
        <v>46056</v>
      </c>
      <c r="P372" t="s">
        <v>43</v>
      </c>
      <c r="Q372" t="s">
        <v>52</v>
      </c>
      <c r="R372" t="s">
        <v>45</v>
      </c>
      <c r="S372" t="s">
        <v>84</v>
      </c>
      <c r="T372" t="s">
        <v>33</v>
      </c>
      <c r="U372" t="s">
        <v>34</v>
      </c>
      <c r="V372" t="str">
        <f>IF(B372&lt;=18,"Children",IF(B372&lt;=35,"Young adult",IF(B372&lt;=60,"Adult", "Senior Citizen")))</f>
        <v>Senior Citizen</v>
      </c>
      <c r="W372" t="str">
        <f t="shared" si="35"/>
        <v>Jan</v>
      </c>
      <c r="X372">
        <f t="shared" si="36"/>
        <v>1</v>
      </c>
      <c r="Y372" t="str">
        <f t="shared" si="37"/>
        <v>Q1</v>
      </c>
      <c r="Z372">
        <f t="shared" si="38"/>
        <v>2026</v>
      </c>
      <c r="AA372" t="str">
        <f t="shared" si="39"/>
        <v>Tuesday</v>
      </c>
      <c r="AB372">
        <f t="shared" si="40"/>
        <v>-28</v>
      </c>
      <c r="AC372" t="str">
        <f>IF(OR(D372="Heart Disease",D372="Cancer",D372="Stroke"),"High",IF(OR(D372="Diabetes",D372="Asthma"),"Medium","Low"))</f>
        <v>Medium</v>
      </c>
      <c r="AD372" t="str">
        <f t="shared" si="41"/>
        <v>No</v>
      </c>
      <c r="AE372" t="str">
        <f>IF(G372&lt;=2,"Short Stay", IF(G372&lt;=7,"Normal Stay", "Long Stay"))</f>
        <v>Long Stay</v>
      </c>
      <c r="AF372" t="str">
        <f>IF(F372&gt;60000,"Expensive",IF(F372&gt;30000,"Moderate","Affordable"))</f>
        <v>Affordable</v>
      </c>
      <c r="AG372" t="str">
        <f>IF(J372&gt;=4.5,"Excellent",IF(J372&gt;=3.5,"Good",IF(J372&gt;=2.5,"Average","Poor")))</f>
        <v>Good</v>
      </c>
      <c r="AH372" t="str">
        <f>IF(OR(TEXT(N372,"dddd")="Saturday",TEXT(N372,"dddd")="Sunday"),"Weekend","Weekday")</f>
        <v>Weekday</v>
      </c>
    </row>
    <row r="373" spans="1:34" x14ac:dyDescent="0.3">
      <c r="A373">
        <v>378</v>
      </c>
      <c r="B373">
        <v>35</v>
      </c>
      <c r="C373" t="s">
        <v>21</v>
      </c>
      <c r="D373" t="s">
        <v>47</v>
      </c>
      <c r="E373" t="s">
        <v>48</v>
      </c>
      <c r="F373">
        <v>500</v>
      </c>
      <c r="G373">
        <v>26</v>
      </c>
      <c r="H373" t="s">
        <v>38</v>
      </c>
      <c r="I373" t="s">
        <v>25</v>
      </c>
      <c r="J373">
        <v>5</v>
      </c>
      <c r="K373" t="s">
        <v>345</v>
      </c>
      <c r="L373" t="s">
        <v>869</v>
      </c>
      <c r="M373" t="s">
        <v>870</v>
      </c>
      <c r="N373" s="2">
        <v>46029</v>
      </c>
      <c r="O373" s="2">
        <v>46055</v>
      </c>
      <c r="P373" t="s">
        <v>29</v>
      </c>
      <c r="Q373" t="s">
        <v>71</v>
      </c>
      <c r="R373" t="s">
        <v>45</v>
      </c>
      <c r="S373" t="s">
        <v>72</v>
      </c>
      <c r="T373" t="s">
        <v>33</v>
      </c>
      <c r="U373" t="s">
        <v>34</v>
      </c>
      <c r="V373" t="str">
        <f>IF(B373&lt;=18,"Children",IF(B373&lt;=35,"Young adult",IF(B373&lt;=60,"Adult", "Senior Citizen")))</f>
        <v>Young adult</v>
      </c>
      <c r="W373" t="str">
        <f t="shared" si="35"/>
        <v>Jan</v>
      </c>
      <c r="X373">
        <f t="shared" si="36"/>
        <v>1</v>
      </c>
      <c r="Y373" t="str">
        <f t="shared" si="37"/>
        <v>Q1</v>
      </c>
      <c r="Z373">
        <f t="shared" si="38"/>
        <v>2026</v>
      </c>
      <c r="AA373" t="str">
        <f t="shared" si="39"/>
        <v>Wednesday</v>
      </c>
      <c r="AB373">
        <f t="shared" si="40"/>
        <v>-26</v>
      </c>
      <c r="AC373" t="str">
        <f>IF(OR(D373="Heart Disease",D373="Cancer",D373="Stroke"),"High",IF(OR(D373="Diabetes",D373="Asthma"),"Medium","Low"))</f>
        <v>Low</v>
      </c>
      <c r="AD373" t="str">
        <f t="shared" si="41"/>
        <v>No</v>
      </c>
      <c r="AE373" t="str">
        <f>IF(G373&lt;=2,"Short Stay", IF(G373&lt;=7,"Normal Stay", "Long Stay"))</f>
        <v>Long Stay</v>
      </c>
      <c r="AF373" t="str">
        <f>IF(F373&gt;60000,"Expensive",IF(F373&gt;30000,"Moderate","Affordable"))</f>
        <v>Affordable</v>
      </c>
      <c r="AG373" t="str">
        <f>IF(J373&gt;=4.5,"Excellent",IF(J373&gt;=3.5,"Good",IF(J373&gt;=2.5,"Average","Poor")))</f>
        <v>Excellent</v>
      </c>
      <c r="AH373" t="str">
        <f>IF(OR(TEXT(N373,"dddd")="Saturday",TEXT(N373,"dddd")="Sunday"),"Weekend","Weekday")</f>
        <v>Weekday</v>
      </c>
    </row>
    <row r="374" spans="1:34" x14ac:dyDescent="0.3">
      <c r="A374">
        <v>379</v>
      </c>
      <c r="B374">
        <v>78</v>
      </c>
      <c r="C374" t="s">
        <v>35</v>
      </c>
      <c r="D374" t="s">
        <v>54</v>
      </c>
      <c r="E374" t="s">
        <v>55</v>
      </c>
      <c r="F374">
        <v>10000</v>
      </c>
      <c r="G374">
        <v>33</v>
      </c>
      <c r="H374" t="s">
        <v>24</v>
      </c>
      <c r="I374" t="s">
        <v>39</v>
      </c>
      <c r="J374">
        <v>2</v>
      </c>
      <c r="K374" t="s">
        <v>107</v>
      </c>
      <c r="L374" t="s">
        <v>871</v>
      </c>
      <c r="M374" t="s">
        <v>872</v>
      </c>
      <c r="N374" s="2">
        <v>46030</v>
      </c>
      <c r="O374" s="2">
        <v>46063</v>
      </c>
      <c r="P374" t="s">
        <v>29</v>
      </c>
      <c r="Q374" t="s">
        <v>139</v>
      </c>
      <c r="R374" t="s">
        <v>59</v>
      </c>
      <c r="S374" t="s">
        <v>110</v>
      </c>
      <c r="T374" t="s">
        <v>33</v>
      </c>
      <c r="U374" t="s">
        <v>104</v>
      </c>
      <c r="V374" t="str">
        <f>IF(B374&lt;=18,"Children",IF(B374&lt;=35,"Young adult",IF(B374&lt;=60,"Adult", "Senior Citizen")))</f>
        <v>Senior Citizen</v>
      </c>
      <c r="W374" t="str">
        <f t="shared" si="35"/>
        <v>Jan</v>
      </c>
      <c r="X374">
        <f t="shared" si="36"/>
        <v>1</v>
      </c>
      <c r="Y374" t="str">
        <f t="shared" si="37"/>
        <v>Q1</v>
      </c>
      <c r="Z374">
        <f t="shared" si="38"/>
        <v>2026</v>
      </c>
      <c r="AA374" t="str">
        <f t="shared" si="39"/>
        <v>Thursday</v>
      </c>
      <c r="AB374">
        <f t="shared" si="40"/>
        <v>-33</v>
      </c>
      <c r="AC374" t="str">
        <f>IF(OR(D374="Heart Disease",D374="Cancer",D374="Stroke"),"High",IF(OR(D374="Diabetes",D374="Asthma"),"Medium","Low"))</f>
        <v>High</v>
      </c>
      <c r="AD374" t="str">
        <f t="shared" si="41"/>
        <v>Yes</v>
      </c>
      <c r="AE374" t="str">
        <f>IF(G374&lt;=2,"Short Stay", IF(G374&lt;=7,"Normal Stay", "Long Stay"))</f>
        <v>Long Stay</v>
      </c>
      <c r="AF374" t="str">
        <f>IF(F374&gt;60000,"Expensive",IF(F374&gt;30000,"Moderate","Affordable"))</f>
        <v>Affordable</v>
      </c>
      <c r="AG374" t="str">
        <f>IF(J374&gt;=4.5,"Excellent",IF(J374&gt;=3.5,"Good",IF(J374&gt;=2.5,"Average","Poor")))</f>
        <v>Poor</v>
      </c>
      <c r="AH374" t="str">
        <f>IF(OR(TEXT(N374,"dddd")="Saturday",TEXT(N374,"dddd")="Sunday"),"Weekend","Weekday")</f>
        <v>Weekday</v>
      </c>
    </row>
    <row r="375" spans="1:34" x14ac:dyDescent="0.3">
      <c r="A375">
        <v>380</v>
      </c>
      <c r="B375">
        <v>53</v>
      </c>
      <c r="C375" t="s">
        <v>21</v>
      </c>
      <c r="D375" t="s">
        <v>60</v>
      </c>
      <c r="E375" t="s">
        <v>61</v>
      </c>
      <c r="F375">
        <v>25000</v>
      </c>
      <c r="G375">
        <v>35</v>
      </c>
      <c r="H375" t="s">
        <v>38</v>
      </c>
      <c r="I375" t="s">
        <v>25</v>
      </c>
      <c r="J375">
        <v>4</v>
      </c>
      <c r="K375" t="s">
        <v>294</v>
      </c>
      <c r="L375" t="s">
        <v>873</v>
      </c>
      <c r="M375" t="s">
        <v>874</v>
      </c>
      <c r="N375" s="2">
        <v>46031</v>
      </c>
      <c r="O375" s="2">
        <v>46066</v>
      </c>
      <c r="P375" t="s">
        <v>29</v>
      </c>
      <c r="Q375" t="s">
        <v>30</v>
      </c>
      <c r="R375" t="s">
        <v>65</v>
      </c>
      <c r="S375" t="s">
        <v>77</v>
      </c>
      <c r="T375" t="s">
        <v>33</v>
      </c>
      <c r="U375" t="s">
        <v>104</v>
      </c>
      <c r="V375" t="str">
        <f>IF(B375&lt;=18,"Children",IF(B375&lt;=35,"Young adult",IF(B375&lt;=60,"Adult", "Senior Citizen")))</f>
        <v>Adult</v>
      </c>
      <c r="W375" t="str">
        <f t="shared" si="35"/>
        <v>Jan</v>
      </c>
      <c r="X375">
        <f t="shared" si="36"/>
        <v>1</v>
      </c>
      <c r="Y375" t="str">
        <f t="shared" si="37"/>
        <v>Q1</v>
      </c>
      <c r="Z375">
        <f t="shared" si="38"/>
        <v>2026</v>
      </c>
      <c r="AA375" t="str">
        <f t="shared" si="39"/>
        <v>Friday</v>
      </c>
      <c r="AB375">
        <f t="shared" si="40"/>
        <v>-35</v>
      </c>
      <c r="AC375" t="str">
        <f>IF(OR(D375="Heart Disease",D375="Cancer",D375="Stroke"),"High",IF(OR(D375="Diabetes",D375="Asthma"),"Medium","Low"))</f>
        <v>High</v>
      </c>
      <c r="AD375" t="str">
        <f t="shared" si="41"/>
        <v>Yes</v>
      </c>
      <c r="AE375" t="str">
        <f>IF(G375&lt;=2,"Short Stay", IF(G375&lt;=7,"Normal Stay", "Long Stay"))</f>
        <v>Long Stay</v>
      </c>
      <c r="AF375" t="str">
        <f>IF(F375&gt;60000,"Expensive",IF(F375&gt;30000,"Moderate","Affordable"))</f>
        <v>Affordable</v>
      </c>
      <c r="AG375" t="str">
        <f>IF(J375&gt;=4.5,"Excellent",IF(J375&gt;=3.5,"Good",IF(J375&gt;=2.5,"Average","Poor")))</f>
        <v>Good</v>
      </c>
      <c r="AH375" t="str">
        <f>IF(OR(TEXT(N375,"dddd")="Saturday",TEXT(N375,"dddd")="Sunday"),"Weekend","Weekday")</f>
        <v>Weekday</v>
      </c>
    </row>
    <row r="376" spans="1:34" x14ac:dyDescent="0.3">
      <c r="A376">
        <v>381</v>
      </c>
      <c r="B376">
        <v>72</v>
      </c>
      <c r="C376" t="s">
        <v>35</v>
      </c>
      <c r="D376" t="s">
        <v>66</v>
      </c>
      <c r="E376" t="s">
        <v>67</v>
      </c>
      <c r="F376">
        <v>1000</v>
      </c>
      <c r="G376">
        <v>27</v>
      </c>
      <c r="H376" t="s">
        <v>24</v>
      </c>
      <c r="I376" t="s">
        <v>39</v>
      </c>
      <c r="J376">
        <v>4</v>
      </c>
      <c r="K376" t="s">
        <v>178</v>
      </c>
      <c r="L376" t="s">
        <v>875</v>
      </c>
      <c r="M376" t="s">
        <v>876</v>
      </c>
      <c r="N376" s="2">
        <v>46032</v>
      </c>
      <c r="O376" s="2">
        <v>46059</v>
      </c>
      <c r="P376" t="s">
        <v>43</v>
      </c>
      <c r="Q376" t="s">
        <v>52</v>
      </c>
      <c r="R376" t="s">
        <v>45</v>
      </c>
      <c r="S376" t="s">
        <v>53</v>
      </c>
      <c r="T376" t="s">
        <v>33</v>
      </c>
      <c r="U376" t="s">
        <v>34</v>
      </c>
      <c r="V376" t="str">
        <f>IF(B376&lt;=18,"Children",IF(B376&lt;=35,"Young adult",IF(B376&lt;=60,"Adult", "Senior Citizen")))</f>
        <v>Senior Citizen</v>
      </c>
      <c r="W376" t="str">
        <f t="shared" si="35"/>
        <v>Jan</v>
      </c>
      <c r="X376">
        <f t="shared" si="36"/>
        <v>1</v>
      </c>
      <c r="Y376" t="str">
        <f t="shared" si="37"/>
        <v>Q1</v>
      </c>
      <c r="Z376">
        <f t="shared" si="38"/>
        <v>2026</v>
      </c>
      <c r="AA376" t="str">
        <f t="shared" si="39"/>
        <v>Saturday</v>
      </c>
      <c r="AB376">
        <f t="shared" si="40"/>
        <v>-27</v>
      </c>
      <c r="AC376" t="str">
        <f>IF(OR(D376="Heart Disease",D376="Cancer",D376="Stroke"),"High",IF(OR(D376="Diabetes",D376="Asthma"),"Medium","Low"))</f>
        <v>Low</v>
      </c>
      <c r="AD376" t="str">
        <f t="shared" si="41"/>
        <v>No</v>
      </c>
      <c r="AE376" t="str">
        <f>IF(G376&lt;=2,"Short Stay", IF(G376&lt;=7,"Normal Stay", "Long Stay"))</f>
        <v>Long Stay</v>
      </c>
      <c r="AF376" t="str">
        <f>IF(F376&gt;60000,"Expensive",IF(F376&gt;30000,"Moderate","Affordable"))</f>
        <v>Affordable</v>
      </c>
      <c r="AG376" t="str">
        <f>IF(J376&gt;=4.5,"Excellent",IF(J376&gt;=3.5,"Good",IF(J376&gt;=2.5,"Average","Poor")))</f>
        <v>Good</v>
      </c>
      <c r="AH376" t="str">
        <f>IF(OR(TEXT(N376,"dddd")="Saturday",TEXT(N376,"dddd")="Sunday"),"Weekend","Weekday")</f>
        <v>Weekend</v>
      </c>
    </row>
    <row r="377" spans="1:34" x14ac:dyDescent="0.3">
      <c r="A377">
        <v>382</v>
      </c>
      <c r="B377">
        <v>60</v>
      </c>
      <c r="C377" t="s">
        <v>21</v>
      </c>
      <c r="D377" t="s">
        <v>73</v>
      </c>
      <c r="E377" t="s">
        <v>74</v>
      </c>
      <c r="F377">
        <v>8000</v>
      </c>
      <c r="G377">
        <v>29</v>
      </c>
      <c r="H377" t="s">
        <v>38</v>
      </c>
      <c r="I377" t="s">
        <v>25</v>
      </c>
      <c r="J377">
        <v>3</v>
      </c>
      <c r="K377" t="s">
        <v>120</v>
      </c>
      <c r="L377" t="s">
        <v>877</v>
      </c>
      <c r="M377" t="s">
        <v>878</v>
      </c>
      <c r="N377" s="2">
        <v>46033</v>
      </c>
      <c r="O377" s="2">
        <v>46062</v>
      </c>
      <c r="P377" t="s">
        <v>43</v>
      </c>
      <c r="Q377" t="s">
        <v>139</v>
      </c>
      <c r="R377" t="s">
        <v>45</v>
      </c>
      <c r="S377" t="s">
        <v>84</v>
      </c>
      <c r="T377" t="s">
        <v>33</v>
      </c>
      <c r="U377" t="s">
        <v>46</v>
      </c>
      <c r="V377" t="str">
        <f>IF(B377&lt;=18,"Children",IF(B377&lt;=35,"Young adult",IF(B377&lt;=60,"Adult", "Senior Citizen")))</f>
        <v>Adult</v>
      </c>
      <c r="W377" t="str">
        <f t="shared" si="35"/>
        <v>Jan</v>
      </c>
      <c r="X377">
        <f t="shared" si="36"/>
        <v>1</v>
      </c>
      <c r="Y377" t="str">
        <f t="shared" si="37"/>
        <v>Q1</v>
      </c>
      <c r="Z377">
        <f t="shared" si="38"/>
        <v>2026</v>
      </c>
      <c r="AA377" t="str">
        <f t="shared" si="39"/>
        <v>Sunday</v>
      </c>
      <c r="AB377">
        <f t="shared" si="40"/>
        <v>-29</v>
      </c>
      <c r="AC377" t="str">
        <f>IF(OR(D377="Heart Disease",D377="Cancer",D377="Stroke"),"High",IF(OR(D377="Diabetes",D377="Asthma"),"Medium","Low"))</f>
        <v>Low</v>
      </c>
      <c r="AD377" t="str">
        <f t="shared" si="41"/>
        <v>No</v>
      </c>
      <c r="AE377" t="str">
        <f>IF(G377&lt;=2,"Short Stay", IF(G377&lt;=7,"Normal Stay", "Long Stay"))</f>
        <v>Long Stay</v>
      </c>
      <c r="AF377" t="str">
        <f>IF(F377&gt;60000,"Expensive",IF(F377&gt;30000,"Moderate","Affordable"))</f>
        <v>Affordable</v>
      </c>
      <c r="AG377" t="str">
        <f>IF(J377&gt;=4.5,"Excellent",IF(J377&gt;=3.5,"Good",IF(J377&gt;=2.5,"Average","Poor")))</f>
        <v>Average</v>
      </c>
      <c r="AH377" t="str">
        <f>IF(OR(TEXT(N377,"dddd")="Saturday",TEXT(N377,"dddd")="Sunday"),"Weekend","Weekday")</f>
        <v>Weekend</v>
      </c>
    </row>
    <row r="378" spans="1:34" x14ac:dyDescent="0.3">
      <c r="A378">
        <v>383</v>
      </c>
      <c r="B378">
        <v>45</v>
      </c>
      <c r="C378" t="s">
        <v>35</v>
      </c>
      <c r="D378" t="s">
        <v>79</v>
      </c>
      <c r="E378" t="s">
        <v>80</v>
      </c>
      <c r="F378">
        <v>3000</v>
      </c>
      <c r="G378">
        <v>31</v>
      </c>
      <c r="H378" t="s">
        <v>24</v>
      </c>
      <c r="I378" t="s">
        <v>25</v>
      </c>
      <c r="J378">
        <v>4</v>
      </c>
      <c r="K378" t="s">
        <v>62</v>
      </c>
      <c r="L378" t="s">
        <v>879</v>
      </c>
      <c r="M378" t="s">
        <v>880</v>
      </c>
      <c r="N378" s="2">
        <v>46034</v>
      </c>
      <c r="O378" s="2">
        <v>46065</v>
      </c>
      <c r="P378" t="s">
        <v>29</v>
      </c>
      <c r="Q378" t="s">
        <v>52</v>
      </c>
      <c r="R378" t="s">
        <v>45</v>
      </c>
      <c r="S378" t="s">
        <v>84</v>
      </c>
      <c r="T378" t="s">
        <v>33</v>
      </c>
      <c r="U378" t="s">
        <v>46</v>
      </c>
      <c r="V378" t="str">
        <f>IF(B378&lt;=18,"Children",IF(B378&lt;=35,"Young adult",IF(B378&lt;=60,"Adult", "Senior Citizen")))</f>
        <v>Adult</v>
      </c>
      <c r="W378" t="str">
        <f t="shared" si="35"/>
        <v>Jan</v>
      </c>
      <c r="X378">
        <f t="shared" si="36"/>
        <v>1</v>
      </c>
      <c r="Y378" t="str">
        <f t="shared" si="37"/>
        <v>Q1</v>
      </c>
      <c r="Z378">
        <f t="shared" si="38"/>
        <v>2026</v>
      </c>
      <c r="AA378" t="str">
        <f t="shared" si="39"/>
        <v>Monday</v>
      </c>
      <c r="AB378">
        <f t="shared" si="40"/>
        <v>-31</v>
      </c>
      <c r="AC378" t="str">
        <f>IF(OR(D378="Heart Disease",D378="Cancer",D378="Stroke"),"High",IF(OR(D378="Diabetes",D378="Asthma"),"Medium","Low"))</f>
        <v>Low</v>
      </c>
      <c r="AD378" t="str">
        <f t="shared" si="41"/>
        <v>No</v>
      </c>
      <c r="AE378" t="str">
        <f>IF(G378&lt;=2,"Short Stay", IF(G378&lt;=7,"Normal Stay", "Long Stay"))</f>
        <v>Long Stay</v>
      </c>
      <c r="AF378" t="str">
        <f>IF(F378&gt;60000,"Expensive",IF(F378&gt;30000,"Moderate","Affordable"))</f>
        <v>Affordable</v>
      </c>
      <c r="AG378" t="str">
        <f>IF(J378&gt;=4.5,"Excellent",IF(J378&gt;=3.5,"Good",IF(J378&gt;=2.5,"Average","Poor")))</f>
        <v>Good</v>
      </c>
      <c r="AH378" t="str">
        <f>IF(OR(TEXT(N378,"dddd")="Saturday",TEXT(N378,"dddd")="Sunday"),"Weekend","Weekday")</f>
        <v>Weekday</v>
      </c>
    </row>
    <row r="379" spans="1:34" x14ac:dyDescent="0.3">
      <c r="A379">
        <v>384</v>
      </c>
      <c r="B379">
        <v>75</v>
      </c>
      <c r="C379" t="s">
        <v>21</v>
      </c>
      <c r="D379" t="s">
        <v>85</v>
      </c>
      <c r="E379" t="s">
        <v>86</v>
      </c>
      <c r="F379">
        <v>18000</v>
      </c>
      <c r="G379">
        <v>33</v>
      </c>
      <c r="H379" t="s">
        <v>38</v>
      </c>
      <c r="I379" t="s">
        <v>39</v>
      </c>
      <c r="J379">
        <v>2</v>
      </c>
      <c r="K379" t="s">
        <v>26</v>
      </c>
      <c r="L379" t="s">
        <v>881</v>
      </c>
      <c r="M379" t="s">
        <v>882</v>
      </c>
      <c r="N379" s="2">
        <v>46035</v>
      </c>
      <c r="O379" s="2">
        <v>46068</v>
      </c>
      <c r="P379" t="s">
        <v>29</v>
      </c>
      <c r="Q379" t="s">
        <v>139</v>
      </c>
      <c r="R379" t="s">
        <v>45</v>
      </c>
      <c r="S379" t="s">
        <v>84</v>
      </c>
      <c r="T379" t="s">
        <v>33</v>
      </c>
      <c r="U379" t="s">
        <v>34</v>
      </c>
      <c r="V379" t="str">
        <f>IF(B379&lt;=18,"Children",IF(B379&lt;=35,"Young adult",IF(B379&lt;=60,"Adult", "Senior Citizen")))</f>
        <v>Senior Citizen</v>
      </c>
      <c r="W379" t="str">
        <f t="shared" si="35"/>
        <v>Jan</v>
      </c>
      <c r="X379">
        <f t="shared" si="36"/>
        <v>1</v>
      </c>
      <c r="Y379" t="str">
        <f t="shared" si="37"/>
        <v>Q1</v>
      </c>
      <c r="Z379">
        <f t="shared" si="38"/>
        <v>2026</v>
      </c>
      <c r="AA379" t="str">
        <f t="shared" si="39"/>
        <v>Tuesday</v>
      </c>
      <c r="AB379">
        <f t="shared" si="40"/>
        <v>-33</v>
      </c>
      <c r="AC379" t="str">
        <f>IF(OR(D379="Heart Disease",D379="Cancer",D379="Stroke"),"High",IF(OR(D379="Diabetes",D379="Asthma"),"Medium","Low"))</f>
        <v>Low</v>
      </c>
      <c r="AD379" t="str">
        <f t="shared" si="41"/>
        <v>No</v>
      </c>
      <c r="AE379" t="str">
        <f>IF(G379&lt;=2,"Short Stay", IF(G379&lt;=7,"Normal Stay", "Long Stay"))</f>
        <v>Long Stay</v>
      </c>
      <c r="AF379" t="str">
        <f>IF(F379&gt;60000,"Expensive",IF(F379&gt;30000,"Moderate","Affordable"))</f>
        <v>Affordable</v>
      </c>
      <c r="AG379" t="str">
        <f>IF(J379&gt;=4.5,"Excellent",IF(J379&gt;=3.5,"Good",IF(J379&gt;=2.5,"Average","Poor")))</f>
        <v>Poor</v>
      </c>
      <c r="AH379" t="str">
        <f>IF(OR(TEXT(N379,"dddd")="Saturday",TEXT(N379,"dddd")="Sunday"),"Weekend","Weekday")</f>
        <v>Weekday</v>
      </c>
    </row>
    <row r="380" spans="1:34" x14ac:dyDescent="0.3">
      <c r="A380">
        <v>385</v>
      </c>
      <c r="B380">
        <v>28</v>
      </c>
      <c r="C380" t="s">
        <v>35</v>
      </c>
      <c r="D380" t="s">
        <v>89</v>
      </c>
      <c r="E380" t="s">
        <v>90</v>
      </c>
      <c r="F380">
        <v>100</v>
      </c>
      <c r="G380">
        <v>26</v>
      </c>
      <c r="H380" t="s">
        <v>24</v>
      </c>
      <c r="I380" t="s">
        <v>25</v>
      </c>
      <c r="J380">
        <v>5</v>
      </c>
      <c r="K380" t="s">
        <v>91</v>
      </c>
      <c r="L380" t="s">
        <v>883</v>
      </c>
      <c r="M380" t="s">
        <v>884</v>
      </c>
      <c r="N380" s="2">
        <v>46036</v>
      </c>
      <c r="O380" s="2">
        <v>46062</v>
      </c>
      <c r="P380" t="s">
        <v>29</v>
      </c>
      <c r="Q380" t="s">
        <v>30</v>
      </c>
      <c r="R380" t="s">
        <v>45</v>
      </c>
      <c r="S380" t="s">
        <v>77</v>
      </c>
      <c r="T380" t="s">
        <v>33</v>
      </c>
      <c r="U380" t="s">
        <v>46</v>
      </c>
      <c r="V380" t="str">
        <f>IF(B380&lt;=18,"Children",IF(B380&lt;=35,"Young adult",IF(B380&lt;=60,"Adult", "Senior Citizen")))</f>
        <v>Young adult</v>
      </c>
      <c r="W380" t="str">
        <f t="shared" si="35"/>
        <v>Jan</v>
      </c>
      <c r="X380">
        <f t="shared" si="36"/>
        <v>1</v>
      </c>
      <c r="Y380" t="str">
        <f t="shared" si="37"/>
        <v>Q1</v>
      </c>
      <c r="Z380">
        <f t="shared" si="38"/>
        <v>2026</v>
      </c>
      <c r="AA380" t="str">
        <f t="shared" si="39"/>
        <v>Wednesday</v>
      </c>
      <c r="AB380">
        <f t="shared" si="40"/>
        <v>-26</v>
      </c>
      <c r="AC380" t="str">
        <f>IF(OR(D380="Heart Disease",D380="Cancer",D380="Stroke"),"High",IF(OR(D380="Diabetes",D380="Asthma"),"Medium","Low"))</f>
        <v>Low</v>
      </c>
      <c r="AD380" t="str">
        <f t="shared" si="41"/>
        <v>No</v>
      </c>
      <c r="AE380" t="str">
        <f>IF(G380&lt;=2,"Short Stay", IF(G380&lt;=7,"Normal Stay", "Long Stay"))</f>
        <v>Long Stay</v>
      </c>
      <c r="AF380" t="str">
        <f>IF(F380&gt;60000,"Expensive",IF(F380&gt;30000,"Moderate","Affordable"))</f>
        <v>Affordable</v>
      </c>
      <c r="AG380" t="str">
        <f>IF(J380&gt;=4.5,"Excellent",IF(J380&gt;=3.5,"Good",IF(J380&gt;=2.5,"Average","Poor")))</f>
        <v>Excellent</v>
      </c>
      <c r="AH380" t="str">
        <f>IF(OR(TEXT(N380,"dddd")="Saturday",TEXT(N380,"dddd")="Sunday"),"Weekend","Weekday")</f>
        <v>Weekday</v>
      </c>
    </row>
    <row r="381" spans="1:34" x14ac:dyDescent="0.3">
      <c r="A381">
        <v>386</v>
      </c>
      <c r="B381">
        <v>52</v>
      </c>
      <c r="C381" t="s">
        <v>21</v>
      </c>
      <c r="D381" t="s">
        <v>94</v>
      </c>
      <c r="E381" t="s">
        <v>95</v>
      </c>
      <c r="F381">
        <v>800</v>
      </c>
      <c r="G381">
        <v>27</v>
      </c>
      <c r="H381" t="s">
        <v>24</v>
      </c>
      <c r="I381" t="s">
        <v>39</v>
      </c>
      <c r="J381">
        <v>4</v>
      </c>
      <c r="K381" t="s">
        <v>26</v>
      </c>
      <c r="L381" t="s">
        <v>885</v>
      </c>
      <c r="M381" t="s">
        <v>886</v>
      </c>
      <c r="N381" s="2">
        <v>46037</v>
      </c>
      <c r="O381" s="2">
        <v>46064</v>
      </c>
      <c r="P381" t="s">
        <v>43</v>
      </c>
      <c r="Q381" t="s">
        <v>30</v>
      </c>
      <c r="R381" t="s">
        <v>45</v>
      </c>
      <c r="S381" t="s">
        <v>77</v>
      </c>
      <c r="T381" t="s">
        <v>33</v>
      </c>
      <c r="U381" t="s">
        <v>34</v>
      </c>
      <c r="V381" t="str">
        <f>IF(B381&lt;=18,"Children",IF(B381&lt;=35,"Young adult",IF(B381&lt;=60,"Adult", "Senior Citizen")))</f>
        <v>Adult</v>
      </c>
      <c r="W381" t="str">
        <f t="shared" si="35"/>
        <v>Jan</v>
      </c>
      <c r="X381">
        <f t="shared" si="36"/>
        <v>1</v>
      </c>
      <c r="Y381" t="str">
        <f t="shared" si="37"/>
        <v>Q1</v>
      </c>
      <c r="Z381">
        <f t="shared" si="38"/>
        <v>2026</v>
      </c>
      <c r="AA381" t="str">
        <f t="shared" si="39"/>
        <v>Thursday</v>
      </c>
      <c r="AB381">
        <f t="shared" si="40"/>
        <v>-27</v>
      </c>
      <c r="AC381" t="str">
        <f>IF(OR(D381="Heart Disease",D381="Cancer",D381="Stroke"),"High",IF(OR(D381="Diabetes",D381="Asthma"),"Medium","Low"))</f>
        <v>Low</v>
      </c>
      <c r="AD381" t="str">
        <f t="shared" si="41"/>
        <v>No</v>
      </c>
      <c r="AE381" t="str">
        <f>IF(G381&lt;=2,"Short Stay", IF(G381&lt;=7,"Normal Stay", "Long Stay"))</f>
        <v>Long Stay</v>
      </c>
      <c r="AF381" t="str">
        <f>IF(F381&gt;60000,"Expensive",IF(F381&gt;30000,"Moderate","Affordable"))</f>
        <v>Affordable</v>
      </c>
      <c r="AG381" t="str">
        <f>IF(J381&gt;=4.5,"Excellent",IF(J381&gt;=3.5,"Good",IF(J381&gt;=2.5,"Average","Poor")))</f>
        <v>Good</v>
      </c>
      <c r="AH381" t="str">
        <f>IF(OR(TEXT(N381,"dddd")="Saturday",TEXT(N381,"dddd")="Sunday"),"Weekend","Weekday")</f>
        <v>Weekday</v>
      </c>
    </row>
    <row r="382" spans="1:34" x14ac:dyDescent="0.3">
      <c r="A382">
        <v>387</v>
      </c>
      <c r="B382">
        <v>67</v>
      </c>
      <c r="C382" t="s">
        <v>35</v>
      </c>
      <c r="D382" t="s">
        <v>99</v>
      </c>
      <c r="E382" t="s">
        <v>100</v>
      </c>
      <c r="F382">
        <v>20000</v>
      </c>
      <c r="G382">
        <v>34</v>
      </c>
      <c r="H382" t="s">
        <v>24</v>
      </c>
      <c r="I382" t="s">
        <v>25</v>
      </c>
      <c r="J382">
        <v>3</v>
      </c>
      <c r="K382" t="s">
        <v>120</v>
      </c>
      <c r="L382" t="s">
        <v>887</v>
      </c>
      <c r="M382" t="s">
        <v>888</v>
      </c>
      <c r="N382" s="2">
        <v>46038</v>
      </c>
      <c r="O382" s="2">
        <v>46072</v>
      </c>
      <c r="P382" t="s">
        <v>43</v>
      </c>
      <c r="Q382" t="s">
        <v>30</v>
      </c>
      <c r="R382" t="s">
        <v>45</v>
      </c>
      <c r="S382" t="s">
        <v>110</v>
      </c>
      <c r="T382" t="s">
        <v>33</v>
      </c>
      <c r="U382" t="s">
        <v>46</v>
      </c>
      <c r="V382" t="str">
        <f>IF(B382&lt;=18,"Children",IF(B382&lt;=35,"Young adult",IF(B382&lt;=60,"Adult", "Senior Citizen")))</f>
        <v>Senior Citizen</v>
      </c>
      <c r="W382" t="str">
        <f t="shared" si="35"/>
        <v>Jan</v>
      </c>
      <c r="X382">
        <f t="shared" si="36"/>
        <v>1</v>
      </c>
      <c r="Y382" t="str">
        <f t="shared" si="37"/>
        <v>Q1</v>
      </c>
      <c r="Z382">
        <f t="shared" si="38"/>
        <v>2026</v>
      </c>
      <c r="AA382" t="str">
        <f t="shared" si="39"/>
        <v>Friday</v>
      </c>
      <c r="AB382">
        <f t="shared" si="40"/>
        <v>-34</v>
      </c>
      <c r="AC382" t="str">
        <f>IF(OR(D382="Heart Disease",D382="Cancer",D382="Stroke"),"High",IF(OR(D382="Diabetes",D382="Asthma"),"Medium","Low"))</f>
        <v>Low</v>
      </c>
      <c r="AD382" t="str">
        <f t="shared" si="41"/>
        <v>No</v>
      </c>
      <c r="AE382" t="str">
        <f>IF(G382&lt;=2,"Short Stay", IF(G382&lt;=7,"Normal Stay", "Long Stay"))</f>
        <v>Long Stay</v>
      </c>
      <c r="AF382" t="str">
        <f>IF(F382&gt;60000,"Expensive",IF(F382&gt;30000,"Moderate","Affordable"))</f>
        <v>Affordable</v>
      </c>
      <c r="AG382" t="str">
        <f>IF(J382&gt;=4.5,"Excellent",IF(J382&gt;=3.5,"Good",IF(J382&gt;=2.5,"Average","Poor")))</f>
        <v>Average</v>
      </c>
      <c r="AH382" t="str">
        <f>IF(OR(TEXT(N382,"dddd")="Saturday",TEXT(N382,"dddd")="Sunday"),"Weekend","Weekday")</f>
        <v>Weekday</v>
      </c>
    </row>
    <row r="383" spans="1:34" x14ac:dyDescent="0.3">
      <c r="A383">
        <v>388</v>
      </c>
      <c r="B383">
        <v>35</v>
      </c>
      <c r="C383" t="s">
        <v>21</v>
      </c>
      <c r="D383" t="s">
        <v>105</v>
      </c>
      <c r="E383" t="s">
        <v>106</v>
      </c>
      <c r="F383">
        <v>12000</v>
      </c>
      <c r="G383">
        <v>28</v>
      </c>
      <c r="H383" t="s">
        <v>24</v>
      </c>
      <c r="I383" t="s">
        <v>25</v>
      </c>
      <c r="J383">
        <v>4</v>
      </c>
      <c r="K383" t="s">
        <v>200</v>
      </c>
      <c r="L383" t="s">
        <v>889</v>
      </c>
      <c r="M383" t="s">
        <v>890</v>
      </c>
      <c r="N383" s="2">
        <v>46039</v>
      </c>
      <c r="O383" s="2">
        <v>46067</v>
      </c>
      <c r="P383" t="s">
        <v>29</v>
      </c>
      <c r="Q383" t="s">
        <v>52</v>
      </c>
      <c r="R383" t="s">
        <v>45</v>
      </c>
      <c r="S383" t="s">
        <v>72</v>
      </c>
      <c r="T383" t="s">
        <v>33</v>
      </c>
      <c r="U383" t="s">
        <v>78</v>
      </c>
      <c r="V383" t="str">
        <f>IF(B383&lt;=18,"Children",IF(B383&lt;=35,"Young adult",IF(B383&lt;=60,"Adult", "Senior Citizen")))</f>
        <v>Young adult</v>
      </c>
      <c r="W383" t="str">
        <f t="shared" si="35"/>
        <v>Jan</v>
      </c>
      <c r="X383">
        <f t="shared" si="36"/>
        <v>1</v>
      </c>
      <c r="Y383" t="str">
        <f t="shared" si="37"/>
        <v>Q1</v>
      </c>
      <c r="Z383">
        <f t="shared" si="38"/>
        <v>2026</v>
      </c>
      <c r="AA383" t="str">
        <f t="shared" si="39"/>
        <v>Saturday</v>
      </c>
      <c r="AB383">
        <f t="shared" si="40"/>
        <v>-28</v>
      </c>
      <c r="AC383" t="str">
        <f>IF(OR(D383="Heart Disease",D383="Cancer",D383="Stroke"),"High",IF(OR(D383="Diabetes",D383="Asthma"),"Medium","Low"))</f>
        <v>Low</v>
      </c>
      <c r="AD383" t="str">
        <f t="shared" si="41"/>
        <v>No</v>
      </c>
      <c r="AE383" t="str">
        <f>IF(G383&lt;=2,"Short Stay", IF(G383&lt;=7,"Normal Stay", "Long Stay"))</f>
        <v>Long Stay</v>
      </c>
      <c r="AF383" t="str">
        <f>IF(F383&gt;60000,"Expensive",IF(F383&gt;30000,"Moderate","Affordable"))</f>
        <v>Affordable</v>
      </c>
      <c r="AG383" t="str">
        <f>IF(J383&gt;=4.5,"Excellent",IF(J383&gt;=3.5,"Good",IF(J383&gt;=2.5,"Average","Poor")))</f>
        <v>Good</v>
      </c>
      <c r="AH383" t="str">
        <f>IF(OR(TEXT(N383,"dddd")="Saturday",TEXT(N383,"dddd")="Sunday"),"Weekend","Weekday")</f>
        <v>Weekend</v>
      </c>
    </row>
    <row r="384" spans="1:34" x14ac:dyDescent="0.3">
      <c r="A384">
        <v>389</v>
      </c>
      <c r="B384">
        <v>50</v>
      </c>
      <c r="C384" t="s">
        <v>35</v>
      </c>
      <c r="D384" t="s">
        <v>111</v>
      </c>
      <c r="E384" t="s">
        <v>112</v>
      </c>
      <c r="F384">
        <v>6000</v>
      </c>
      <c r="G384">
        <v>29</v>
      </c>
      <c r="H384" t="s">
        <v>24</v>
      </c>
      <c r="I384" t="s">
        <v>25</v>
      </c>
      <c r="J384">
        <v>3</v>
      </c>
      <c r="K384" t="s">
        <v>210</v>
      </c>
      <c r="L384" t="s">
        <v>891</v>
      </c>
      <c r="M384" t="s">
        <v>892</v>
      </c>
      <c r="N384" s="2">
        <v>46040</v>
      </c>
      <c r="O384" s="2">
        <v>46069</v>
      </c>
      <c r="P384" t="s">
        <v>43</v>
      </c>
      <c r="Q384" t="s">
        <v>44</v>
      </c>
      <c r="R384" t="s">
        <v>45</v>
      </c>
      <c r="S384" t="s">
        <v>77</v>
      </c>
      <c r="T384" t="s">
        <v>33</v>
      </c>
      <c r="U384" t="s">
        <v>78</v>
      </c>
      <c r="V384" t="str">
        <f>IF(B384&lt;=18,"Children",IF(B384&lt;=35,"Young adult",IF(B384&lt;=60,"Adult", "Senior Citizen")))</f>
        <v>Adult</v>
      </c>
      <c r="W384" t="str">
        <f t="shared" si="35"/>
        <v>Jan</v>
      </c>
      <c r="X384">
        <f t="shared" si="36"/>
        <v>1</v>
      </c>
      <c r="Y384" t="str">
        <f t="shared" si="37"/>
        <v>Q1</v>
      </c>
      <c r="Z384">
        <f t="shared" si="38"/>
        <v>2026</v>
      </c>
      <c r="AA384" t="str">
        <f t="shared" si="39"/>
        <v>Sunday</v>
      </c>
      <c r="AB384">
        <f t="shared" si="40"/>
        <v>-29</v>
      </c>
      <c r="AC384" t="str">
        <f>IF(OR(D384="Heart Disease",D384="Cancer",D384="Stroke"),"High",IF(OR(D384="Diabetes",D384="Asthma"),"Medium","Low"))</f>
        <v>Low</v>
      </c>
      <c r="AD384" t="str">
        <f t="shared" si="41"/>
        <v>No</v>
      </c>
      <c r="AE384" t="str">
        <f>IF(G384&lt;=2,"Short Stay", IF(G384&lt;=7,"Normal Stay", "Long Stay"))</f>
        <v>Long Stay</v>
      </c>
      <c r="AF384" t="str">
        <f>IF(F384&gt;60000,"Expensive",IF(F384&gt;30000,"Moderate","Affordable"))</f>
        <v>Affordable</v>
      </c>
      <c r="AG384" t="str">
        <f>IF(J384&gt;=4.5,"Excellent",IF(J384&gt;=3.5,"Good",IF(J384&gt;=2.5,"Average","Poor")))</f>
        <v>Average</v>
      </c>
      <c r="AH384" t="str">
        <f>IF(OR(TEXT(N384,"dddd")="Saturday",TEXT(N384,"dddd")="Sunday"),"Weekend","Weekday")</f>
        <v>Weekend</v>
      </c>
    </row>
    <row r="385" spans="1:34" x14ac:dyDescent="0.3">
      <c r="A385">
        <v>390</v>
      </c>
      <c r="B385">
        <v>60</v>
      </c>
      <c r="C385" t="s">
        <v>21</v>
      </c>
      <c r="D385" t="s">
        <v>116</v>
      </c>
      <c r="E385" t="s">
        <v>117</v>
      </c>
      <c r="F385">
        <v>4000</v>
      </c>
      <c r="G385">
        <v>30</v>
      </c>
      <c r="H385" t="s">
        <v>24</v>
      </c>
      <c r="I385" t="s">
        <v>39</v>
      </c>
      <c r="J385">
        <v>4</v>
      </c>
      <c r="K385" t="s">
        <v>81</v>
      </c>
      <c r="L385" t="s">
        <v>893</v>
      </c>
      <c r="M385" t="s">
        <v>894</v>
      </c>
      <c r="N385" s="2">
        <v>46041</v>
      </c>
      <c r="O385" s="2">
        <v>46071</v>
      </c>
      <c r="P385" t="s">
        <v>43</v>
      </c>
      <c r="Q385" t="s">
        <v>30</v>
      </c>
      <c r="R385" t="s">
        <v>45</v>
      </c>
      <c r="S385" t="s">
        <v>77</v>
      </c>
      <c r="T385" t="s">
        <v>33</v>
      </c>
      <c r="U385" t="s">
        <v>104</v>
      </c>
      <c r="V385" t="str">
        <f>IF(B385&lt;=18,"Children",IF(B385&lt;=35,"Young adult",IF(B385&lt;=60,"Adult", "Senior Citizen")))</f>
        <v>Adult</v>
      </c>
      <c r="W385" t="str">
        <f t="shared" si="35"/>
        <v>Jan</v>
      </c>
      <c r="X385">
        <f t="shared" si="36"/>
        <v>1</v>
      </c>
      <c r="Y385" t="str">
        <f t="shared" si="37"/>
        <v>Q1</v>
      </c>
      <c r="Z385">
        <f t="shared" si="38"/>
        <v>2026</v>
      </c>
      <c r="AA385" t="str">
        <f t="shared" si="39"/>
        <v>Monday</v>
      </c>
      <c r="AB385">
        <f t="shared" si="40"/>
        <v>-30</v>
      </c>
      <c r="AC385" t="str">
        <f>IF(OR(D385="Heart Disease",D385="Cancer",D385="Stroke"),"High",IF(OR(D385="Diabetes",D385="Asthma"),"Medium","Low"))</f>
        <v>Low</v>
      </c>
      <c r="AD385" t="str">
        <f t="shared" si="41"/>
        <v>No</v>
      </c>
      <c r="AE385" t="str">
        <f>IF(G385&lt;=2,"Short Stay", IF(G385&lt;=7,"Normal Stay", "Long Stay"))</f>
        <v>Long Stay</v>
      </c>
      <c r="AF385" t="str">
        <f>IF(F385&gt;60000,"Expensive",IF(F385&gt;30000,"Moderate","Affordable"))</f>
        <v>Affordable</v>
      </c>
      <c r="AG385" t="str">
        <f>IF(J385&gt;=4.5,"Excellent",IF(J385&gt;=3.5,"Good",IF(J385&gt;=2.5,"Average","Poor")))</f>
        <v>Good</v>
      </c>
      <c r="AH385" t="str">
        <f>IF(OR(TEXT(N385,"dddd")="Saturday",TEXT(N385,"dddd")="Sunday"),"Weekend","Weekday")</f>
        <v>Weekday</v>
      </c>
    </row>
    <row r="386" spans="1:34" x14ac:dyDescent="0.3">
      <c r="A386">
        <v>391</v>
      </c>
      <c r="B386">
        <v>48</v>
      </c>
      <c r="C386" t="s">
        <v>21</v>
      </c>
      <c r="D386" t="s">
        <v>22</v>
      </c>
      <c r="E386" t="s">
        <v>23</v>
      </c>
      <c r="F386">
        <v>15000</v>
      </c>
      <c r="G386">
        <v>31</v>
      </c>
      <c r="H386" t="s">
        <v>38</v>
      </c>
      <c r="I386" t="s">
        <v>25</v>
      </c>
      <c r="J386">
        <v>4</v>
      </c>
      <c r="K386" t="s">
        <v>160</v>
      </c>
      <c r="L386" t="s">
        <v>895</v>
      </c>
      <c r="M386" t="s">
        <v>896</v>
      </c>
      <c r="N386" s="2">
        <v>46042</v>
      </c>
      <c r="O386" s="2">
        <v>46073</v>
      </c>
      <c r="P386" t="s">
        <v>43</v>
      </c>
      <c r="Q386" t="s">
        <v>44</v>
      </c>
      <c r="R386" t="s">
        <v>31</v>
      </c>
      <c r="S386" t="s">
        <v>72</v>
      </c>
      <c r="T386" t="s">
        <v>33</v>
      </c>
      <c r="U386" t="s">
        <v>104</v>
      </c>
      <c r="V386" t="str">
        <f>IF(B386&lt;=18,"Children",IF(B386&lt;=35,"Young adult",IF(B386&lt;=60,"Adult", "Senior Citizen")))</f>
        <v>Adult</v>
      </c>
      <c r="W386" t="str">
        <f t="shared" si="35"/>
        <v>Jan</v>
      </c>
      <c r="X386">
        <f t="shared" si="36"/>
        <v>1</v>
      </c>
      <c r="Y386" t="str">
        <f t="shared" si="37"/>
        <v>Q1</v>
      </c>
      <c r="Z386">
        <f t="shared" si="38"/>
        <v>2026</v>
      </c>
      <c r="AA386" t="str">
        <f t="shared" si="39"/>
        <v>Tuesday</v>
      </c>
      <c r="AB386">
        <f t="shared" si="40"/>
        <v>-31</v>
      </c>
      <c r="AC386" t="str">
        <f>IF(OR(D386="Heart Disease",D386="Cancer",D386="Stroke"),"High",IF(OR(D386="Diabetes",D386="Asthma"),"Medium","Low"))</f>
        <v>High</v>
      </c>
      <c r="AD386" t="str">
        <f t="shared" si="41"/>
        <v>Yes</v>
      </c>
      <c r="AE386" t="str">
        <f>IF(G386&lt;=2,"Short Stay", IF(G386&lt;=7,"Normal Stay", "Long Stay"))</f>
        <v>Long Stay</v>
      </c>
      <c r="AF386" t="str">
        <f>IF(F386&gt;60000,"Expensive",IF(F386&gt;30000,"Moderate","Affordable"))</f>
        <v>Affordable</v>
      </c>
      <c r="AG386" t="str">
        <f>IF(J386&gt;=4.5,"Excellent",IF(J386&gt;=3.5,"Good",IF(J386&gt;=2.5,"Average","Poor")))</f>
        <v>Good</v>
      </c>
      <c r="AH386" t="str">
        <f>IF(OR(TEXT(N386,"dddd")="Saturday",TEXT(N386,"dddd")="Sunday"),"Weekend","Weekday")</f>
        <v>Weekday</v>
      </c>
    </row>
    <row r="387" spans="1:34" x14ac:dyDescent="0.3">
      <c r="A387">
        <v>392</v>
      </c>
      <c r="B387">
        <v>65</v>
      </c>
      <c r="C387" t="s">
        <v>35</v>
      </c>
      <c r="D387" t="s">
        <v>36</v>
      </c>
      <c r="E387" t="s">
        <v>37</v>
      </c>
      <c r="F387">
        <v>2000</v>
      </c>
      <c r="G387">
        <v>29</v>
      </c>
      <c r="H387" t="s">
        <v>24</v>
      </c>
      <c r="I387" t="s">
        <v>39</v>
      </c>
      <c r="J387">
        <v>3</v>
      </c>
      <c r="K387" t="s">
        <v>294</v>
      </c>
      <c r="L387" t="s">
        <v>897</v>
      </c>
      <c r="M387" t="s">
        <v>898</v>
      </c>
      <c r="N387" s="2">
        <v>46043</v>
      </c>
      <c r="O387" s="2">
        <v>46072</v>
      </c>
      <c r="P387" t="s">
        <v>29</v>
      </c>
      <c r="Q387" t="s">
        <v>30</v>
      </c>
      <c r="R387" t="s">
        <v>45</v>
      </c>
      <c r="S387" t="s">
        <v>77</v>
      </c>
      <c r="T387" t="s">
        <v>33</v>
      </c>
      <c r="U387" t="s">
        <v>78</v>
      </c>
      <c r="V387" t="str">
        <f>IF(B387&lt;=18,"Children",IF(B387&lt;=35,"Young adult",IF(B387&lt;=60,"Adult", "Senior Citizen")))</f>
        <v>Senior Citizen</v>
      </c>
      <c r="W387" t="str">
        <f t="shared" ref="W387:W450" si="42">TEXT(N387,"MMM")</f>
        <v>Jan</v>
      </c>
      <c r="X387">
        <f t="shared" ref="X387:X450" si="43">MONTH(N387)</f>
        <v>1</v>
      </c>
      <c r="Y387" t="str">
        <f t="shared" ref="Y387:Y450" si="44">"Q"&amp;ROUNDUP(MONTH(N387)/3,0)</f>
        <v>Q1</v>
      </c>
      <c r="Z387">
        <f t="shared" ref="Z387:Z450" si="45">YEAR(N387)</f>
        <v>2026</v>
      </c>
      <c r="AA387" t="str">
        <f t="shared" ref="AA387:AA450" si="46">TEXT(N387, "dddd")</f>
        <v>Wednesday</v>
      </c>
      <c r="AB387">
        <f t="shared" ref="AB387:AB450" si="47">N387-O387</f>
        <v>-29</v>
      </c>
      <c r="AC387" t="str">
        <f>IF(OR(D387="Heart Disease",D387="Cancer",D387="Stroke"),"High",IF(OR(D387="Diabetes",D387="Asthma"),"Medium","Low"))</f>
        <v>Medium</v>
      </c>
      <c r="AD387" t="str">
        <f t="shared" ref="AD387:AD450" si="48">IF(AC387="High","Yes","No")</f>
        <v>No</v>
      </c>
      <c r="AE387" t="str">
        <f>IF(G387&lt;=2,"Short Stay", IF(G387&lt;=7,"Normal Stay", "Long Stay"))</f>
        <v>Long Stay</v>
      </c>
      <c r="AF387" t="str">
        <f>IF(F387&gt;60000,"Expensive",IF(F387&gt;30000,"Moderate","Affordable"))</f>
        <v>Affordable</v>
      </c>
      <c r="AG387" t="str">
        <f>IF(J387&gt;=4.5,"Excellent",IF(J387&gt;=3.5,"Good",IF(J387&gt;=2.5,"Average","Poor")))</f>
        <v>Average</v>
      </c>
      <c r="AH387" t="str">
        <f>IF(OR(TEXT(N387,"dddd")="Saturday",TEXT(N387,"dddd")="Sunday"),"Weekend","Weekday")</f>
        <v>Weekday</v>
      </c>
    </row>
    <row r="388" spans="1:34" x14ac:dyDescent="0.3">
      <c r="A388">
        <v>393</v>
      </c>
      <c r="B388">
        <v>30</v>
      </c>
      <c r="C388" t="s">
        <v>21</v>
      </c>
      <c r="D388" t="s">
        <v>47</v>
      </c>
      <c r="E388" t="s">
        <v>48</v>
      </c>
      <c r="F388">
        <v>500</v>
      </c>
      <c r="G388">
        <v>27</v>
      </c>
      <c r="H388" t="s">
        <v>24</v>
      </c>
      <c r="I388" t="s">
        <v>25</v>
      </c>
      <c r="J388">
        <v>5</v>
      </c>
      <c r="K388" t="s">
        <v>107</v>
      </c>
      <c r="L388" t="s">
        <v>899</v>
      </c>
      <c r="M388" t="s">
        <v>900</v>
      </c>
      <c r="N388" s="2">
        <v>46044</v>
      </c>
      <c r="O388" s="2">
        <v>46071</v>
      </c>
      <c r="P388" t="s">
        <v>43</v>
      </c>
      <c r="Q388" t="s">
        <v>52</v>
      </c>
      <c r="R388" t="s">
        <v>45</v>
      </c>
      <c r="S388" t="s">
        <v>32</v>
      </c>
      <c r="T388" t="s">
        <v>33</v>
      </c>
      <c r="U388" t="s">
        <v>34</v>
      </c>
      <c r="V388" t="str">
        <f>IF(B388&lt;=18,"Children",IF(B388&lt;=35,"Young adult",IF(B388&lt;=60,"Adult", "Senior Citizen")))</f>
        <v>Young adult</v>
      </c>
      <c r="W388" t="str">
        <f t="shared" si="42"/>
        <v>Jan</v>
      </c>
      <c r="X388">
        <f t="shared" si="43"/>
        <v>1</v>
      </c>
      <c r="Y388" t="str">
        <f t="shared" si="44"/>
        <v>Q1</v>
      </c>
      <c r="Z388">
        <f t="shared" si="45"/>
        <v>2026</v>
      </c>
      <c r="AA388" t="str">
        <f t="shared" si="46"/>
        <v>Thursday</v>
      </c>
      <c r="AB388">
        <f t="shared" si="47"/>
        <v>-27</v>
      </c>
      <c r="AC388" t="str">
        <f>IF(OR(D388="Heart Disease",D388="Cancer",D388="Stroke"),"High",IF(OR(D388="Diabetes",D388="Asthma"),"Medium","Low"))</f>
        <v>Low</v>
      </c>
      <c r="AD388" t="str">
        <f t="shared" si="48"/>
        <v>No</v>
      </c>
      <c r="AE388" t="str">
        <f>IF(G388&lt;=2,"Short Stay", IF(G388&lt;=7,"Normal Stay", "Long Stay"))</f>
        <v>Long Stay</v>
      </c>
      <c r="AF388" t="str">
        <f>IF(F388&gt;60000,"Expensive",IF(F388&gt;30000,"Moderate","Affordable"))</f>
        <v>Affordable</v>
      </c>
      <c r="AG388" t="str">
        <f>IF(J388&gt;=4.5,"Excellent",IF(J388&gt;=3.5,"Good",IF(J388&gt;=2.5,"Average","Poor")))</f>
        <v>Excellent</v>
      </c>
      <c r="AH388" t="str">
        <f>IF(OR(TEXT(N388,"dddd")="Saturday",TEXT(N388,"dddd")="Sunday"),"Weekend","Weekday")</f>
        <v>Weekday</v>
      </c>
    </row>
    <row r="389" spans="1:34" x14ac:dyDescent="0.3">
      <c r="A389">
        <v>394</v>
      </c>
      <c r="B389">
        <v>70</v>
      </c>
      <c r="C389" t="s">
        <v>35</v>
      </c>
      <c r="D389" t="s">
        <v>54</v>
      </c>
      <c r="E389" t="s">
        <v>55</v>
      </c>
      <c r="F389">
        <v>10000</v>
      </c>
      <c r="G389">
        <v>34</v>
      </c>
      <c r="H389" t="s">
        <v>38</v>
      </c>
      <c r="I389" t="s">
        <v>39</v>
      </c>
      <c r="J389">
        <v>2</v>
      </c>
      <c r="K389" t="s">
        <v>175</v>
      </c>
      <c r="L389" t="s">
        <v>901</v>
      </c>
      <c r="M389" t="s">
        <v>902</v>
      </c>
      <c r="N389" s="2">
        <v>46045</v>
      </c>
      <c r="O389" s="2">
        <v>46079</v>
      </c>
      <c r="P389" t="s">
        <v>29</v>
      </c>
      <c r="Q389" t="s">
        <v>71</v>
      </c>
      <c r="R389" t="s">
        <v>59</v>
      </c>
      <c r="S389" t="s">
        <v>53</v>
      </c>
      <c r="T389" t="s">
        <v>33</v>
      </c>
      <c r="U389" t="s">
        <v>78</v>
      </c>
      <c r="V389" t="str">
        <f>IF(B389&lt;=18,"Children",IF(B389&lt;=35,"Young adult",IF(B389&lt;=60,"Adult", "Senior Citizen")))</f>
        <v>Senior Citizen</v>
      </c>
      <c r="W389" t="str">
        <f t="shared" si="42"/>
        <v>Jan</v>
      </c>
      <c r="X389">
        <f t="shared" si="43"/>
        <v>1</v>
      </c>
      <c r="Y389" t="str">
        <f t="shared" si="44"/>
        <v>Q1</v>
      </c>
      <c r="Z389">
        <f t="shared" si="45"/>
        <v>2026</v>
      </c>
      <c r="AA389" t="str">
        <f t="shared" si="46"/>
        <v>Friday</v>
      </c>
      <c r="AB389">
        <f t="shared" si="47"/>
        <v>-34</v>
      </c>
      <c r="AC389" t="str">
        <f>IF(OR(D389="Heart Disease",D389="Cancer",D389="Stroke"),"High",IF(OR(D389="Diabetes",D389="Asthma"),"Medium","Low"))</f>
        <v>High</v>
      </c>
      <c r="AD389" t="str">
        <f t="shared" si="48"/>
        <v>Yes</v>
      </c>
      <c r="AE389" t="str">
        <f>IF(G389&lt;=2,"Short Stay", IF(G389&lt;=7,"Normal Stay", "Long Stay"))</f>
        <v>Long Stay</v>
      </c>
      <c r="AF389" t="str">
        <f>IF(F389&gt;60000,"Expensive",IF(F389&gt;30000,"Moderate","Affordable"))</f>
        <v>Affordable</v>
      </c>
      <c r="AG389" t="str">
        <f>IF(J389&gt;=4.5,"Excellent",IF(J389&gt;=3.5,"Good",IF(J389&gt;=2.5,"Average","Poor")))</f>
        <v>Poor</v>
      </c>
      <c r="AH389" t="str">
        <f>IF(OR(TEXT(N389,"dddd")="Saturday",TEXT(N389,"dddd")="Sunday"),"Weekend","Weekday")</f>
        <v>Weekday</v>
      </c>
    </row>
    <row r="390" spans="1:34" x14ac:dyDescent="0.3">
      <c r="A390">
        <v>395</v>
      </c>
      <c r="B390">
        <v>55</v>
      </c>
      <c r="C390" t="s">
        <v>21</v>
      </c>
      <c r="D390" t="s">
        <v>60</v>
      </c>
      <c r="E390" t="s">
        <v>61</v>
      </c>
      <c r="F390">
        <v>25000</v>
      </c>
      <c r="G390">
        <v>36</v>
      </c>
      <c r="H390" t="s">
        <v>24</v>
      </c>
      <c r="I390" t="s">
        <v>25</v>
      </c>
      <c r="J390">
        <v>4</v>
      </c>
      <c r="K390" t="s">
        <v>26</v>
      </c>
      <c r="L390" t="s">
        <v>903</v>
      </c>
      <c r="M390" t="s">
        <v>904</v>
      </c>
      <c r="N390" s="2">
        <v>46046</v>
      </c>
      <c r="O390" s="2">
        <v>46082</v>
      </c>
      <c r="P390" t="s">
        <v>29</v>
      </c>
      <c r="Q390" t="s">
        <v>139</v>
      </c>
      <c r="R390" t="s">
        <v>65</v>
      </c>
      <c r="S390" t="s">
        <v>32</v>
      </c>
      <c r="T390" t="s">
        <v>33</v>
      </c>
      <c r="U390" t="s">
        <v>34</v>
      </c>
      <c r="V390" t="str">
        <f>IF(B390&lt;=18,"Children",IF(B390&lt;=35,"Young adult",IF(B390&lt;=60,"Adult", "Senior Citizen")))</f>
        <v>Adult</v>
      </c>
      <c r="W390" t="str">
        <f t="shared" si="42"/>
        <v>Jan</v>
      </c>
      <c r="X390">
        <f t="shared" si="43"/>
        <v>1</v>
      </c>
      <c r="Y390" t="str">
        <f t="shared" si="44"/>
        <v>Q1</v>
      </c>
      <c r="Z390">
        <f t="shared" si="45"/>
        <v>2026</v>
      </c>
      <c r="AA390" t="str">
        <f t="shared" si="46"/>
        <v>Saturday</v>
      </c>
      <c r="AB390">
        <f t="shared" si="47"/>
        <v>-36</v>
      </c>
      <c r="AC390" t="str">
        <f>IF(OR(D390="Heart Disease",D390="Cancer",D390="Stroke"),"High",IF(OR(D390="Diabetes",D390="Asthma"),"Medium","Low"))</f>
        <v>High</v>
      </c>
      <c r="AD390" t="str">
        <f t="shared" si="48"/>
        <v>Yes</v>
      </c>
      <c r="AE390" t="str">
        <f>IF(G390&lt;=2,"Short Stay", IF(G390&lt;=7,"Normal Stay", "Long Stay"))</f>
        <v>Long Stay</v>
      </c>
      <c r="AF390" t="str">
        <f>IF(F390&gt;60000,"Expensive",IF(F390&gt;30000,"Moderate","Affordable"))</f>
        <v>Affordable</v>
      </c>
      <c r="AG390" t="str">
        <f>IF(J390&gt;=4.5,"Excellent",IF(J390&gt;=3.5,"Good",IF(J390&gt;=2.5,"Average","Poor")))</f>
        <v>Good</v>
      </c>
      <c r="AH390" t="str">
        <f>IF(OR(TEXT(N390,"dddd")="Saturday",TEXT(N390,"dddd")="Sunday"),"Weekend","Weekday")</f>
        <v>Weekend</v>
      </c>
    </row>
    <row r="391" spans="1:34" x14ac:dyDescent="0.3">
      <c r="A391">
        <v>396</v>
      </c>
      <c r="B391">
        <v>68</v>
      </c>
      <c r="C391" t="s">
        <v>35</v>
      </c>
      <c r="D391" t="s">
        <v>66</v>
      </c>
      <c r="E391" t="s">
        <v>67</v>
      </c>
      <c r="F391">
        <v>1000</v>
      </c>
      <c r="G391">
        <v>28</v>
      </c>
      <c r="H391" t="s">
        <v>24</v>
      </c>
      <c r="I391" t="s">
        <v>39</v>
      </c>
      <c r="J391">
        <v>4</v>
      </c>
      <c r="K391" t="s">
        <v>125</v>
      </c>
      <c r="L391" t="s">
        <v>905</v>
      </c>
      <c r="M391" t="s">
        <v>906</v>
      </c>
      <c r="N391" s="2">
        <v>46047</v>
      </c>
      <c r="O391" s="2">
        <v>46075</v>
      </c>
      <c r="P391" t="s">
        <v>43</v>
      </c>
      <c r="Q391" t="s">
        <v>30</v>
      </c>
      <c r="R391" t="s">
        <v>45</v>
      </c>
      <c r="S391" t="s">
        <v>77</v>
      </c>
      <c r="T391" t="s">
        <v>33</v>
      </c>
      <c r="U391" t="s">
        <v>78</v>
      </c>
      <c r="V391" t="str">
        <f>IF(B391&lt;=18,"Children",IF(B391&lt;=35,"Young adult",IF(B391&lt;=60,"Adult", "Senior Citizen")))</f>
        <v>Senior Citizen</v>
      </c>
      <c r="W391" t="str">
        <f t="shared" si="42"/>
        <v>Jan</v>
      </c>
      <c r="X391">
        <f t="shared" si="43"/>
        <v>1</v>
      </c>
      <c r="Y391" t="str">
        <f t="shared" si="44"/>
        <v>Q1</v>
      </c>
      <c r="Z391">
        <f t="shared" si="45"/>
        <v>2026</v>
      </c>
      <c r="AA391" t="str">
        <f t="shared" si="46"/>
        <v>Sunday</v>
      </c>
      <c r="AB391">
        <f t="shared" si="47"/>
        <v>-28</v>
      </c>
      <c r="AC391" t="str">
        <f>IF(OR(D391="Heart Disease",D391="Cancer",D391="Stroke"),"High",IF(OR(D391="Diabetes",D391="Asthma"),"Medium","Low"))</f>
        <v>Low</v>
      </c>
      <c r="AD391" t="str">
        <f t="shared" si="48"/>
        <v>No</v>
      </c>
      <c r="AE391" t="str">
        <f>IF(G391&lt;=2,"Short Stay", IF(G391&lt;=7,"Normal Stay", "Long Stay"))</f>
        <v>Long Stay</v>
      </c>
      <c r="AF391" t="str">
        <f>IF(F391&gt;60000,"Expensive",IF(F391&gt;30000,"Moderate","Affordable"))</f>
        <v>Affordable</v>
      </c>
      <c r="AG391" t="str">
        <f>IF(J391&gt;=4.5,"Excellent",IF(J391&gt;=3.5,"Good",IF(J391&gt;=2.5,"Average","Poor")))</f>
        <v>Good</v>
      </c>
      <c r="AH391" t="str">
        <f>IF(OR(TEXT(N391,"dddd")="Saturday",TEXT(N391,"dddd")="Sunday"),"Weekend","Weekday")</f>
        <v>Weekend</v>
      </c>
    </row>
    <row r="392" spans="1:34" x14ac:dyDescent="0.3">
      <c r="A392">
        <v>397</v>
      </c>
      <c r="B392">
        <v>45</v>
      </c>
      <c r="C392" t="s">
        <v>21</v>
      </c>
      <c r="D392" t="s">
        <v>73</v>
      </c>
      <c r="E392" t="s">
        <v>74</v>
      </c>
      <c r="F392">
        <v>8000</v>
      </c>
      <c r="G392">
        <v>30</v>
      </c>
      <c r="H392" t="s">
        <v>24</v>
      </c>
      <c r="I392" t="s">
        <v>25</v>
      </c>
      <c r="J392">
        <v>3</v>
      </c>
      <c r="K392" t="s">
        <v>203</v>
      </c>
      <c r="L392" t="s">
        <v>907</v>
      </c>
      <c r="M392" t="s">
        <v>908</v>
      </c>
      <c r="N392" s="2">
        <v>46048</v>
      </c>
      <c r="O392" s="2">
        <v>46078</v>
      </c>
      <c r="P392" t="s">
        <v>29</v>
      </c>
      <c r="Q392" t="s">
        <v>139</v>
      </c>
      <c r="R392" t="s">
        <v>45</v>
      </c>
      <c r="S392" t="s">
        <v>53</v>
      </c>
      <c r="T392" t="s">
        <v>33</v>
      </c>
      <c r="U392" t="s">
        <v>104</v>
      </c>
      <c r="V392" t="str">
        <f>IF(B392&lt;=18,"Children",IF(B392&lt;=35,"Young adult",IF(B392&lt;=60,"Adult", "Senior Citizen")))</f>
        <v>Adult</v>
      </c>
      <c r="W392" t="str">
        <f t="shared" si="42"/>
        <v>Jan</v>
      </c>
      <c r="X392">
        <f t="shared" si="43"/>
        <v>1</v>
      </c>
      <c r="Y392" t="str">
        <f t="shared" si="44"/>
        <v>Q1</v>
      </c>
      <c r="Z392">
        <f t="shared" si="45"/>
        <v>2026</v>
      </c>
      <c r="AA392" t="str">
        <f t="shared" si="46"/>
        <v>Monday</v>
      </c>
      <c r="AB392">
        <f t="shared" si="47"/>
        <v>-30</v>
      </c>
      <c r="AC392" t="str">
        <f>IF(OR(D392="Heart Disease",D392="Cancer",D392="Stroke"),"High",IF(OR(D392="Diabetes",D392="Asthma"),"Medium","Low"))</f>
        <v>Low</v>
      </c>
      <c r="AD392" t="str">
        <f t="shared" si="48"/>
        <v>No</v>
      </c>
      <c r="AE392" t="str">
        <f>IF(G392&lt;=2,"Short Stay", IF(G392&lt;=7,"Normal Stay", "Long Stay"))</f>
        <v>Long Stay</v>
      </c>
      <c r="AF392" t="str">
        <f>IF(F392&gt;60000,"Expensive",IF(F392&gt;30000,"Moderate","Affordable"))</f>
        <v>Affordable</v>
      </c>
      <c r="AG392" t="str">
        <f>IF(J392&gt;=4.5,"Excellent",IF(J392&gt;=3.5,"Good",IF(J392&gt;=2.5,"Average","Poor")))</f>
        <v>Average</v>
      </c>
      <c r="AH392" t="str">
        <f>IF(OR(TEXT(N392,"dddd")="Saturday",TEXT(N392,"dddd")="Sunday"),"Weekend","Weekday")</f>
        <v>Weekday</v>
      </c>
    </row>
    <row r="393" spans="1:34" x14ac:dyDescent="0.3">
      <c r="A393">
        <v>398</v>
      </c>
      <c r="B393">
        <v>40</v>
      </c>
      <c r="C393" t="s">
        <v>35</v>
      </c>
      <c r="D393" t="s">
        <v>79</v>
      </c>
      <c r="E393" t="s">
        <v>80</v>
      </c>
      <c r="F393">
        <v>3000</v>
      </c>
      <c r="G393">
        <v>32</v>
      </c>
      <c r="H393" t="s">
        <v>24</v>
      </c>
      <c r="I393" t="s">
        <v>25</v>
      </c>
      <c r="J393">
        <v>4</v>
      </c>
      <c r="K393" t="s">
        <v>329</v>
      </c>
      <c r="L393" t="s">
        <v>909</v>
      </c>
      <c r="M393" t="s">
        <v>910</v>
      </c>
      <c r="N393" s="2">
        <v>46049</v>
      </c>
      <c r="O393" s="2">
        <v>46081</v>
      </c>
      <c r="P393" t="s">
        <v>29</v>
      </c>
      <c r="Q393" t="s">
        <v>71</v>
      </c>
      <c r="R393" t="s">
        <v>45</v>
      </c>
      <c r="S393" t="s">
        <v>72</v>
      </c>
      <c r="T393" t="s">
        <v>33</v>
      </c>
      <c r="U393" t="s">
        <v>34</v>
      </c>
      <c r="V393" t="str">
        <f>IF(B393&lt;=18,"Children",IF(B393&lt;=35,"Young adult",IF(B393&lt;=60,"Adult", "Senior Citizen")))</f>
        <v>Adult</v>
      </c>
      <c r="W393" t="str">
        <f t="shared" si="42"/>
        <v>Jan</v>
      </c>
      <c r="X393">
        <f t="shared" si="43"/>
        <v>1</v>
      </c>
      <c r="Y393" t="str">
        <f t="shared" si="44"/>
        <v>Q1</v>
      </c>
      <c r="Z393">
        <f t="shared" si="45"/>
        <v>2026</v>
      </c>
      <c r="AA393" t="str">
        <f t="shared" si="46"/>
        <v>Tuesday</v>
      </c>
      <c r="AB393">
        <f t="shared" si="47"/>
        <v>-32</v>
      </c>
      <c r="AC393" t="str">
        <f>IF(OR(D393="Heart Disease",D393="Cancer",D393="Stroke"),"High",IF(OR(D393="Diabetes",D393="Asthma"),"Medium","Low"))</f>
        <v>Low</v>
      </c>
      <c r="AD393" t="str">
        <f t="shared" si="48"/>
        <v>No</v>
      </c>
      <c r="AE393" t="str">
        <f>IF(G393&lt;=2,"Short Stay", IF(G393&lt;=7,"Normal Stay", "Long Stay"))</f>
        <v>Long Stay</v>
      </c>
      <c r="AF393" t="str">
        <f>IF(F393&gt;60000,"Expensive",IF(F393&gt;30000,"Moderate","Affordable"))</f>
        <v>Affordable</v>
      </c>
      <c r="AG393" t="str">
        <f>IF(J393&gt;=4.5,"Excellent",IF(J393&gt;=3.5,"Good",IF(J393&gt;=2.5,"Average","Poor")))</f>
        <v>Good</v>
      </c>
      <c r="AH393" t="str">
        <f>IF(OR(TEXT(N393,"dddd")="Saturday",TEXT(N393,"dddd")="Sunday"),"Weekend","Weekday")</f>
        <v>Weekday</v>
      </c>
    </row>
    <row r="394" spans="1:34" x14ac:dyDescent="0.3">
      <c r="A394">
        <v>399</v>
      </c>
      <c r="B394">
        <v>78</v>
      </c>
      <c r="C394" t="s">
        <v>21</v>
      </c>
      <c r="D394" t="s">
        <v>85</v>
      </c>
      <c r="E394" t="s">
        <v>86</v>
      </c>
      <c r="F394">
        <v>18000</v>
      </c>
      <c r="G394">
        <v>34</v>
      </c>
      <c r="H394" t="s">
        <v>38</v>
      </c>
      <c r="I394" t="s">
        <v>39</v>
      </c>
      <c r="J394">
        <v>2</v>
      </c>
      <c r="K394" t="s">
        <v>160</v>
      </c>
      <c r="L394" t="s">
        <v>911</v>
      </c>
      <c r="M394" t="s">
        <v>912</v>
      </c>
      <c r="N394" s="2">
        <v>46050</v>
      </c>
      <c r="O394" s="2">
        <v>46084</v>
      </c>
      <c r="P394" t="s">
        <v>29</v>
      </c>
      <c r="Q394" t="s">
        <v>30</v>
      </c>
      <c r="R394" t="s">
        <v>45</v>
      </c>
      <c r="S394" t="s">
        <v>110</v>
      </c>
      <c r="T394" t="s">
        <v>33</v>
      </c>
      <c r="U394" t="s">
        <v>104</v>
      </c>
      <c r="V394" t="str">
        <f>IF(B394&lt;=18,"Children",IF(B394&lt;=35,"Young adult",IF(B394&lt;=60,"Adult", "Senior Citizen")))</f>
        <v>Senior Citizen</v>
      </c>
      <c r="W394" t="str">
        <f t="shared" si="42"/>
        <v>Jan</v>
      </c>
      <c r="X394">
        <f t="shared" si="43"/>
        <v>1</v>
      </c>
      <c r="Y394" t="str">
        <f t="shared" si="44"/>
        <v>Q1</v>
      </c>
      <c r="Z394">
        <f t="shared" si="45"/>
        <v>2026</v>
      </c>
      <c r="AA394" t="str">
        <f t="shared" si="46"/>
        <v>Wednesday</v>
      </c>
      <c r="AB394">
        <f t="shared" si="47"/>
        <v>-34</v>
      </c>
      <c r="AC394" t="str">
        <f>IF(OR(D394="Heart Disease",D394="Cancer",D394="Stroke"),"High",IF(OR(D394="Diabetes",D394="Asthma"),"Medium","Low"))</f>
        <v>Low</v>
      </c>
      <c r="AD394" t="str">
        <f t="shared" si="48"/>
        <v>No</v>
      </c>
      <c r="AE394" t="str">
        <f>IF(G394&lt;=2,"Short Stay", IF(G394&lt;=7,"Normal Stay", "Long Stay"))</f>
        <v>Long Stay</v>
      </c>
      <c r="AF394" t="str">
        <f>IF(F394&gt;60000,"Expensive",IF(F394&gt;30000,"Moderate","Affordable"))</f>
        <v>Affordable</v>
      </c>
      <c r="AG394" t="str">
        <f>IF(J394&gt;=4.5,"Excellent",IF(J394&gt;=3.5,"Good",IF(J394&gt;=2.5,"Average","Poor")))</f>
        <v>Poor</v>
      </c>
      <c r="AH394" t="str">
        <f>IF(OR(TEXT(N394,"dddd")="Saturday",TEXT(N394,"dddd")="Sunday"),"Weekend","Weekday")</f>
        <v>Weekday</v>
      </c>
    </row>
    <row r="395" spans="1:34" x14ac:dyDescent="0.3">
      <c r="A395">
        <v>400</v>
      </c>
      <c r="B395">
        <v>25</v>
      </c>
      <c r="C395" t="s">
        <v>35</v>
      </c>
      <c r="D395" t="s">
        <v>89</v>
      </c>
      <c r="E395" t="s">
        <v>90</v>
      </c>
      <c r="F395">
        <v>100</v>
      </c>
      <c r="G395">
        <v>27</v>
      </c>
      <c r="H395" t="s">
        <v>24</v>
      </c>
      <c r="I395" t="s">
        <v>25</v>
      </c>
      <c r="J395">
        <v>5</v>
      </c>
      <c r="K395" t="s">
        <v>197</v>
      </c>
      <c r="L395" t="s">
        <v>913</v>
      </c>
      <c r="M395" t="s">
        <v>914</v>
      </c>
      <c r="N395" s="2">
        <v>46051</v>
      </c>
      <c r="O395" s="2">
        <v>46078</v>
      </c>
      <c r="P395" t="s">
        <v>43</v>
      </c>
      <c r="Q395" t="s">
        <v>71</v>
      </c>
      <c r="R395" t="s">
        <v>45</v>
      </c>
      <c r="S395" t="s">
        <v>110</v>
      </c>
      <c r="T395" t="s">
        <v>33</v>
      </c>
      <c r="U395" t="s">
        <v>34</v>
      </c>
      <c r="V395" t="str">
        <f>IF(B395&lt;=18,"Children",IF(B395&lt;=35,"Young adult",IF(B395&lt;=60,"Adult", "Senior Citizen")))</f>
        <v>Young adult</v>
      </c>
      <c r="W395" t="str">
        <f t="shared" si="42"/>
        <v>Jan</v>
      </c>
      <c r="X395">
        <f t="shared" si="43"/>
        <v>1</v>
      </c>
      <c r="Y395" t="str">
        <f t="shared" si="44"/>
        <v>Q1</v>
      </c>
      <c r="Z395">
        <f t="shared" si="45"/>
        <v>2026</v>
      </c>
      <c r="AA395" t="str">
        <f t="shared" si="46"/>
        <v>Thursday</v>
      </c>
      <c r="AB395">
        <f t="shared" si="47"/>
        <v>-27</v>
      </c>
      <c r="AC395" t="str">
        <f>IF(OR(D395="Heart Disease",D395="Cancer",D395="Stroke"),"High",IF(OR(D395="Diabetes",D395="Asthma"),"Medium","Low"))</f>
        <v>Low</v>
      </c>
      <c r="AD395" t="str">
        <f t="shared" si="48"/>
        <v>No</v>
      </c>
      <c r="AE395" t="str">
        <f>IF(G395&lt;=2,"Short Stay", IF(G395&lt;=7,"Normal Stay", "Long Stay"))</f>
        <v>Long Stay</v>
      </c>
      <c r="AF395" t="str">
        <f>IF(F395&gt;60000,"Expensive",IF(F395&gt;30000,"Moderate","Affordable"))</f>
        <v>Affordable</v>
      </c>
      <c r="AG395" t="str">
        <f>IF(J395&gt;=4.5,"Excellent",IF(J395&gt;=3.5,"Good",IF(J395&gt;=2.5,"Average","Poor")))</f>
        <v>Excellent</v>
      </c>
      <c r="AH395" t="str">
        <f>IF(OR(TEXT(N395,"dddd")="Saturday",TEXT(N395,"dddd")="Sunday"),"Weekend","Weekday")</f>
        <v>Weekday</v>
      </c>
    </row>
    <row r="396" spans="1:34" x14ac:dyDescent="0.3">
      <c r="A396">
        <v>401</v>
      </c>
      <c r="B396">
        <v>52</v>
      </c>
      <c r="C396" t="s">
        <v>21</v>
      </c>
      <c r="D396" t="s">
        <v>94</v>
      </c>
      <c r="E396" t="s">
        <v>95</v>
      </c>
      <c r="F396">
        <v>800</v>
      </c>
      <c r="G396">
        <v>28</v>
      </c>
      <c r="H396" t="s">
        <v>24</v>
      </c>
      <c r="I396" t="s">
        <v>39</v>
      </c>
      <c r="J396">
        <v>4</v>
      </c>
      <c r="K396" t="s">
        <v>197</v>
      </c>
      <c r="L396" t="s">
        <v>915</v>
      </c>
      <c r="M396" t="s">
        <v>916</v>
      </c>
      <c r="N396" s="2">
        <v>46052</v>
      </c>
      <c r="O396" s="2">
        <v>46080</v>
      </c>
      <c r="P396" t="s">
        <v>43</v>
      </c>
      <c r="Q396" t="s">
        <v>71</v>
      </c>
      <c r="R396" t="s">
        <v>45</v>
      </c>
      <c r="S396" t="s">
        <v>77</v>
      </c>
      <c r="T396" t="s">
        <v>33</v>
      </c>
      <c r="U396" t="s">
        <v>104</v>
      </c>
      <c r="V396" t="str">
        <f>IF(B396&lt;=18,"Children",IF(B396&lt;=35,"Young adult",IF(B396&lt;=60,"Adult", "Senior Citizen")))</f>
        <v>Adult</v>
      </c>
      <c r="W396" t="str">
        <f t="shared" si="42"/>
        <v>Jan</v>
      </c>
      <c r="X396">
        <f t="shared" si="43"/>
        <v>1</v>
      </c>
      <c r="Y396" t="str">
        <f t="shared" si="44"/>
        <v>Q1</v>
      </c>
      <c r="Z396">
        <f t="shared" si="45"/>
        <v>2026</v>
      </c>
      <c r="AA396" t="str">
        <f t="shared" si="46"/>
        <v>Friday</v>
      </c>
      <c r="AB396">
        <f t="shared" si="47"/>
        <v>-28</v>
      </c>
      <c r="AC396" t="str">
        <f>IF(OR(D396="Heart Disease",D396="Cancer",D396="Stroke"),"High",IF(OR(D396="Diabetes",D396="Asthma"),"Medium","Low"))</f>
        <v>Low</v>
      </c>
      <c r="AD396" t="str">
        <f t="shared" si="48"/>
        <v>No</v>
      </c>
      <c r="AE396" t="str">
        <f>IF(G396&lt;=2,"Short Stay", IF(G396&lt;=7,"Normal Stay", "Long Stay"))</f>
        <v>Long Stay</v>
      </c>
      <c r="AF396" t="str">
        <f>IF(F396&gt;60000,"Expensive",IF(F396&gt;30000,"Moderate","Affordable"))</f>
        <v>Affordable</v>
      </c>
      <c r="AG396" t="str">
        <f>IF(J396&gt;=4.5,"Excellent",IF(J396&gt;=3.5,"Good",IF(J396&gt;=2.5,"Average","Poor")))</f>
        <v>Good</v>
      </c>
      <c r="AH396" t="str">
        <f>IF(OR(TEXT(N396,"dddd")="Saturday",TEXT(N396,"dddd")="Sunday"),"Weekend","Weekday")</f>
        <v>Weekday</v>
      </c>
    </row>
    <row r="397" spans="1:34" x14ac:dyDescent="0.3">
      <c r="A397">
        <v>402</v>
      </c>
      <c r="B397">
        <v>58</v>
      </c>
      <c r="C397" t="s">
        <v>35</v>
      </c>
      <c r="D397" t="s">
        <v>99</v>
      </c>
      <c r="E397" t="s">
        <v>100</v>
      </c>
      <c r="F397">
        <v>20000</v>
      </c>
      <c r="G397">
        <v>35</v>
      </c>
      <c r="H397" t="s">
        <v>24</v>
      </c>
      <c r="I397" t="s">
        <v>25</v>
      </c>
      <c r="J397">
        <v>3</v>
      </c>
      <c r="K397" t="s">
        <v>175</v>
      </c>
      <c r="L397" t="s">
        <v>917</v>
      </c>
      <c r="M397" t="s">
        <v>918</v>
      </c>
      <c r="N397" s="2">
        <v>46053</v>
      </c>
      <c r="O397" s="2">
        <v>46088</v>
      </c>
      <c r="P397" t="s">
        <v>29</v>
      </c>
      <c r="Q397" t="s">
        <v>44</v>
      </c>
      <c r="R397" t="s">
        <v>45</v>
      </c>
      <c r="S397" t="s">
        <v>53</v>
      </c>
      <c r="T397" t="s">
        <v>33</v>
      </c>
      <c r="U397" t="s">
        <v>46</v>
      </c>
      <c r="V397" t="str">
        <f>IF(B397&lt;=18,"Children",IF(B397&lt;=35,"Young adult",IF(B397&lt;=60,"Adult", "Senior Citizen")))</f>
        <v>Adult</v>
      </c>
      <c r="W397" t="str">
        <f t="shared" si="42"/>
        <v>Jan</v>
      </c>
      <c r="X397">
        <f t="shared" si="43"/>
        <v>1</v>
      </c>
      <c r="Y397" t="str">
        <f t="shared" si="44"/>
        <v>Q1</v>
      </c>
      <c r="Z397">
        <f t="shared" si="45"/>
        <v>2026</v>
      </c>
      <c r="AA397" t="str">
        <f t="shared" si="46"/>
        <v>Saturday</v>
      </c>
      <c r="AB397">
        <f t="shared" si="47"/>
        <v>-35</v>
      </c>
      <c r="AC397" t="str">
        <f>IF(OR(D397="Heart Disease",D397="Cancer",D397="Stroke"),"High",IF(OR(D397="Diabetes",D397="Asthma"),"Medium","Low"))</f>
        <v>Low</v>
      </c>
      <c r="AD397" t="str">
        <f t="shared" si="48"/>
        <v>No</v>
      </c>
      <c r="AE397" t="str">
        <f>IF(G397&lt;=2,"Short Stay", IF(G397&lt;=7,"Normal Stay", "Long Stay"))</f>
        <v>Long Stay</v>
      </c>
      <c r="AF397" t="str">
        <f>IF(F397&gt;60000,"Expensive",IF(F397&gt;30000,"Moderate","Affordable"))</f>
        <v>Affordable</v>
      </c>
      <c r="AG397" t="str">
        <f>IF(J397&gt;=4.5,"Excellent",IF(J397&gt;=3.5,"Good",IF(J397&gt;=2.5,"Average","Poor")))</f>
        <v>Average</v>
      </c>
      <c r="AH397" t="str">
        <f>IF(OR(TEXT(N397,"dddd")="Saturday",TEXT(N397,"dddd")="Sunday"),"Weekend","Weekday")</f>
        <v>Weekend</v>
      </c>
    </row>
    <row r="398" spans="1:34" x14ac:dyDescent="0.3">
      <c r="A398">
        <v>403</v>
      </c>
      <c r="B398">
        <v>32</v>
      </c>
      <c r="C398" t="s">
        <v>21</v>
      </c>
      <c r="D398" t="s">
        <v>105</v>
      </c>
      <c r="E398" t="s">
        <v>106</v>
      </c>
      <c r="F398">
        <v>12000</v>
      </c>
      <c r="G398">
        <v>29</v>
      </c>
      <c r="H398" t="s">
        <v>24</v>
      </c>
      <c r="I398" t="s">
        <v>25</v>
      </c>
      <c r="J398">
        <v>4</v>
      </c>
      <c r="K398" t="s">
        <v>218</v>
      </c>
      <c r="L398" t="s">
        <v>919</v>
      </c>
      <c r="M398" t="s">
        <v>920</v>
      </c>
      <c r="N398" s="2">
        <v>46054</v>
      </c>
      <c r="O398" s="2">
        <v>46083</v>
      </c>
      <c r="P398" t="s">
        <v>29</v>
      </c>
      <c r="Q398" t="s">
        <v>71</v>
      </c>
      <c r="R398" t="s">
        <v>45</v>
      </c>
      <c r="S398" t="s">
        <v>72</v>
      </c>
      <c r="T398" t="s">
        <v>33</v>
      </c>
      <c r="U398" t="s">
        <v>34</v>
      </c>
      <c r="V398" t="str">
        <f>IF(B398&lt;=18,"Children",IF(B398&lt;=35,"Young adult",IF(B398&lt;=60,"Adult", "Senior Citizen")))</f>
        <v>Young adult</v>
      </c>
      <c r="W398" t="str">
        <f t="shared" si="42"/>
        <v>Feb</v>
      </c>
      <c r="X398">
        <f t="shared" si="43"/>
        <v>2</v>
      </c>
      <c r="Y398" t="str">
        <f t="shared" si="44"/>
        <v>Q1</v>
      </c>
      <c r="Z398">
        <f t="shared" si="45"/>
        <v>2026</v>
      </c>
      <c r="AA398" t="str">
        <f t="shared" si="46"/>
        <v>Sunday</v>
      </c>
      <c r="AB398">
        <f t="shared" si="47"/>
        <v>-29</v>
      </c>
      <c r="AC398" t="str">
        <f>IF(OR(D398="Heart Disease",D398="Cancer",D398="Stroke"),"High",IF(OR(D398="Diabetes",D398="Asthma"),"Medium","Low"))</f>
        <v>Low</v>
      </c>
      <c r="AD398" t="str">
        <f t="shared" si="48"/>
        <v>No</v>
      </c>
      <c r="AE398" t="str">
        <f>IF(G398&lt;=2,"Short Stay", IF(G398&lt;=7,"Normal Stay", "Long Stay"))</f>
        <v>Long Stay</v>
      </c>
      <c r="AF398" t="str">
        <f>IF(F398&gt;60000,"Expensive",IF(F398&gt;30000,"Moderate","Affordable"))</f>
        <v>Affordable</v>
      </c>
      <c r="AG398" t="str">
        <f>IF(J398&gt;=4.5,"Excellent",IF(J398&gt;=3.5,"Good",IF(J398&gt;=2.5,"Average","Poor")))</f>
        <v>Good</v>
      </c>
      <c r="AH398" t="str">
        <f>IF(OR(TEXT(N398,"dddd")="Saturday",TEXT(N398,"dddd")="Sunday"),"Weekend","Weekday")</f>
        <v>Weekend</v>
      </c>
    </row>
    <row r="399" spans="1:34" x14ac:dyDescent="0.3">
      <c r="A399">
        <v>404</v>
      </c>
      <c r="B399">
        <v>55</v>
      </c>
      <c r="C399" t="s">
        <v>35</v>
      </c>
      <c r="D399" t="s">
        <v>111</v>
      </c>
      <c r="E399" t="s">
        <v>112</v>
      </c>
      <c r="F399">
        <v>6000</v>
      </c>
      <c r="G399">
        <v>30</v>
      </c>
      <c r="H399" t="s">
        <v>24</v>
      </c>
      <c r="I399" t="s">
        <v>25</v>
      </c>
      <c r="J399">
        <v>3</v>
      </c>
      <c r="K399" t="s">
        <v>172</v>
      </c>
      <c r="L399" t="s">
        <v>921</v>
      </c>
      <c r="M399" t="s">
        <v>922</v>
      </c>
      <c r="N399" s="2">
        <v>46055</v>
      </c>
      <c r="O399" s="2">
        <v>46085</v>
      </c>
      <c r="P399" t="s">
        <v>29</v>
      </c>
      <c r="Q399" t="s">
        <v>52</v>
      </c>
      <c r="R399" t="s">
        <v>45</v>
      </c>
      <c r="S399" t="s">
        <v>84</v>
      </c>
      <c r="T399" t="s">
        <v>33</v>
      </c>
      <c r="U399" t="s">
        <v>104</v>
      </c>
      <c r="V399" t="str">
        <f>IF(B399&lt;=18,"Children",IF(B399&lt;=35,"Young adult",IF(B399&lt;=60,"Adult", "Senior Citizen")))</f>
        <v>Adult</v>
      </c>
      <c r="W399" t="str">
        <f t="shared" si="42"/>
        <v>Feb</v>
      </c>
      <c r="X399">
        <f t="shared" si="43"/>
        <v>2</v>
      </c>
      <c r="Y399" t="str">
        <f t="shared" si="44"/>
        <v>Q1</v>
      </c>
      <c r="Z399">
        <f t="shared" si="45"/>
        <v>2026</v>
      </c>
      <c r="AA399" t="str">
        <f t="shared" si="46"/>
        <v>Monday</v>
      </c>
      <c r="AB399">
        <f t="shared" si="47"/>
        <v>-30</v>
      </c>
      <c r="AC399" t="str">
        <f>IF(OR(D399="Heart Disease",D399="Cancer",D399="Stroke"),"High",IF(OR(D399="Diabetes",D399="Asthma"),"Medium","Low"))</f>
        <v>Low</v>
      </c>
      <c r="AD399" t="str">
        <f t="shared" si="48"/>
        <v>No</v>
      </c>
      <c r="AE399" t="str">
        <f>IF(G399&lt;=2,"Short Stay", IF(G399&lt;=7,"Normal Stay", "Long Stay"))</f>
        <v>Long Stay</v>
      </c>
      <c r="AF399" t="str">
        <f>IF(F399&gt;60000,"Expensive",IF(F399&gt;30000,"Moderate","Affordable"))</f>
        <v>Affordable</v>
      </c>
      <c r="AG399" t="str">
        <f>IF(J399&gt;=4.5,"Excellent",IF(J399&gt;=3.5,"Good",IF(J399&gt;=2.5,"Average","Poor")))</f>
        <v>Average</v>
      </c>
      <c r="AH399" t="str">
        <f>IF(OR(TEXT(N399,"dddd")="Saturday",TEXT(N399,"dddd")="Sunday"),"Weekend","Weekday")</f>
        <v>Weekday</v>
      </c>
    </row>
    <row r="400" spans="1:34" x14ac:dyDescent="0.3">
      <c r="A400">
        <v>405</v>
      </c>
      <c r="B400">
        <v>65</v>
      </c>
      <c r="C400" t="s">
        <v>21</v>
      </c>
      <c r="D400" t="s">
        <v>116</v>
      </c>
      <c r="E400" t="s">
        <v>117</v>
      </c>
      <c r="F400">
        <v>4000</v>
      </c>
      <c r="G400">
        <v>31</v>
      </c>
      <c r="H400" t="s">
        <v>24</v>
      </c>
      <c r="I400" t="s">
        <v>39</v>
      </c>
      <c r="J400">
        <v>4</v>
      </c>
      <c r="K400" t="s">
        <v>210</v>
      </c>
      <c r="L400" t="s">
        <v>923</v>
      </c>
      <c r="M400" t="s">
        <v>924</v>
      </c>
      <c r="N400" s="2">
        <v>46056</v>
      </c>
      <c r="O400" s="2">
        <v>46087</v>
      </c>
      <c r="P400" t="s">
        <v>43</v>
      </c>
      <c r="Q400" t="s">
        <v>30</v>
      </c>
      <c r="R400" t="s">
        <v>45</v>
      </c>
      <c r="S400" t="s">
        <v>72</v>
      </c>
      <c r="T400" t="s">
        <v>33</v>
      </c>
      <c r="U400" t="s">
        <v>46</v>
      </c>
      <c r="V400" t="str">
        <f>IF(B400&lt;=18,"Children",IF(B400&lt;=35,"Young adult",IF(B400&lt;=60,"Adult", "Senior Citizen")))</f>
        <v>Senior Citizen</v>
      </c>
      <c r="W400" t="str">
        <f t="shared" si="42"/>
        <v>Feb</v>
      </c>
      <c r="X400">
        <f t="shared" si="43"/>
        <v>2</v>
      </c>
      <c r="Y400" t="str">
        <f t="shared" si="44"/>
        <v>Q1</v>
      </c>
      <c r="Z400">
        <f t="shared" si="45"/>
        <v>2026</v>
      </c>
      <c r="AA400" t="str">
        <f t="shared" si="46"/>
        <v>Tuesday</v>
      </c>
      <c r="AB400">
        <f t="shared" si="47"/>
        <v>-31</v>
      </c>
      <c r="AC400" t="str">
        <f>IF(OR(D400="Heart Disease",D400="Cancer",D400="Stroke"),"High",IF(OR(D400="Diabetes",D400="Asthma"),"Medium","Low"))</f>
        <v>Low</v>
      </c>
      <c r="AD400" t="str">
        <f t="shared" si="48"/>
        <v>No</v>
      </c>
      <c r="AE400" t="str">
        <f>IF(G400&lt;=2,"Short Stay", IF(G400&lt;=7,"Normal Stay", "Long Stay"))</f>
        <v>Long Stay</v>
      </c>
      <c r="AF400" t="str">
        <f>IF(F400&gt;60000,"Expensive",IF(F400&gt;30000,"Moderate","Affordable"))</f>
        <v>Affordable</v>
      </c>
      <c r="AG400" t="str">
        <f>IF(J400&gt;=4.5,"Excellent",IF(J400&gt;=3.5,"Good",IF(J400&gt;=2.5,"Average","Poor")))</f>
        <v>Good</v>
      </c>
      <c r="AH400" t="str">
        <f>IF(OR(TEXT(N400,"dddd")="Saturday",TEXT(N400,"dddd")="Sunday"),"Weekend","Weekday")</f>
        <v>Weekday</v>
      </c>
    </row>
    <row r="401" spans="1:34" x14ac:dyDescent="0.3">
      <c r="A401">
        <v>406</v>
      </c>
      <c r="B401">
        <v>55</v>
      </c>
      <c r="C401" t="s">
        <v>21</v>
      </c>
      <c r="D401" t="s">
        <v>22</v>
      </c>
      <c r="E401" t="s">
        <v>23</v>
      </c>
      <c r="F401">
        <v>15000</v>
      </c>
      <c r="G401">
        <v>32</v>
      </c>
      <c r="H401" t="s">
        <v>38</v>
      </c>
      <c r="I401" t="s">
        <v>25</v>
      </c>
      <c r="J401">
        <v>3</v>
      </c>
      <c r="K401" t="s">
        <v>203</v>
      </c>
      <c r="L401" t="s">
        <v>925</v>
      </c>
      <c r="M401" t="s">
        <v>926</v>
      </c>
      <c r="N401" s="2">
        <v>46057</v>
      </c>
      <c r="O401" s="2">
        <v>46089</v>
      </c>
      <c r="P401" t="s">
        <v>29</v>
      </c>
      <c r="Q401" t="s">
        <v>30</v>
      </c>
      <c r="R401" t="s">
        <v>31</v>
      </c>
      <c r="S401" t="s">
        <v>110</v>
      </c>
      <c r="T401" t="s">
        <v>33</v>
      </c>
      <c r="U401" t="s">
        <v>46</v>
      </c>
      <c r="V401" t="str">
        <f>IF(B401&lt;=18,"Children",IF(B401&lt;=35,"Young adult",IF(B401&lt;=60,"Adult", "Senior Citizen")))</f>
        <v>Adult</v>
      </c>
      <c r="W401" t="str">
        <f t="shared" si="42"/>
        <v>Feb</v>
      </c>
      <c r="X401">
        <f t="shared" si="43"/>
        <v>2</v>
      </c>
      <c r="Y401" t="str">
        <f t="shared" si="44"/>
        <v>Q1</v>
      </c>
      <c r="Z401">
        <f t="shared" si="45"/>
        <v>2026</v>
      </c>
      <c r="AA401" t="str">
        <f t="shared" si="46"/>
        <v>Wednesday</v>
      </c>
      <c r="AB401">
        <f t="shared" si="47"/>
        <v>-32</v>
      </c>
      <c r="AC401" t="str">
        <f>IF(OR(D401="Heart Disease",D401="Cancer",D401="Stroke"),"High",IF(OR(D401="Diabetes",D401="Asthma"),"Medium","Low"))</f>
        <v>High</v>
      </c>
      <c r="AD401" t="str">
        <f t="shared" si="48"/>
        <v>Yes</v>
      </c>
      <c r="AE401" t="str">
        <f>IF(G401&lt;=2,"Short Stay", IF(G401&lt;=7,"Normal Stay", "Long Stay"))</f>
        <v>Long Stay</v>
      </c>
      <c r="AF401" t="str">
        <f>IF(F401&gt;60000,"Expensive",IF(F401&gt;30000,"Moderate","Affordable"))</f>
        <v>Affordable</v>
      </c>
      <c r="AG401" t="str">
        <f>IF(J401&gt;=4.5,"Excellent",IF(J401&gt;=3.5,"Good",IF(J401&gt;=2.5,"Average","Poor")))</f>
        <v>Average</v>
      </c>
      <c r="AH401" t="str">
        <f>IF(OR(TEXT(N401,"dddd")="Saturday",TEXT(N401,"dddd")="Sunday"),"Weekend","Weekday")</f>
        <v>Weekday</v>
      </c>
    </row>
    <row r="402" spans="1:34" x14ac:dyDescent="0.3">
      <c r="A402">
        <v>407</v>
      </c>
      <c r="B402">
        <v>62</v>
      </c>
      <c r="C402" t="s">
        <v>35</v>
      </c>
      <c r="D402" t="s">
        <v>36</v>
      </c>
      <c r="E402" t="s">
        <v>37</v>
      </c>
      <c r="F402">
        <v>2000</v>
      </c>
      <c r="G402">
        <v>30</v>
      </c>
      <c r="H402" t="s">
        <v>24</v>
      </c>
      <c r="I402" t="s">
        <v>39</v>
      </c>
      <c r="J402">
        <v>4</v>
      </c>
      <c r="K402" t="s">
        <v>107</v>
      </c>
      <c r="L402" t="s">
        <v>927</v>
      </c>
      <c r="M402" t="s">
        <v>928</v>
      </c>
      <c r="N402" s="2">
        <v>46058</v>
      </c>
      <c r="O402" s="2">
        <v>46088</v>
      </c>
      <c r="P402" t="s">
        <v>29</v>
      </c>
      <c r="Q402" t="s">
        <v>139</v>
      </c>
      <c r="R402" t="s">
        <v>45</v>
      </c>
      <c r="S402" t="s">
        <v>84</v>
      </c>
      <c r="T402" t="s">
        <v>33</v>
      </c>
      <c r="U402" t="s">
        <v>34</v>
      </c>
      <c r="V402" t="str">
        <f>IF(B402&lt;=18,"Children",IF(B402&lt;=35,"Young adult",IF(B402&lt;=60,"Adult", "Senior Citizen")))</f>
        <v>Senior Citizen</v>
      </c>
      <c r="W402" t="str">
        <f t="shared" si="42"/>
        <v>Feb</v>
      </c>
      <c r="X402">
        <f t="shared" si="43"/>
        <v>2</v>
      </c>
      <c r="Y402" t="str">
        <f t="shared" si="44"/>
        <v>Q1</v>
      </c>
      <c r="Z402">
        <f t="shared" si="45"/>
        <v>2026</v>
      </c>
      <c r="AA402" t="str">
        <f t="shared" si="46"/>
        <v>Thursday</v>
      </c>
      <c r="AB402">
        <f t="shared" si="47"/>
        <v>-30</v>
      </c>
      <c r="AC402" t="str">
        <f>IF(OR(D402="Heart Disease",D402="Cancer",D402="Stroke"),"High",IF(OR(D402="Diabetes",D402="Asthma"),"Medium","Low"))</f>
        <v>Medium</v>
      </c>
      <c r="AD402" t="str">
        <f t="shared" si="48"/>
        <v>No</v>
      </c>
      <c r="AE402" t="str">
        <f>IF(G402&lt;=2,"Short Stay", IF(G402&lt;=7,"Normal Stay", "Long Stay"))</f>
        <v>Long Stay</v>
      </c>
      <c r="AF402" t="str">
        <f>IF(F402&gt;60000,"Expensive",IF(F402&gt;30000,"Moderate","Affordable"))</f>
        <v>Affordable</v>
      </c>
      <c r="AG402" t="str">
        <f>IF(J402&gt;=4.5,"Excellent",IF(J402&gt;=3.5,"Good",IF(J402&gt;=2.5,"Average","Poor")))</f>
        <v>Good</v>
      </c>
      <c r="AH402" t="str">
        <f>IF(OR(TEXT(N402,"dddd")="Saturday",TEXT(N402,"dddd")="Sunday"),"Weekend","Weekday")</f>
        <v>Weekday</v>
      </c>
    </row>
    <row r="403" spans="1:34" x14ac:dyDescent="0.3">
      <c r="A403">
        <v>408</v>
      </c>
      <c r="B403">
        <v>35</v>
      </c>
      <c r="C403" t="s">
        <v>21</v>
      </c>
      <c r="D403" t="s">
        <v>47</v>
      </c>
      <c r="E403" t="s">
        <v>48</v>
      </c>
      <c r="F403">
        <v>500</v>
      </c>
      <c r="G403">
        <v>28</v>
      </c>
      <c r="H403" t="s">
        <v>38</v>
      </c>
      <c r="I403" t="s">
        <v>25</v>
      </c>
      <c r="J403">
        <v>5</v>
      </c>
      <c r="K403" t="s">
        <v>345</v>
      </c>
      <c r="L403" t="s">
        <v>929</v>
      </c>
      <c r="M403" t="s">
        <v>930</v>
      </c>
      <c r="N403" s="2">
        <v>46059</v>
      </c>
      <c r="O403" s="2">
        <v>46087</v>
      </c>
      <c r="P403" t="s">
        <v>29</v>
      </c>
      <c r="Q403" t="s">
        <v>30</v>
      </c>
      <c r="R403" t="s">
        <v>45</v>
      </c>
      <c r="S403" t="s">
        <v>72</v>
      </c>
      <c r="T403" t="s">
        <v>33</v>
      </c>
      <c r="U403" t="s">
        <v>78</v>
      </c>
      <c r="V403" t="str">
        <f>IF(B403&lt;=18,"Children",IF(B403&lt;=35,"Young adult",IF(B403&lt;=60,"Adult", "Senior Citizen")))</f>
        <v>Young adult</v>
      </c>
      <c r="W403" t="str">
        <f t="shared" si="42"/>
        <v>Feb</v>
      </c>
      <c r="X403">
        <f t="shared" si="43"/>
        <v>2</v>
      </c>
      <c r="Y403" t="str">
        <f t="shared" si="44"/>
        <v>Q1</v>
      </c>
      <c r="Z403">
        <f t="shared" si="45"/>
        <v>2026</v>
      </c>
      <c r="AA403" t="str">
        <f t="shared" si="46"/>
        <v>Friday</v>
      </c>
      <c r="AB403">
        <f t="shared" si="47"/>
        <v>-28</v>
      </c>
      <c r="AC403" t="str">
        <f>IF(OR(D403="Heart Disease",D403="Cancer",D403="Stroke"),"High",IF(OR(D403="Diabetes",D403="Asthma"),"Medium","Low"))</f>
        <v>Low</v>
      </c>
      <c r="AD403" t="str">
        <f t="shared" si="48"/>
        <v>No</v>
      </c>
      <c r="AE403" t="str">
        <f>IF(G403&lt;=2,"Short Stay", IF(G403&lt;=7,"Normal Stay", "Long Stay"))</f>
        <v>Long Stay</v>
      </c>
      <c r="AF403" t="str">
        <f>IF(F403&gt;60000,"Expensive",IF(F403&gt;30000,"Moderate","Affordable"))</f>
        <v>Affordable</v>
      </c>
      <c r="AG403" t="str">
        <f>IF(J403&gt;=4.5,"Excellent",IF(J403&gt;=3.5,"Good",IF(J403&gt;=2.5,"Average","Poor")))</f>
        <v>Excellent</v>
      </c>
      <c r="AH403" t="str">
        <f>IF(OR(TEXT(N403,"dddd")="Saturday",TEXT(N403,"dddd")="Sunday"),"Weekend","Weekday")</f>
        <v>Weekday</v>
      </c>
    </row>
    <row r="404" spans="1:34" x14ac:dyDescent="0.3">
      <c r="A404">
        <v>409</v>
      </c>
      <c r="B404">
        <v>78</v>
      </c>
      <c r="C404" t="s">
        <v>35</v>
      </c>
      <c r="D404" t="s">
        <v>54</v>
      </c>
      <c r="E404" t="s">
        <v>55</v>
      </c>
      <c r="F404">
        <v>10000</v>
      </c>
      <c r="G404">
        <v>35</v>
      </c>
      <c r="H404" t="s">
        <v>24</v>
      </c>
      <c r="I404" t="s">
        <v>39</v>
      </c>
      <c r="J404">
        <v>2</v>
      </c>
      <c r="K404" t="s">
        <v>113</v>
      </c>
      <c r="L404" t="s">
        <v>931</v>
      </c>
      <c r="M404" t="s">
        <v>932</v>
      </c>
      <c r="N404" s="2">
        <v>46060</v>
      </c>
      <c r="O404" s="2">
        <v>46095</v>
      </c>
      <c r="P404" t="s">
        <v>29</v>
      </c>
      <c r="Q404" t="s">
        <v>30</v>
      </c>
      <c r="R404" t="s">
        <v>59</v>
      </c>
      <c r="S404" t="s">
        <v>32</v>
      </c>
      <c r="T404" t="s">
        <v>33</v>
      </c>
      <c r="U404" t="s">
        <v>78</v>
      </c>
      <c r="V404" t="str">
        <f>IF(B404&lt;=18,"Children",IF(B404&lt;=35,"Young adult",IF(B404&lt;=60,"Adult", "Senior Citizen")))</f>
        <v>Senior Citizen</v>
      </c>
      <c r="W404" t="str">
        <f t="shared" si="42"/>
        <v>Feb</v>
      </c>
      <c r="X404">
        <f t="shared" si="43"/>
        <v>2</v>
      </c>
      <c r="Y404" t="str">
        <f t="shared" si="44"/>
        <v>Q1</v>
      </c>
      <c r="Z404">
        <f t="shared" si="45"/>
        <v>2026</v>
      </c>
      <c r="AA404" t="str">
        <f t="shared" si="46"/>
        <v>Saturday</v>
      </c>
      <c r="AB404">
        <f t="shared" si="47"/>
        <v>-35</v>
      </c>
      <c r="AC404" t="str">
        <f>IF(OR(D404="Heart Disease",D404="Cancer",D404="Stroke"),"High",IF(OR(D404="Diabetes",D404="Asthma"),"Medium","Low"))</f>
        <v>High</v>
      </c>
      <c r="AD404" t="str">
        <f t="shared" si="48"/>
        <v>Yes</v>
      </c>
      <c r="AE404" t="str">
        <f>IF(G404&lt;=2,"Short Stay", IF(G404&lt;=7,"Normal Stay", "Long Stay"))</f>
        <v>Long Stay</v>
      </c>
      <c r="AF404" t="str">
        <f>IF(F404&gt;60000,"Expensive",IF(F404&gt;30000,"Moderate","Affordable"))</f>
        <v>Affordable</v>
      </c>
      <c r="AG404" t="str">
        <f>IF(J404&gt;=4.5,"Excellent",IF(J404&gt;=3.5,"Good",IF(J404&gt;=2.5,"Average","Poor")))</f>
        <v>Poor</v>
      </c>
      <c r="AH404" t="str">
        <f>IF(OR(TEXT(N404,"dddd")="Saturday",TEXT(N404,"dddd")="Sunday"),"Weekend","Weekday")</f>
        <v>Weekend</v>
      </c>
    </row>
    <row r="405" spans="1:34" x14ac:dyDescent="0.3">
      <c r="A405">
        <v>410</v>
      </c>
      <c r="B405">
        <v>53</v>
      </c>
      <c r="C405" t="s">
        <v>21</v>
      </c>
      <c r="D405" t="s">
        <v>60</v>
      </c>
      <c r="E405" t="s">
        <v>61</v>
      </c>
      <c r="F405">
        <v>25000</v>
      </c>
      <c r="G405">
        <v>37</v>
      </c>
      <c r="H405" t="s">
        <v>38</v>
      </c>
      <c r="I405" t="s">
        <v>25</v>
      </c>
      <c r="J405">
        <v>4</v>
      </c>
      <c r="K405" t="s">
        <v>194</v>
      </c>
      <c r="L405" t="s">
        <v>933</v>
      </c>
      <c r="M405" t="s">
        <v>934</v>
      </c>
      <c r="N405" s="2">
        <v>46061</v>
      </c>
      <c r="O405" s="2">
        <v>46098</v>
      </c>
      <c r="P405" t="s">
        <v>43</v>
      </c>
      <c r="Q405" t="s">
        <v>71</v>
      </c>
      <c r="R405" t="s">
        <v>65</v>
      </c>
      <c r="S405" t="s">
        <v>110</v>
      </c>
      <c r="T405" t="s">
        <v>33</v>
      </c>
      <c r="U405" t="s">
        <v>104</v>
      </c>
      <c r="V405" t="str">
        <f>IF(B405&lt;=18,"Children",IF(B405&lt;=35,"Young adult",IF(B405&lt;=60,"Adult", "Senior Citizen")))</f>
        <v>Adult</v>
      </c>
      <c r="W405" t="str">
        <f t="shared" si="42"/>
        <v>Feb</v>
      </c>
      <c r="X405">
        <f t="shared" si="43"/>
        <v>2</v>
      </c>
      <c r="Y405" t="str">
        <f t="shared" si="44"/>
        <v>Q1</v>
      </c>
      <c r="Z405">
        <f t="shared" si="45"/>
        <v>2026</v>
      </c>
      <c r="AA405" t="str">
        <f t="shared" si="46"/>
        <v>Sunday</v>
      </c>
      <c r="AB405">
        <f t="shared" si="47"/>
        <v>-37</v>
      </c>
      <c r="AC405" t="str">
        <f>IF(OR(D405="Heart Disease",D405="Cancer",D405="Stroke"),"High",IF(OR(D405="Diabetes",D405="Asthma"),"Medium","Low"))</f>
        <v>High</v>
      </c>
      <c r="AD405" t="str">
        <f t="shared" si="48"/>
        <v>Yes</v>
      </c>
      <c r="AE405" t="str">
        <f>IF(G405&lt;=2,"Short Stay", IF(G405&lt;=7,"Normal Stay", "Long Stay"))</f>
        <v>Long Stay</v>
      </c>
      <c r="AF405" t="str">
        <f>IF(F405&gt;60000,"Expensive",IF(F405&gt;30000,"Moderate","Affordable"))</f>
        <v>Affordable</v>
      </c>
      <c r="AG405" t="str">
        <f>IF(J405&gt;=4.5,"Excellent",IF(J405&gt;=3.5,"Good",IF(J405&gt;=2.5,"Average","Poor")))</f>
        <v>Good</v>
      </c>
      <c r="AH405" t="str">
        <f>IF(OR(TEXT(N405,"dddd")="Saturday",TEXT(N405,"dddd")="Sunday"),"Weekend","Weekday")</f>
        <v>Weekend</v>
      </c>
    </row>
    <row r="406" spans="1:34" x14ac:dyDescent="0.3">
      <c r="A406">
        <v>411</v>
      </c>
      <c r="B406">
        <v>72</v>
      </c>
      <c r="C406" t="s">
        <v>35</v>
      </c>
      <c r="D406" t="s">
        <v>66</v>
      </c>
      <c r="E406" t="s">
        <v>67</v>
      </c>
      <c r="F406">
        <v>1000</v>
      </c>
      <c r="G406">
        <v>29</v>
      </c>
      <c r="H406" t="s">
        <v>24</v>
      </c>
      <c r="I406" t="s">
        <v>39</v>
      </c>
      <c r="J406">
        <v>4</v>
      </c>
      <c r="K406" t="s">
        <v>210</v>
      </c>
      <c r="L406" t="s">
        <v>935</v>
      </c>
      <c r="M406" t="s">
        <v>936</v>
      </c>
      <c r="N406" s="2">
        <v>46062</v>
      </c>
      <c r="O406" s="2">
        <v>46091</v>
      </c>
      <c r="P406" t="s">
        <v>43</v>
      </c>
      <c r="Q406" t="s">
        <v>44</v>
      </c>
      <c r="R406" t="s">
        <v>45</v>
      </c>
      <c r="S406" t="s">
        <v>84</v>
      </c>
      <c r="T406" t="s">
        <v>33</v>
      </c>
      <c r="U406" t="s">
        <v>46</v>
      </c>
      <c r="V406" t="str">
        <f>IF(B406&lt;=18,"Children",IF(B406&lt;=35,"Young adult",IF(B406&lt;=60,"Adult", "Senior Citizen")))</f>
        <v>Senior Citizen</v>
      </c>
      <c r="W406" t="str">
        <f t="shared" si="42"/>
        <v>Feb</v>
      </c>
      <c r="X406">
        <f t="shared" si="43"/>
        <v>2</v>
      </c>
      <c r="Y406" t="str">
        <f t="shared" si="44"/>
        <v>Q1</v>
      </c>
      <c r="Z406">
        <f t="shared" si="45"/>
        <v>2026</v>
      </c>
      <c r="AA406" t="str">
        <f t="shared" si="46"/>
        <v>Monday</v>
      </c>
      <c r="AB406">
        <f t="shared" si="47"/>
        <v>-29</v>
      </c>
      <c r="AC406" t="str">
        <f>IF(OR(D406="Heart Disease",D406="Cancer",D406="Stroke"),"High",IF(OR(D406="Diabetes",D406="Asthma"),"Medium","Low"))</f>
        <v>Low</v>
      </c>
      <c r="AD406" t="str">
        <f t="shared" si="48"/>
        <v>No</v>
      </c>
      <c r="AE406" t="str">
        <f>IF(G406&lt;=2,"Short Stay", IF(G406&lt;=7,"Normal Stay", "Long Stay"))</f>
        <v>Long Stay</v>
      </c>
      <c r="AF406" t="str">
        <f>IF(F406&gt;60000,"Expensive",IF(F406&gt;30000,"Moderate","Affordable"))</f>
        <v>Affordable</v>
      </c>
      <c r="AG406" t="str">
        <f>IF(J406&gt;=4.5,"Excellent",IF(J406&gt;=3.5,"Good",IF(J406&gt;=2.5,"Average","Poor")))</f>
        <v>Good</v>
      </c>
      <c r="AH406" t="str">
        <f>IF(OR(TEXT(N406,"dddd")="Saturday",TEXT(N406,"dddd")="Sunday"),"Weekend","Weekday")</f>
        <v>Weekday</v>
      </c>
    </row>
    <row r="407" spans="1:34" x14ac:dyDescent="0.3">
      <c r="A407">
        <v>412</v>
      </c>
      <c r="B407">
        <v>60</v>
      </c>
      <c r="C407" t="s">
        <v>21</v>
      </c>
      <c r="D407" t="s">
        <v>73</v>
      </c>
      <c r="E407" t="s">
        <v>74</v>
      </c>
      <c r="F407">
        <v>8000</v>
      </c>
      <c r="G407">
        <v>31</v>
      </c>
      <c r="H407" t="s">
        <v>38</v>
      </c>
      <c r="I407" t="s">
        <v>25</v>
      </c>
      <c r="J407">
        <v>3</v>
      </c>
      <c r="K407" t="s">
        <v>107</v>
      </c>
      <c r="L407" t="s">
        <v>937</v>
      </c>
      <c r="M407" t="s">
        <v>938</v>
      </c>
      <c r="N407" s="2">
        <v>46063</v>
      </c>
      <c r="O407" s="2">
        <v>46094</v>
      </c>
      <c r="P407" t="s">
        <v>29</v>
      </c>
      <c r="Q407" t="s">
        <v>44</v>
      </c>
      <c r="R407" t="s">
        <v>45</v>
      </c>
      <c r="S407" t="s">
        <v>72</v>
      </c>
      <c r="T407" t="s">
        <v>33</v>
      </c>
      <c r="U407" t="s">
        <v>46</v>
      </c>
      <c r="V407" t="str">
        <f>IF(B407&lt;=18,"Children",IF(B407&lt;=35,"Young adult",IF(B407&lt;=60,"Adult", "Senior Citizen")))</f>
        <v>Adult</v>
      </c>
      <c r="W407" t="str">
        <f t="shared" si="42"/>
        <v>Feb</v>
      </c>
      <c r="X407">
        <f t="shared" si="43"/>
        <v>2</v>
      </c>
      <c r="Y407" t="str">
        <f t="shared" si="44"/>
        <v>Q1</v>
      </c>
      <c r="Z407">
        <f t="shared" si="45"/>
        <v>2026</v>
      </c>
      <c r="AA407" t="str">
        <f t="shared" si="46"/>
        <v>Tuesday</v>
      </c>
      <c r="AB407">
        <f t="shared" si="47"/>
        <v>-31</v>
      </c>
      <c r="AC407" t="str">
        <f>IF(OR(D407="Heart Disease",D407="Cancer",D407="Stroke"),"High",IF(OR(D407="Diabetes",D407="Asthma"),"Medium","Low"))</f>
        <v>Low</v>
      </c>
      <c r="AD407" t="str">
        <f t="shared" si="48"/>
        <v>No</v>
      </c>
      <c r="AE407" t="str">
        <f>IF(G407&lt;=2,"Short Stay", IF(G407&lt;=7,"Normal Stay", "Long Stay"))</f>
        <v>Long Stay</v>
      </c>
      <c r="AF407" t="str">
        <f>IF(F407&gt;60000,"Expensive",IF(F407&gt;30000,"Moderate","Affordable"))</f>
        <v>Affordable</v>
      </c>
      <c r="AG407" t="str">
        <f>IF(J407&gt;=4.5,"Excellent",IF(J407&gt;=3.5,"Good",IF(J407&gt;=2.5,"Average","Poor")))</f>
        <v>Average</v>
      </c>
      <c r="AH407" t="str">
        <f>IF(OR(TEXT(N407,"dddd")="Saturday",TEXT(N407,"dddd")="Sunday"),"Weekend","Weekday")</f>
        <v>Weekday</v>
      </c>
    </row>
    <row r="408" spans="1:34" x14ac:dyDescent="0.3">
      <c r="A408">
        <v>413</v>
      </c>
      <c r="B408">
        <v>45</v>
      </c>
      <c r="C408" t="s">
        <v>35</v>
      </c>
      <c r="D408" t="s">
        <v>79</v>
      </c>
      <c r="E408" t="s">
        <v>80</v>
      </c>
      <c r="F408">
        <v>3000</v>
      </c>
      <c r="G408">
        <v>33</v>
      </c>
      <c r="H408" t="s">
        <v>24</v>
      </c>
      <c r="I408" t="s">
        <v>25</v>
      </c>
      <c r="J408">
        <v>4</v>
      </c>
      <c r="K408" t="s">
        <v>81</v>
      </c>
      <c r="L408" t="s">
        <v>939</v>
      </c>
      <c r="M408" t="s">
        <v>940</v>
      </c>
      <c r="N408" s="2">
        <v>46064</v>
      </c>
      <c r="O408" s="2">
        <v>46097</v>
      </c>
      <c r="P408" t="s">
        <v>43</v>
      </c>
      <c r="Q408" t="s">
        <v>139</v>
      </c>
      <c r="R408" t="s">
        <v>45</v>
      </c>
      <c r="S408" t="s">
        <v>32</v>
      </c>
      <c r="T408" t="s">
        <v>33</v>
      </c>
      <c r="U408" t="s">
        <v>104</v>
      </c>
      <c r="V408" t="str">
        <f>IF(B408&lt;=18,"Children",IF(B408&lt;=35,"Young adult",IF(B408&lt;=60,"Adult", "Senior Citizen")))</f>
        <v>Adult</v>
      </c>
      <c r="W408" t="str">
        <f t="shared" si="42"/>
        <v>Feb</v>
      </c>
      <c r="X408">
        <f t="shared" si="43"/>
        <v>2</v>
      </c>
      <c r="Y408" t="str">
        <f t="shared" si="44"/>
        <v>Q1</v>
      </c>
      <c r="Z408">
        <f t="shared" si="45"/>
        <v>2026</v>
      </c>
      <c r="AA408" t="str">
        <f t="shared" si="46"/>
        <v>Wednesday</v>
      </c>
      <c r="AB408">
        <f t="shared" si="47"/>
        <v>-33</v>
      </c>
      <c r="AC408" t="str">
        <f>IF(OR(D408="Heart Disease",D408="Cancer",D408="Stroke"),"High",IF(OR(D408="Diabetes",D408="Asthma"),"Medium","Low"))</f>
        <v>Low</v>
      </c>
      <c r="AD408" t="str">
        <f t="shared" si="48"/>
        <v>No</v>
      </c>
      <c r="AE408" t="str">
        <f>IF(G408&lt;=2,"Short Stay", IF(G408&lt;=7,"Normal Stay", "Long Stay"))</f>
        <v>Long Stay</v>
      </c>
      <c r="AF408" t="str">
        <f>IF(F408&gt;60000,"Expensive",IF(F408&gt;30000,"Moderate","Affordable"))</f>
        <v>Affordable</v>
      </c>
      <c r="AG408" t="str">
        <f>IF(J408&gt;=4.5,"Excellent",IF(J408&gt;=3.5,"Good",IF(J408&gt;=2.5,"Average","Poor")))</f>
        <v>Good</v>
      </c>
      <c r="AH408" t="str">
        <f>IF(OR(TEXT(N408,"dddd")="Saturday",TEXT(N408,"dddd")="Sunday"),"Weekend","Weekday")</f>
        <v>Weekday</v>
      </c>
    </row>
    <row r="409" spans="1:34" x14ac:dyDescent="0.3">
      <c r="A409">
        <v>414</v>
      </c>
      <c r="B409">
        <v>75</v>
      </c>
      <c r="C409" t="s">
        <v>21</v>
      </c>
      <c r="D409" t="s">
        <v>85</v>
      </c>
      <c r="E409" t="s">
        <v>86</v>
      </c>
      <c r="F409">
        <v>18000</v>
      </c>
      <c r="G409">
        <v>35</v>
      </c>
      <c r="H409" t="s">
        <v>38</v>
      </c>
      <c r="I409" t="s">
        <v>39</v>
      </c>
      <c r="J409">
        <v>2</v>
      </c>
      <c r="K409" t="s">
        <v>157</v>
      </c>
      <c r="L409" t="s">
        <v>941</v>
      </c>
      <c r="M409" t="s">
        <v>942</v>
      </c>
      <c r="N409" s="2">
        <v>46065</v>
      </c>
      <c r="O409" s="2">
        <v>46100</v>
      </c>
      <c r="P409" t="s">
        <v>43</v>
      </c>
      <c r="Q409" t="s">
        <v>44</v>
      </c>
      <c r="R409" t="s">
        <v>45</v>
      </c>
      <c r="S409" t="s">
        <v>53</v>
      </c>
      <c r="T409" t="s">
        <v>33</v>
      </c>
      <c r="U409" t="s">
        <v>78</v>
      </c>
      <c r="V409" t="str">
        <f>IF(B409&lt;=18,"Children",IF(B409&lt;=35,"Young adult",IF(B409&lt;=60,"Adult", "Senior Citizen")))</f>
        <v>Senior Citizen</v>
      </c>
      <c r="W409" t="str">
        <f t="shared" si="42"/>
        <v>Feb</v>
      </c>
      <c r="X409">
        <f t="shared" si="43"/>
        <v>2</v>
      </c>
      <c r="Y409" t="str">
        <f t="shared" si="44"/>
        <v>Q1</v>
      </c>
      <c r="Z409">
        <f t="shared" si="45"/>
        <v>2026</v>
      </c>
      <c r="AA409" t="str">
        <f t="shared" si="46"/>
        <v>Thursday</v>
      </c>
      <c r="AB409">
        <f t="shared" si="47"/>
        <v>-35</v>
      </c>
      <c r="AC409" t="str">
        <f>IF(OR(D409="Heart Disease",D409="Cancer",D409="Stroke"),"High",IF(OR(D409="Diabetes",D409="Asthma"),"Medium","Low"))</f>
        <v>Low</v>
      </c>
      <c r="AD409" t="str">
        <f t="shared" si="48"/>
        <v>No</v>
      </c>
      <c r="AE409" t="str">
        <f>IF(G409&lt;=2,"Short Stay", IF(G409&lt;=7,"Normal Stay", "Long Stay"))</f>
        <v>Long Stay</v>
      </c>
      <c r="AF409" t="str">
        <f>IF(F409&gt;60000,"Expensive",IF(F409&gt;30000,"Moderate","Affordable"))</f>
        <v>Affordable</v>
      </c>
      <c r="AG409" t="str">
        <f>IF(J409&gt;=4.5,"Excellent",IF(J409&gt;=3.5,"Good",IF(J409&gt;=2.5,"Average","Poor")))</f>
        <v>Poor</v>
      </c>
      <c r="AH409" t="str">
        <f>IF(OR(TEXT(N409,"dddd")="Saturday",TEXT(N409,"dddd")="Sunday"),"Weekend","Weekday")</f>
        <v>Weekday</v>
      </c>
    </row>
    <row r="410" spans="1:34" x14ac:dyDescent="0.3">
      <c r="A410">
        <v>415</v>
      </c>
      <c r="B410">
        <v>28</v>
      </c>
      <c r="C410" t="s">
        <v>35</v>
      </c>
      <c r="D410" t="s">
        <v>89</v>
      </c>
      <c r="E410" t="s">
        <v>90</v>
      </c>
      <c r="F410">
        <v>100</v>
      </c>
      <c r="G410">
        <v>28</v>
      </c>
      <c r="H410" t="s">
        <v>24</v>
      </c>
      <c r="I410" t="s">
        <v>25</v>
      </c>
      <c r="J410">
        <v>5</v>
      </c>
      <c r="K410" t="s">
        <v>197</v>
      </c>
      <c r="L410" t="s">
        <v>943</v>
      </c>
      <c r="M410" t="s">
        <v>944</v>
      </c>
      <c r="N410" s="2">
        <v>46066</v>
      </c>
      <c r="O410" s="2">
        <v>46094</v>
      </c>
      <c r="P410" t="s">
        <v>43</v>
      </c>
      <c r="Q410" t="s">
        <v>30</v>
      </c>
      <c r="R410" t="s">
        <v>45</v>
      </c>
      <c r="S410" t="s">
        <v>72</v>
      </c>
      <c r="T410" t="s">
        <v>33</v>
      </c>
      <c r="U410" t="s">
        <v>34</v>
      </c>
      <c r="V410" t="str">
        <f>IF(B410&lt;=18,"Children",IF(B410&lt;=35,"Young adult",IF(B410&lt;=60,"Adult", "Senior Citizen")))</f>
        <v>Young adult</v>
      </c>
      <c r="W410" t="str">
        <f t="shared" si="42"/>
        <v>Feb</v>
      </c>
      <c r="X410">
        <f t="shared" si="43"/>
        <v>2</v>
      </c>
      <c r="Y410" t="str">
        <f t="shared" si="44"/>
        <v>Q1</v>
      </c>
      <c r="Z410">
        <f t="shared" si="45"/>
        <v>2026</v>
      </c>
      <c r="AA410" t="str">
        <f t="shared" si="46"/>
        <v>Friday</v>
      </c>
      <c r="AB410">
        <f t="shared" si="47"/>
        <v>-28</v>
      </c>
      <c r="AC410" t="str">
        <f>IF(OR(D410="Heart Disease",D410="Cancer",D410="Stroke"),"High",IF(OR(D410="Diabetes",D410="Asthma"),"Medium","Low"))</f>
        <v>Low</v>
      </c>
      <c r="AD410" t="str">
        <f t="shared" si="48"/>
        <v>No</v>
      </c>
      <c r="AE410" t="str">
        <f>IF(G410&lt;=2,"Short Stay", IF(G410&lt;=7,"Normal Stay", "Long Stay"))</f>
        <v>Long Stay</v>
      </c>
      <c r="AF410" t="str">
        <f>IF(F410&gt;60000,"Expensive",IF(F410&gt;30000,"Moderate","Affordable"))</f>
        <v>Affordable</v>
      </c>
      <c r="AG410" t="str">
        <f>IF(J410&gt;=4.5,"Excellent",IF(J410&gt;=3.5,"Good",IF(J410&gt;=2.5,"Average","Poor")))</f>
        <v>Excellent</v>
      </c>
      <c r="AH410" t="str">
        <f>IF(OR(TEXT(N410,"dddd")="Saturday",TEXT(N410,"dddd")="Sunday"),"Weekend","Weekday")</f>
        <v>Weekday</v>
      </c>
    </row>
    <row r="411" spans="1:34" x14ac:dyDescent="0.3">
      <c r="A411">
        <v>416</v>
      </c>
      <c r="B411">
        <v>52</v>
      </c>
      <c r="C411" t="s">
        <v>21</v>
      </c>
      <c r="D411" t="s">
        <v>94</v>
      </c>
      <c r="E411" t="s">
        <v>95</v>
      </c>
      <c r="F411">
        <v>800</v>
      </c>
      <c r="G411">
        <v>29</v>
      </c>
      <c r="H411" t="s">
        <v>24</v>
      </c>
      <c r="I411" t="s">
        <v>39</v>
      </c>
      <c r="J411">
        <v>4</v>
      </c>
      <c r="K411" t="s">
        <v>120</v>
      </c>
      <c r="L411" t="s">
        <v>945</v>
      </c>
      <c r="M411" t="s">
        <v>946</v>
      </c>
      <c r="N411" s="2">
        <v>46067</v>
      </c>
      <c r="O411" s="2">
        <v>46096</v>
      </c>
      <c r="P411" t="s">
        <v>29</v>
      </c>
      <c r="Q411" t="s">
        <v>52</v>
      </c>
      <c r="R411" t="s">
        <v>45</v>
      </c>
      <c r="S411" t="s">
        <v>32</v>
      </c>
      <c r="T411" t="s">
        <v>33</v>
      </c>
      <c r="U411" t="s">
        <v>34</v>
      </c>
      <c r="V411" t="str">
        <f>IF(B411&lt;=18,"Children",IF(B411&lt;=35,"Young adult",IF(B411&lt;=60,"Adult", "Senior Citizen")))</f>
        <v>Adult</v>
      </c>
      <c r="W411" t="str">
        <f t="shared" si="42"/>
        <v>Feb</v>
      </c>
      <c r="X411">
        <f t="shared" si="43"/>
        <v>2</v>
      </c>
      <c r="Y411" t="str">
        <f t="shared" si="44"/>
        <v>Q1</v>
      </c>
      <c r="Z411">
        <f t="shared" si="45"/>
        <v>2026</v>
      </c>
      <c r="AA411" t="str">
        <f t="shared" si="46"/>
        <v>Saturday</v>
      </c>
      <c r="AB411">
        <f t="shared" si="47"/>
        <v>-29</v>
      </c>
      <c r="AC411" t="str">
        <f>IF(OR(D411="Heart Disease",D411="Cancer",D411="Stroke"),"High",IF(OR(D411="Diabetes",D411="Asthma"),"Medium","Low"))</f>
        <v>Low</v>
      </c>
      <c r="AD411" t="str">
        <f t="shared" si="48"/>
        <v>No</v>
      </c>
      <c r="AE411" t="str">
        <f>IF(G411&lt;=2,"Short Stay", IF(G411&lt;=7,"Normal Stay", "Long Stay"))</f>
        <v>Long Stay</v>
      </c>
      <c r="AF411" t="str">
        <f>IF(F411&gt;60000,"Expensive",IF(F411&gt;30000,"Moderate","Affordable"))</f>
        <v>Affordable</v>
      </c>
      <c r="AG411" t="str">
        <f>IF(J411&gt;=4.5,"Excellent",IF(J411&gt;=3.5,"Good",IF(J411&gt;=2.5,"Average","Poor")))</f>
        <v>Good</v>
      </c>
      <c r="AH411" t="str">
        <f>IF(OR(TEXT(N411,"dddd")="Saturday",TEXT(N411,"dddd")="Sunday"),"Weekend","Weekday")</f>
        <v>Weekend</v>
      </c>
    </row>
    <row r="412" spans="1:34" x14ac:dyDescent="0.3">
      <c r="A412">
        <v>418</v>
      </c>
      <c r="B412">
        <v>35</v>
      </c>
      <c r="C412" t="s">
        <v>21</v>
      </c>
      <c r="D412" t="s">
        <v>105</v>
      </c>
      <c r="E412" t="s">
        <v>106</v>
      </c>
      <c r="F412">
        <v>12000</v>
      </c>
      <c r="G412">
        <v>30</v>
      </c>
      <c r="H412" t="s">
        <v>24</v>
      </c>
      <c r="I412" t="s">
        <v>25</v>
      </c>
      <c r="J412">
        <v>4</v>
      </c>
      <c r="K412" t="s">
        <v>345</v>
      </c>
      <c r="L412" t="s">
        <v>947</v>
      </c>
      <c r="M412" t="s">
        <v>948</v>
      </c>
      <c r="N412" s="2">
        <v>46068</v>
      </c>
      <c r="O412" s="2">
        <v>46098</v>
      </c>
      <c r="P412" t="s">
        <v>29</v>
      </c>
      <c r="Q412" t="s">
        <v>52</v>
      </c>
      <c r="R412" t="s">
        <v>45</v>
      </c>
      <c r="S412" t="s">
        <v>72</v>
      </c>
      <c r="T412" t="s">
        <v>33</v>
      </c>
      <c r="U412" t="s">
        <v>78</v>
      </c>
      <c r="V412" t="str">
        <f>IF(B412&lt;=18,"Children",IF(B412&lt;=35,"Young adult",IF(B412&lt;=60,"Adult", "Senior Citizen")))</f>
        <v>Young adult</v>
      </c>
      <c r="W412" t="str">
        <f t="shared" si="42"/>
        <v>Feb</v>
      </c>
      <c r="X412">
        <f t="shared" si="43"/>
        <v>2</v>
      </c>
      <c r="Y412" t="str">
        <f t="shared" si="44"/>
        <v>Q1</v>
      </c>
      <c r="Z412">
        <f t="shared" si="45"/>
        <v>2026</v>
      </c>
      <c r="AA412" t="str">
        <f t="shared" si="46"/>
        <v>Sunday</v>
      </c>
      <c r="AB412">
        <f t="shared" si="47"/>
        <v>-30</v>
      </c>
      <c r="AC412" t="str">
        <f>IF(OR(D412="Heart Disease",D412="Cancer",D412="Stroke"),"High",IF(OR(D412="Diabetes",D412="Asthma"),"Medium","Low"))</f>
        <v>Low</v>
      </c>
      <c r="AD412" t="str">
        <f t="shared" si="48"/>
        <v>No</v>
      </c>
      <c r="AE412" t="str">
        <f>IF(G412&lt;=2,"Short Stay", IF(G412&lt;=7,"Normal Stay", "Long Stay"))</f>
        <v>Long Stay</v>
      </c>
      <c r="AF412" t="str">
        <f>IF(F412&gt;60000,"Expensive",IF(F412&gt;30000,"Moderate","Affordable"))</f>
        <v>Affordable</v>
      </c>
      <c r="AG412" t="str">
        <f>IF(J412&gt;=4.5,"Excellent",IF(J412&gt;=3.5,"Good",IF(J412&gt;=2.5,"Average","Poor")))</f>
        <v>Good</v>
      </c>
      <c r="AH412" t="str">
        <f>IF(OR(TEXT(N412,"dddd")="Saturday",TEXT(N412,"dddd")="Sunday"),"Weekend","Weekday")</f>
        <v>Weekend</v>
      </c>
    </row>
    <row r="413" spans="1:34" x14ac:dyDescent="0.3">
      <c r="A413">
        <v>419</v>
      </c>
      <c r="B413">
        <v>50</v>
      </c>
      <c r="C413" t="s">
        <v>35</v>
      </c>
      <c r="D413" t="s">
        <v>111</v>
      </c>
      <c r="E413" t="s">
        <v>112</v>
      </c>
      <c r="F413">
        <v>6000</v>
      </c>
      <c r="G413">
        <v>31</v>
      </c>
      <c r="H413" t="s">
        <v>24</v>
      </c>
      <c r="I413" t="s">
        <v>25</v>
      </c>
      <c r="J413">
        <v>3</v>
      </c>
      <c r="K413" t="s">
        <v>49</v>
      </c>
      <c r="L413" t="s">
        <v>949</v>
      </c>
      <c r="M413" t="s">
        <v>950</v>
      </c>
      <c r="N413" s="2">
        <v>46069</v>
      </c>
      <c r="O413" s="2">
        <v>46100</v>
      </c>
      <c r="P413" t="s">
        <v>29</v>
      </c>
      <c r="Q413" t="s">
        <v>30</v>
      </c>
      <c r="R413" t="s">
        <v>45</v>
      </c>
      <c r="S413" t="s">
        <v>77</v>
      </c>
      <c r="T413" t="s">
        <v>33</v>
      </c>
      <c r="U413" t="s">
        <v>46</v>
      </c>
      <c r="V413" t="str">
        <f>IF(B413&lt;=18,"Children",IF(B413&lt;=35,"Young adult",IF(B413&lt;=60,"Adult", "Senior Citizen")))</f>
        <v>Adult</v>
      </c>
      <c r="W413" t="str">
        <f t="shared" si="42"/>
        <v>Feb</v>
      </c>
      <c r="X413">
        <f t="shared" si="43"/>
        <v>2</v>
      </c>
      <c r="Y413" t="str">
        <f t="shared" si="44"/>
        <v>Q1</v>
      </c>
      <c r="Z413">
        <f t="shared" si="45"/>
        <v>2026</v>
      </c>
      <c r="AA413" t="str">
        <f t="shared" si="46"/>
        <v>Monday</v>
      </c>
      <c r="AB413">
        <f t="shared" si="47"/>
        <v>-31</v>
      </c>
      <c r="AC413" t="str">
        <f>IF(OR(D413="Heart Disease",D413="Cancer",D413="Stroke"),"High",IF(OR(D413="Diabetes",D413="Asthma"),"Medium","Low"))</f>
        <v>Low</v>
      </c>
      <c r="AD413" t="str">
        <f t="shared" si="48"/>
        <v>No</v>
      </c>
      <c r="AE413" t="str">
        <f>IF(G413&lt;=2,"Short Stay", IF(G413&lt;=7,"Normal Stay", "Long Stay"))</f>
        <v>Long Stay</v>
      </c>
      <c r="AF413" t="str">
        <f>IF(F413&gt;60000,"Expensive",IF(F413&gt;30000,"Moderate","Affordable"))</f>
        <v>Affordable</v>
      </c>
      <c r="AG413" t="str">
        <f>IF(J413&gt;=4.5,"Excellent",IF(J413&gt;=3.5,"Good",IF(J413&gt;=2.5,"Average","Poor")))</f>
        <v>Average</v>
      </c>
      <c r="AH413" t="str">
        <f>IF(OR(TEXT(N413,"dddd")="Saturday",TEXT(N413,"dddd")="Sunday"),"Weekend","Weekday")</f>
        <v>Weekday</v>
      </c>
    </row>
    <row r="414" spans="1:34" x14ac:dyDescent="0.3">
      <c r="A414">
        <v>420</v>
      </c>
      <c r="B414">
        <v>60</v>
      </c>
      <c r="C414" t="s">
        <v>21</v>
      </c>
      <c r="D414" t="s">
        <v>116</v>
      </c>
      <c r="E414" t="s">
        <v>117</v>
      </c>
      <c r="F414">
        <v>4000</v>
      </c>
      <c r="G414">
        <v>32</v>
      </c>
      <c r="H414" t="s">
        <v>24</v>
      </c>
      <c r="I414" t="s">
        <v>39</v>
      </c>
      <c r="J414">
        <v>4</v>
      </c>
      <c r="K414" t="s">
        <v>96</v>
      </c>
      <c r="L414" t="s">
        <v>951</v>
      </c>
      <c r="M414" t="s">
        <v>952</v>
      </c>
      <c r="N414" s="2">
        <v>46070</v>
      </c>
      <c r="O414" s="2">
        <v>46102</v>
      </c>
      <c r="P414" t="s">
        <v>43</v>
      </c>
      <c r="Q414" t="s">
        <v>44</v>
      </c>
      <c r="R414" t="s">
        <v>45</v>
      </c>
      <c r="S414" t="s">
        <v>84</v>
      </c>
      <c r="T414" t="s">
        <v>33</v>
      </c>
      <c r="U414" t="s">
        <v>78</v>
      </c>
      <c r="V414" t="str">
        <f>IF(B414&lt;=18,"Children",IF(B414&lt;=35,"Young adult",IF(B414&lt;=60,"Adult", "Senior Citizen")))</f>
        <v>Adult</v>
      </c>
      <c r="W414" t="str">
        <f t="shared" si="42"/>
        <v>Feb</v>
      </c>
      <c r="X414">
        <f t="shared" si="43"/>
        <v>2</v>
      </c>
      <c r="Y414" t="str">
        <f t="shared" si="44"/>
        <v>Q1</v>
      </c>
      <c r="Z414">
        <f t="shared" si="45"/>
        <v>2026</v>
      </c>
      <c r="AA414" t="str">
        <f t="shared" si="46"/>
        <v>Tuesday</v>
      </c>
      <c r="AB414">
        <f t="shared" si="47"/>
        <v>-32</v>
      </c>
      <c r="AC414" t="str">
        <f>IF(OR(D414="Heart Disease",D414="Cancer",D414="Stroke"),"High",IF(OR(D414="Diabetes",D414="Asthma"),"Medium","Low"))</f>
        <v>Low</v>
      </c>
      <c r="AD414" t="str">
        <f t="shared" si="48"/>
        <v>No</v>
      </c>
      <c r="AE414" t="str">
        <f>IF(G414&lt;=2,"Short Stay", IF(G414&lt;=7,"Normal Stay", "Long Stay"))</f>
        <v>Long Stay</v>
      </c>
      <c r="AF414" t="str">
        <f>IF(F414&gt;60000,"Expensive",IF(F414&gt;30000,"Moderate","Affordable"))</f>
        <v>Affordable</v>
      </c>
      <c r="AG414" t="str">
        <f>IF(J414&gt;=4.5,"Excellent",IF(J414&gt;=3.5,"Good",IF(J414&gt;=2.5,"Average","Poor")))</f>
        <v>Good</v>
      </c>
      <c r="AH414" t="str">
        <f>IF(OR(TEXT(N414,"dddd")="Saturday",TEXT(N414,"dddd")="Sunday"),"Weekend","Weekday")</f>
        <v>Weekday</v>
      </c>
    </row>
    <row r="415" spans="1:34" x14ac:dyDescent="0.3">
      <c r="A415">
        <v>421</v>
      </c>
      <c r="B415">
        <v>48</v>
      </c>
      <c r="C415" t="s">
        <v>21</v>
      </c>
      <c r="D415" t="s">
        <v>22</v>
      </c>
      <c r="E415" t="s">
        <v>23</v>
      </c>
      <c r="F415">
        <v>15000</v>
      </c>
      <c r="G415">
        <v>33</v>
      </c>
      <c r="H415" t="s">
        <v>38</v>
      </c>
      <c r="I415" t="s">
        <v>25</v>
      </c>
      <c r="J415">
        <v>4</v>
      </c>
      <c r="K415" t="s">
        <v>56</v>
      </c>
      <c r="L415" t="s">
        <v>953</v>
      </c>
      <c r="M415" t="s">
        <v>954</v>
      </c>
      <c r="N415" s="2">
        <v>46071</v>
      </c>
      <c r="O415" s="2">
        <v>46104</v>
      </c>
      <c r="P415" t="s">
        <v>29</v>
      </c>
      <c r="Q415" t="s">
        <v>30</v>
      </c>
      <c r="R415" t="s">
        <v>31</v>
      </c>
      <c r="S415" t="s">
        <v>84</v>
      </c>
      <c r="T415" t="s">
        <v>33</v>
      </c>
      <c r="U415" t="s">
        <v>104</v>
      </c>
      <c r="V415" t="str">
        <f>IF(B415&lt;=18,"Children",IF(B415&lt;=35,"Young adult",IF(B415&lt;=60,"Adult", "Senior Citizen")))</f>
        <v>Adult</v>
      </c>
      <c r="W415" t="str">
        <f t="shared" si="42"/>
        <v>Feb</v>
      </c>
      <c r="X415">
        <f t="shared" si="43"/>
        <v>2</v>
      </c>
      <c r="Y415" t="str">
        <f t="shared" si="44"/>
        <v>Q1</v>
      </c>
      <c r="Z415">
        <f t="shared" si="45"/>
        <v>2026</v>
      </c>
      <c r="AA415" t="str">
        <f t="shared" si="46"/>
        <v>Wednesday</v>
      </c>
      <c r="AB415">
        <f t="shared" si="47"/>
        <v>-33</v>
      </c>
      <c r="AC415" t="str">
        <f>IF(OR(D415="Heart Disease",D415="Cancer",D415="Stroke"),"High",IF(OR(D415="Diabetes",D415="Asthma"),"Medium","Low"))</f>
        <v>High</v>
      </c>
      <c r="AD415" t="str">
        <f t="shared" si="48"/>
        <v>Yes</v>
      </c>
      <c r="AE415" t="str">
        <f>IF(G415&lt;=2,"Short Stay", IF(G415&lt;=7,"Normal Stay", "Long Stay"))</f>
        <v>Long Stay</v>
      </c>
      <c r="AF415" t="str">
        <f>IF(F415&gt;60000,"Expensive",IF(F415&gt;30000,"Moderate","Affordable"))</f>
        <v>Affordable</v>
      </c>
      <c r="AG415" t="str">
        <f>IF(J415&gt;=4.5,"Excellent",IF(J415&gt;=3.5,"Good",IF(J415&gt;=2.5,"Average","Poor")))</f>
        <v>Good</v>
      </c>
      <c r="AH415" t="str">
        <f>IF(OR(TEXT(N415,"dddd")="Saturday",TEXT(N415,"dddd")="Sunday"),"Weekend","Weekday")</f>
        <v>Weekday</v>
      </c>
    </row>
    <row r="416" spans="1:34" x14ac:dyDescent="0.3">
      <c r="A416">
        <v>422</v>
      </c>
      <c r="B416">
        <v>65</v>
      </c>
      <c r="C416" t="s">
        <v>35</v>
      </c>
      <c r="D416" t="s">
        <v>36</v>
      </c>
      <c r="E416" t="s">
        <v>37</v>
      </c>
      <c r="F416">
        <v>2000</v>
      </c>
      <c r="G416">
        <v>31</v>
      </c>
      <c r="H416" t="s">
        <v>24</v>
      </c>
      <c r="I416" t="s">
        <v>39</v>
      </c>
      <c r="J416">
        <v>3</v>
      </c>
      <c r="K416" t="s">
        <v>101</v>
      </c>
      <c r="L416" t="s">
        <v>955</v>
      </c>
      <c r="M416" t="s">
        <v>956</v>
      </c>
      <c r="N416" s="2">
        <v>46072</v>
      </c>
      <c r="O416" s="2">
        <v>46103</v>
      </c>
      <c r="P416" t="s">
        <v>29</v>
      </c>
      <c r="Q416" t="s">
        <v>30</v>
      </c>
      <c r="R416" t="s">
        <v>45</v>
      </c>
      <c r="S416" t="s">
        <v>32</v>
      </c>
      <c r="T416" t="s">
        <v>33</v>
      </c>
      <c r="U416" t="s">
        <v>78</v>
      </c>
      <c r="V416" t="str">
        <f>IF(B416&lt;=18,"Children",IF(B416&lt;=35,"Young adult",IF(B416&lt;=60,"Adult", "Senior Citizen")))</f>
        <v>Senior Citizen</v>
      </c>
      <c r="W416" t="str">
        <f t="shared" si="42"/>
        <v>Feb</v>
      </c>
      <c r="X416">
        <f t="shared" si="43"/>
        <v>2</v>
      </c>
      <c r="Y416" t="str">
        <f t="shared" si="44"/>
        <v>Q1</v>
      </c>
      <c r="Z416">
        <f t="shared" si="45"/>
        <v>2026</v>
      </c>
      <c r="AA416" t="str">
        <f t="shared" si="46"/>
        <v>Thursday</v>
      </c>
      <c r="AB416">
        <f t="shared" si="47"/>
        <v>-31</v>
      </c>
      <c r="AC416" t="str">
        <f>IF(OR(D416="Heart Disease",D416="Cancer",D416="Stroke"),"High",IF(OR(D416="Diabetes",D416="Asthma"),"Medium","Low"))</f>
        <v>Medium</v>
      </c>
      <c r="AD416" t="str">
        <f t="shared" si="48"/>
        <v>No</v>
      </c>
      <c r="AE416" t="str">
        <f>IF(G416&lt;=2,"Short Stay", IF(G416&lt;=7,"Normal Stay", "Long Stay"))</f>
        <v>Long Stay</v>
      </c>
      <c r="AF416" t="str">
        <f>IF(F416&gt;60000,"Expensive",IF(F416&gt;30000,"Moderate","Affordable"))</f>
        <v>Affordable</v>
      </c>
      <c r="AG416" t="str">
        <f>IF(J416&gt;=4.5,"Excellent",IF(J416&gt;=3.5,"Good",IF(J416&gt;=2.5,"Average","Poor")))</f>
        <v>Average</v>
      </c>
      <c r="AH416" t="str">
        <f>IF(OR(TEXT(N416,"dddd")="Saturday",TEXT(N416,"dddd")="Sunday"),"Weekend","Weekday")</f>
        <v>Weekday</v>
      </c>
    </row>
    <row r="417" spans="1:34" x14ac:dyDescent="0.3">
      <c r="A417">
        <v>423</v>
      </c>
      <c r="B417">
        <v>30</v>
      </c>
      <c r="C417" t="s">
        <v>21</v>
      </c>
      <c r="D417" t="s">
        <v>47</v>
      </c>
      <c r="E417" t="s">
        <v>48</v>
      </c>
      <c r="F417">
        <v>500</v>
      </c>
      <c r="G417">
        <v>29</v>
      </c>
      <c r="H417" t="s">
        <v>24</v>
      </c>
      <c r="I417" t="s">
        <v>25</v>
      </c>
      <c r="J417">
        <v>5</v>
      </c>
      <c r="K417" t="s">
        <v>210</v>
      </c>
      <c r="L417" t="s">
        <v>957</v>
      </c>
      <c r="M417" t="s">
        <v>958</v>
      </c>
      <c r="N417" s="2">
        <v>46073</v>
      </c>
      <c r="O417" s="2">
        <v>46102</v>
      </c>
      <c r="P417" t="s">
        <v>29</v>
      </c>
      <c r="Q417" t="s">
        <v>44</v>
      </c>
      <c r="R417" t="s">
        <v>45</v>
      </c>
      <c r="S417" t="s">
        <v>84</v>
      </c>
      <c r="T417" t="s">
        <v>33</v>
      </c>
      <c r="U417" t="s">
        <v>104</v>
      </c>
      <c r="V417" t="str">
        <f>IF(B417&lt;=18,"Children",IF(B417&lt;=35,"Young adult",IF(B417&lt;=60,"Adult", "Senior Citizen")))</f>
        <v>Young adult</v>
      </c>
      <c r="W417" t="str">
        <f t="shared" si="42"/>
        <v>Feb</v>
      </c>
      <c r="X417">
        <f t="shared" si="43"/>
        <v>2</v>
      </c>
      <c r="Y417" t="str">
        <f t="shared" si="44"/>
        <v>Q1</v>
      </c>
      <c r="Z417">
        <f t="shared" si="45"/>
        <v>2026</v>
      </c>
      <c r="AA417" t="str">
        <f t="shared" si="46"/>
        <v>Friday</v>
      </c>
      <c r="AB417">
        <f t="shared" si="47"/>
        <v>-29</v>
      </c>
      <c r="AC417" t="str">
        <f>IF(OR(D417="Heart Disease",D417="Cancer",D417="Stroke"),"High",IF(OR(D417="Diabetes",D417="Asthma"),"Medium","Low"))</f>
        <v>Low</v>
      </c>
      <c r="AD417" t="str">
        <f t="shared" si="48"/>
        <v>No</v>
      </c>
      <c r="AE417" t="str">
        <f>IF(G417&lt;=2,"Short Stay", IF(G417&lt;=7,"Normal Stay", "Long Stay"))</f>
        <v>Long Stay</v>
      </c>
      <c r="AF417" t="str">
        <f>IF(F417&gt;60000,"Expensive",IF(F417&gt;30000,"Moderate","Affordable"))</f>
        <v>Affordable</v>
      </c>
      <c r="AG417" t="str">
        <f>IF(J417&gt;=4.5,"Excellent",IF(J417&gt;=3.5,"Good",IF(J417&gt;=2.5,"Average","Poor")))</f>
        <v>Excellent</v>
      </c>
      <c r="AH417" t="str">
        <f>IF(OR(TEXT(N417,"dddd")="Saturday",TEXT(N417,"dddd")="Sunday"),"Weekend","Weekday")</f>
        <v>Weekday</v>
      </c>
    </row>
    <row r="418" spans="1:34" x14ac:dyDescent="0.3">
      <c r="A418">
        <v>424</v>
      </c>
      <c r="B418">
        <v>70</v>
      </c>
      <c r="C418" t="s">
        <v>35</v>
      </c>
      <c r="D418" t="s">
        <v>54</v>
      </c>
      <c r="E418" t="s">
        <v>55</v>
      </c>
      <c r="F418">
        <v>10000</v>
      </c>
      <c r="G418">
        <v>36</v>
      </c>
      <c r="H418" t="s">
        <v>38</v>
      </c>
      <c r="I418" t="s">
        <v>39</v>
      </c>
      <c r="J418">
        <v>2</v>
      </c>
      <c r="K418" t="s">
        <v>294</v>
      </c>
      <c r="L418" t="s">
        <v>959</v>
      </c>
      <c r="M418" t="s">
        <v>960</v>
      </c>
      <c r="N418" s="2">
        <v>46074</v>
      </c>
      <c r="O418" s="2">
        <v>46110</v>
      </c>
      <c r="P418" t="s">
        <v>29</v>
      </c>
      <c r="Q418" t="s">
        <v>139</v>
      </c>
      <c r="R418" t="s">
        <v>59</v>
      </c>
      <c r="S418" t="s">
        <v>110</v>
      </c>
      <c r="T418" t="s">
        <v>33</v>
      </c>
      <c r="U418" t="s">
        <v>78</v>
      </c>
      <c r="V418" t="str">
        <f>IF(B418&lt;=18,"Children",IF(B418&lt;=35,"Young adult",IF(B418&lt;=60,"Adult", "Senior Citizen")))</f>
        <v>Senior Citizen</v>
      </c>
      <c r="W418" t="str">
        <f t="shared" si="42"/>
        <v>Feb</v>
      </c>
      <c r="X418">
        <f t="shared" si="43"/>
        <v>2</v>
      </c>
      <c r="Y418" t="str">
        <f t="shared" si="44"/>
        <v>Q1</v>
      </c>
      <c r="Z418">
        <f t="shared" si="45"/>
        <v>2026</v>
      </c>
      <c r="AA418" t="str">
        <f t="shared" si="46"/>
        <v>Saturday</v>
      </c>
      <c r="AB418">
        <f t="shared" si="47"/>
        <v>-36</v>
      </c>
      <c r="AC418" t="str">
        <f>IF(OR(D418="Heart Disease",D418="Cancer",D418="Stroke"),"High",IF(OR(D418="Diabetes",D418="Asthma"),"Medium","Low"))</f>
        <v>High</v>
      </c>
      <c r="AD418" t="str">
        <f t="shared" si="48"/>
        <v>Yes</v>
      </c>
      <c r="AE418" t="str">
        <f>IF(G418&lt;=2,"Short Stay", IF(G418&lt;=7,"Normal Stay", "Long Stay"))</f>
        <v>Long Stay</v>
      </c>
      <c r="AF418" t="str">
        <f>IF(F418&gt;60000,"Expensive",IF(F418&gt;30000,"Moderate","Affordable"))</f>
        <v>Affordable</v>
      </c>
      <c r="AG418" t="str">
        <f>IF(J418&gt;=4.5,"Excellent",IF(J418&gt;=3.5,"Good",IF(J418&gt;=2.5,"Average","Poor")))</f>
        <v>Poor</v>
      </c>
      <c r="AH418" t="str">
        <f>IF(OR(TEXT(N418,"dddd")="Saturday",TEXT(N418,"dddd")="Sunday"),"Weekend","Weekday")</f>
        <v>Weekend</v>
      </c>
    </row>
    <row r="419" spans="1:34" x14ac:dyDescent="0.3">
      <c r="A419">
        <v>425</v>
      </c>
      <c r="B419">
        <v>55</v>
      </c>
      <c r="C419" t="s">
        <v>21</v>
      </c>
      <c r="D419" t="s">
        <v>60</v>
      </c>
      <c r="E419" t="s">
        <v>61</v>
      </c>
      <c r="F419">
        <v>25000</v>
      </c>
      <c r="G419">
        <v>38</v>
      </c>
      <c r="H419" t="s">
        <v>24</v>
      </c>
      <c r="I419" t="s">
        <v>25</v>
      </c>
      <c r="J419">
        <v>4</v>
      </c>
      <c r="K419" t="s">
        <v>215</v>
      </c>
      <c r="L419" t="s">
        <v>961</v>
      </c>
      <c r="M419" t="s">
        <v>962</v>
      </c>
      <c r="N419" s="2">
        <v>46075</v>
      </c>
      <c r="O419" s="2">
        <v>46113</v>
      </c>
      <c r="P419" t="s">
        <v>29</v>
      </c>
      <c r="Q419" t="s">
        <v>71</v>
      </c>
      <c r="R419" t="s">
        <v>65</v>
      </c>
      <c r="S419" t="s">
        <v>77</v>
      </c>
      <c r="T419" t="s">
        <v>33</v>
      </c>
      <c r="U419" t="s">
        <v>78</v>
      </c>
      <c r="V419" t="str">
        <f>IF(B419&lt;=18,"Children",IF(B419&lt;=35,"Young adult",IF(B419&lt;=60,"Adult", "Senior Citizen")))</f>
        <v>Adult</v>
      </c>
      <c r="W419" t="str">
        <f t="shared" si="42"/>
        <v>Feb</v>
      </c>
      <c r="X419">
        <f t="shared" si="43"/>
        <v>2</v>
      </c>
      <c r="Y419" t="str">
        <f t="shared" si="44"/>
        <v>Q1</v>
      </c>
      <c r="Z419">
        <f t="shared" si="45"/>
        <v>2026</v>
      </c>
      <c r="AA419" t="str">
        <f t="shared" si="46"/>
        <v>Sunday</v>
      </c>
      <c r="AB419">
        <f t="shared" si="47"/>
        <v>-38</v>
      </c>
      <c r="AC419" t="str">
        <f>IF(OR(D419="Heart Disease",D419="Cancer",D419="Stroke"),"High",IF(OR(D419="Diabetes",D419="Asthma"),"Medium","Low"))</f>
        <v>High</v>
      </c>
      <c r="AD419" t="str">
        <f t="shared" si="48"/>
        <v>Yes</v>
      </c>
      <c r="AE419" t="str">
        <f>IF(G419&lt;=2,"Short Stay", IF(G419&lt;=7,"Normal Stay", "Long Stay"))</f>
        <v>Long Stay</v>
      </c>
      <c r="AF419" t="str">
        <f>IF(F419&gt;60000,"Expensive",IF(F419&gt;30000,"Moderate","Affordable"))</f>
        <v>Affordable</v>
      </c>
      <c r="AG419" t="str">
        <f>IF(J419&gt;=4.5,"Excellent",IF(J419&gt;=3.5,"Good",IF(J419&gt;=2.5,"Average","Poor")))</f>
        <v>Good</v>
      </c>
      <c r="AH419" t="str">
        <f>IF(OR(TEXT(N419,"dddd")="Saturday",TEXT(N419,"dddd")="Sunday"),"Weekend","Weekday")</f>
        <v>Weekend</v>
      </c>
    </row>
    <row r="420" spans="1:34" x14ac:dyDescent="0.3">
      <c r="A420">
        <v>426</v>
      </c>
      <c r="B420">
        <v>68</v>
      </c>
      <c r="C420" t="s">
        <v>35</v>
      </c>
      <c r="D420" t="s">
        <v>66</v>
      </c>
      <c r="E420" t="s">
        <v>67</v>
      </c>
      <c r="F420">
        <v>1000</v>
      </c>
      <c r="G420">
        <v>30</v>
      </c>
      <c r="H420" t="s">
        <v>24</v>
      </c>
      <c r="I420" t="s">
        <v>39</v>
      </c>
      <c r="J420">
        <v>4</v>
      </c>
      <c r="K420" t="s">
        <v>68</v>
      </c>
      <c r="L420" t="s">
        <v>963</v>
      </c>
      <c r="M420" t="s">
        <v>964</v>
      </c>
      <c r="N420" s="2">
        <v>46076</v>
      </c>
      <c r="O420" s="2">
        <v>46106</v>
      </c>
      <c r="P420" t="s">
        <v>29</v>
      </c>
      <c r="Q420" t="s">
        <v>52</v>
      </c>
      <c r="R420" t="s">
        <v>45</v>
      </c>
      <c r="S420" t="s">
        <v>77</v>
      </c>
      <c r="T420" t="s">
        <v>33</v>
      </c>
      <c r="U420" t="s">
        <v>78</v>
      </c>
      <c r="V420" t="str">
        <f>IF(B420&lt;=18,"Children",IF(B420&lt;=35,"Young adult",IF(B420&lt;=60,"Adult", "Senior Citizen")))</f>
        <v>Senior Citizen</v>
      </c>
      <c r="W420" t="str">
        <f t="shared" si="42"/>
        <v>Feb</v>
      </c>
      <c r="X420">
        <f t="shared" si="43"/>
        <v>2</v>
      </c>
      <c r="Y420" t="str">
        <f t="shared" si="44"/>
        <v>Q1</v>
      </c>
      <c r="Z420">
        <f t="shared" si="45"/>
        <v>2026</v>
      </c>
      <c r="AA420" t="str">
        <f t="shared" si="46"/>
        <v>Monday</v>
      </c>
      <c r="AB420">
        <f t="shared" si="47"/>
        <v>-30</v>
      </c>
      <c r="AC420" t="str">
        <f>IF(OR(D420="Heart Disease",D420="Cancer",D420="Stroke"),"High",IF(OR(D420="Diabetes",D420="Asthma"),"Medium","Low"))</f>
        <v>Low</v>
      </c>
      <c r="AD420" t="str">
        <f t="shared" si="48"/>
        <v>No</v>
      </c>
      <c r="AE420" t="str">
        <f>IF(G420&lt;=2,"Short Stay", IF(G420&lt;=7,"Normal Stay", "Long Stay"))</f>
        <v>Long Stay</v>
      </c>
      <c r="AF420" t="str">
        <f>IF(F420&gt;60000,"Expensive",IF(F420&gt;30000,"Moderate","Affordable"))</f>
        <v>Affordable</v>
      </c>
      <c r="AG420" t="str">
        <f>IF(J420&gt;=4.5,"Excellent",IF(J420&gt;=3.5,"Good",IF(J420&gt;=2.5,"Average","Poor")))</f>
        <v>Good</v>
      </c>
      <c r="AH420" t="str">
        <f>IF(OR(TEXT(N420,"dddd")="Saturday",TEXT(N420,"dddd")="Sunday"),"Weekend","Weekday")</f>
        <v>Weekday</v>
      </c>
    </row>
    <row r="421" spans="1:34" x14ac:dyDescent="0.3">
      <c r="A421">
        <v>427</v>
      </c>
      <c r="B421">
        <v>45</v>
      </c>
      <c r="C421" t="s">
        <v>21</v>
      </c>
      <c r="D421" t="s">
        <v>73</v>
      </c>
      <c r="E421" t="s">
        <v>74</v>
      </c>
      <c r="F421">
        <v>8000</v>
      </c>
      <c r="G421">
        <v>32</v>
      </c>
      <c r="H421" t="s">
        <v>24</v>
      </c>
      <c r="I421" t="s">
        <v>25</v>
      </c>
      <c r="J421">
        <v>3</v>
      </c>
      <c r="K421" t="s">
        <v>149</v>
      </c>
      <c r="L421" t="s">
        <v>965</v>
      </c>
      <c r="M421" t="s">
        <v>966</v>
      </c>
      <c r="N421" s="2">
        <v>46077</v>
      </c>
      <c r="O421" s="2">
        <v>46109</v>
      </c>
      <c r="P421" t="s">
        <v>43</v>
      </c>
      <c r="Q421" t="s">
        <v>44</v>
      </c>
      <c r="R421" t="s">
        <v>45</v>
      </c>
      <c r="S421" t="s">
        <v>84</v>
      </c>
      <c r="T421" t="s">
        <v>33</v>
      </c>
      <c r="U421" t="s">
        <v>34</v>
      </c>
      <c r="V421" t="str">
        <f>IF(B421&lt;=18,"Children",IF(B421&lt;=35,"Young adult",IF(B421&lt;=60,"Adult", "Senior Citizen")))</f>
        <v>Adult</v>
      </c>
      <c r="W421" t="str">
        <f t="shared" si="42"/>
        <v>Feb</v>
      </c>
      <c r="X421">
        <f t="shared" si="43"/>
        <v>2</v>
      </c>
      <c r="Y421" t="str">
        <f t="shared" si="44"/>
        <v>Q1</v>
      </c>
      <c r="Z421">
        <f t="shared" si="45"/>
        <v>2026</v>
      </c>
      <c r="AA421" t="str">
        <f t="shared" si="46"/>
        <v>Tuesday</v>
      </c>
      <c r="AB421">
        <f t="shared" si="47"/>
        <v>-32</v>
      </c>
      <c r="AC421" t="str">
        <f>IF(OR(D421="Heart Disease",D421="Cancer",D421="Stroke"),"High",IF(OR(D421="Diabetes",D421="Asthma"),"Medium","Low"))</f>
        <v>Low</v>
      </c>
      <c r="AD421" t="str">
        <f t="shared" si="48"/>
        <v>No</v>
      </c>
      <c r="AE421" t="str">
        <f>IF(G421&lt;=2,"Short Stay", IF(G421&lt;=7,"Normal Stay", "Long Stay"))</f>
        <v>Long Stay</v>
      </c>
      <c r="AF421" t="str">
        <f>IF(F421&gt;60000,"Expensive",IF(F421&gt;30000,"Moderate","Affordable"))</f>
        <v>Affordable</v>
      </c>
      <c r="AG421" t="str">
        <f>IF(J421&gt;=4.5,"Excellent",IF(J421&gt;=3.5,"Good",IF(J421&gt;=2.5,"Average","Poor")))</f>
        <v>Average</v>
      </c>
      <c r="AH421" t="str">
        <f>IF(OR(TEXT(N421,"dddd")="Saturday",TEXT(N421,"dddd")="Sunday"),"Weekend","Weekday")</f>
        <v>Weekday</v>
      </c>
    </row>
    <row r="422" spans="1:34" x14ac:dyDescent="0.3">
      <c r="A422">
        <v>428</v>
      </c>
      <c r="B422">
        <v>40</v>
      </c>
      <c r="C422" t="s">
        <v>35</v>
      </c>
      <c r="D422" t="s">
        <v>79</v>
      </c>
      <c r="E422" t="s">
        <v>80</v>
      </c>
      <c r="F422">
        <v>3000</v>
      </c>
      <c r="G422">
        <v>34</v>
      </c>
      <c r="H422" t="s">
        <v>24</v>
      </c>
      <c r="I422" t="s">
        <v>25</v>
      </c>
      <c r="J422">
        <v>4</v>
      </c>
      <c r="K422" t="s">
        <v>128</v>
      </c>
      <c r="L422" t="s">
        <v>967</v>
      </c>
      <c r="M422" t="s">
        <v>968</v>
      </c>
      <c r="N422" s="2">
        <v>46078</v>
      </c>
      <c r="O422" s="2">
        <v>46112</v>
      </c>
      <c r="P422" t="s">
        <v>43</v>
      </c>
      <c r="Q422" t="s">
        <v>71</v>
      </c>
      <c r="R422" t="s">
        <v>45</v>
      </c>
      <c r="S422" t="s">
        <v>84</v>
      </c>
      <c r="T422" t="s">
        <v>33</v>
      </c>
      <c r="U422" t="s">
        <v>34</v>
      </c>
      <c r="V422" t="str">
        <f>IF(B422&lt;=18,"Children",IF(B422&lt;=35,"Young adult",IF(B422&lt;=60,"Adult", "Senior Citizen")))</f>
        <v>Adult</v>
      </c>
      <c r="W422" t="str">
        <f t="shared" si="42"/>
        <v>Feb</v>
      </c>
      <c r="X422">
        <f t="shared" si="43"/>
        <v>2</v>
      </c>
      <c r="Y422" t="str">
        <f t="shared" si="44"/>
        <v>Q1</v>
      </c>
      <c r="Z422">
        <f t="shared" si="45"/>
        <v>2026</v>
      </c>
      <c r="AA422" t="str">
        <f t="shared" si="46"/>
        <v>Wednesday</v>
      </c>
      <c r="AB422">
        <f t="shared" si="47"/>
        <v>-34</v>
      </c>
      <c r="AC422" t="str">
        <f>IF(OR(D422="Heart Disease",D422="Cancer",D422="Stroke"),"High",IF(OR(D422="Diabetes",D422="Asthma"),"Medium","Low"))</f>
        <v>Low</v>
      </c>
      <c r="AD422" t="str">
        <f t="shared" si="48"/>
        <v>No</v>
      </c>
      <c r="AE422" t="str">
        <f>IF(G422&lt;=2,"Short Stay", IF(G422&lt;=7,"Normal Stay", "Long Stay"))</f>
        <v>Long Stay</v>
      </c>
      <c r="AF422" t="str">
        <f>IF(F422&gt;60000,"Expensive",IF(F422&gt;30000,"Moderate","Affordable"))</f>
        <v>Affordable</v>
      </c>
      <c r="AG422" t="str">
        <f>IF(J422&gt;=4.5,"Excellent",IF(J422&gt;=3.5,"Good",IF(J422&gt;=2.5,"Average","Poor")))</f>
        <v>Good</v>
      </c>
      <c r="AH422" t="str">
        <f>IF(OR(TEXT(N422,"dddd")="Saturday",TEXT(N422,"dddd")="Sunday"),"Weekend","Weekday")</f>
        <v>Weekday</v>
      </c>
    </row>
    <row r="423" spans="1:34" x14ac:dyDescent="0.3">
      <c r="A423">
        <v>429</v>
      </c>
      <c r="B423">
        <v>78</v>
      </c>
      <c r="C423" t="s">
        <v>21</v>
      </c>
      <c r="D423" t="s">
        <v>85</v>
      </c>
      <c r="E423" t="s">
        <v>86</v>
      </c>
      <c r="F423">
        <v>18000</v>
      </c>
      <c r="G423">
        <v>36</v>
      </c>
      <c r="H423" t="s">
        <v>38</v>
      </c>
      <c r="I423" t="s">
        <v>39</v>
      </c>
      <c r="J423">
        <v>2</v>
      </c>
      <c r="K423" t="s">
        <v>187</v>
      </c>
      <c r="L423" t="s">
        <v>969</v>
      </c>
      <c r="M423" t="s">
        <v>970</v>
      </c>
      <c r="N423" s="2">
        <v>46079</v>
      </c>
      <c r="O423" s="2">
        <v>46115</v>
      </c>
      <c r="P423" t="s">
        <v>43</v>
      </c>
      <c r="Q423" t="s">
        <v>52</v>
      </c>
      <c r="R423" t="s">
        <v>45</v>
      </c>
      <c r="S423" t="s">
        <v>84</v>
      </c>
      <c r="T423" t="s">
        <v>33</v>
      </c>
      <c r="U423" t="s">
        <v>34</v>
      </c>
      <c r="V423" t="str">
        <f>IF(B423&lt;=18,"Children",IF(B423&lt;=35,"Young adult",IF(B423&lt;=60,"Adult", "Senior Citizen")))</f>
        <v>Senior Citizen</v>
      </c>
      <c r="W423" t="str">
        <f t="shared" si="42"/>
        <v>Feb</v>
      </c>
      <c r="X423">
        <f t="shared" si="43"/>
        <v>2</v>
      </c>
      <c r="Y423" t="str">
        <f t="shared" si="44"/>
        <v>Q1</v>
      </c>
      <c r="Z423">
        <f t="shared" si="45"/>
        <v>2026</v>
      </c>
      <c r="AA423" t="str">
        <f t="shared" si="46"/>
        <v>Thursday</v>
      </c>
      <c r="AB423">
        <f t="shared" si="47"/>
        <v>-36</v>
      </c>
      <c r="AC423" t="str">
        <f>IF(OR(D423="Heart Disease",D423="Cancer",D423="Stroke"),"High",IF(OR(D423="Diabetes",D423="Asthma"),"Medium","Low"))</f>
        <v>Low</v>
      </c>
      <c r="AD423" t="str">
        <f t="shared" si="48"/>
        <v>No</v>
      </c>
      <c r="AE423" t="str">
        <f>IF(G423&lt;=2,"Short Stay", IF(G423&lt;=7,"Normal Stay", "Long Stay"))</f>
        <v>Long Stay</v>
      </c>
      <c r="AF423" t="str">
        <f>IF(F423&gt;60000,"Expensive",IF(F423&gt;30000,"Moderate","Affordable"))</f>
        <v>Affordable</v>
      </c>
      <c r="AG423" t="str">
        <f>IF(J423&gt;=4.5,"Excellent",IF(J423&gt;=3.5,"Good",IF(J423&gt;=2.5,"Average","Poor")))</f>
        <v>Poor</v>
      </c>
      <c r="AH423" t="str">
        <f>IF(OR(TEXT(N423,"dddd")="Saturday",TEXT(N423,"dddd")="Sunday"),"Weekend","Weekday")</f>
        <v>Weekday</v>
      </c>
    </row>
    <row r="424" spans="1:34" x14ac:dyDescent="0.3">
      <c r="A424">
        <v>430</v>
      </c>
      <c r="B424">
        <v>25</v>
      </c>
      <c r="C424" t="s">
        <v>35</v>
      </c>
      <c r="D424" t="s">
        <v>89</v>
      </c>
      <c r="E424" t="s">
        <v>90</v>
      </c>
      <c r="F424">
        <v>100</v>
      </c>
      <c r="G424">
        <v>29</v>
      </c>
      <c r="H424" t="s">
        <v>24</v>
      </c>
      <c r="I424" t="s">
        <v>25</v>
      </c>
      <c r="J424">
        <v>5</v>
      </c>
      <c r="K424" t="s">
        <v>482</v>
      </c>
      <c r="L424" t="s">
        <v>971</v>
      </c>
      <c r="M424" t="s">
        <v>972</v>
      </c>
      <c r="N424" s="2">
        <v>46080</v>
      </c>
      <c r="O424" s="2">
        <v>46109</v>
      </c>
      <c r="P424" t="s">
        <v>29</v>
      </c>
      <c r="Q424" t="s">
        <v>139</v>
      </c>
      <c r="R424" t="s">
        <v>45</v>
      </c>
      <c r="S424" t="s">
        <v>77</v>
      </c>
      <c r="T424" t="s">
        <v>33</v>
      </c>
      <c r="U424" t="s">
        <v>104</v>
      </c>
      <c r="V424" t="str">
        <f>IF(B424&lt;=18,"Children",IF(B424&lt;=35,"Young adult",IF(B424&lt;=60,"Adult", "Senior Citizen")))</f>
        <v>Young adult</v>
      </c>
      <c r="W424" t="str">
        <f t="shared" si="42"/>
        <v>Feb</v>
      </c>
      <c r="X424">
        <f t="shared" si="43"/>
        <v>2</v>
      </c>
      <c r="Y424" t="str">
        <f t="shared" si="44"/>
        <v>Q1</v>
      </c>
      <c r="Z424">
        <f t="shared" si="45"/>
        <v>2026</v>
      </c>
      <c r="AA424" t="str">
        <f t="shared" si="46"/>
        <v>Friday</v>
      </c>
      <c r="AB424">
        <f t="shared" si="47"/>
        <v>-29</v>
      </c>
      <c r="AC424" t="str">
        <f>IF(OR(D424="Heart Disease",D424="Cancer",D424="Stroke"),"High",IF(OR(D424="Diabetes",D424="Asthma"),"Medium","Low"))</f>
        <v>Low</v>
      </c>
      <c r="AD424" t="str">
        <f t="shared" si="48"/>
        <v>No</v>
      </c>
      <c r="AE424" t="str">
        <f>IF(G424&lt;=2,"Short Stay", IF(G424&lt;=7,"Normal Stay", "Long Stay"))</f>
        <v>Long Stay</v>
      </c>
      <c r="AF424" t="str">
        <f>IF(F424&gt;60000,"Expensive",IF(F424&gt;30000,"Moderate","Affordable"))</f>
        <v>Affordable</v>
      </c>
      <c r="AG424" t="str">
        <f>IF(J424&gt;=4.5,"Excellent",IF(J424&gt;=3.5,"Good",IF(J424&gt;=2.5,"Average","Poor")))</f>
        <v>Excellent</v>
      </c>
      <c r="AH424" t="str">
        <f>IF(OR(TEXT(N424,"dddd")="Saturday",TEXT(N424,"dddd")="Sunday"),"Weekend","Weekday")</f>
        <v>Weekday</v>
      </c>
    </row>
    <row r="425" spans="1:34" x14ac:dyDescent="0.3">
      <c r="A425">
        <v>431</v>
      </c>
      <c r="B425">
        <v>52</v>
      </c>
      <c r="C425" t="s">
        <v>21</v>
      </c>
      <c r="D425" t="s">
        <v>94</v>
      </c>
      <c r="E425" t="s">
        <v>95</v>
      </c>
      <c r="F425">
        <v>800</v>
      </c>
      <c r="G425">
        <v>30</v>
      </c>
      <c r="H425" t="s">
        <v>24</v>
      </c>
      <c r="I425" t="s">
        <v>39</v>
      </c>
      <c r="J425">
        <v>4</v>
      </c>
      <c r="K425" t="s">
        <v>329</v>
      </c>
      <c r="L425" t="s">
        <v>973</v>
      </c>
      <c r="M425" t="s">
        <v>974</v>
      </c>
      <c r="N425" s="2">
        <v>46081</v>
      </c>
      <c r="O425" s="2">
        <v>46111</v>
      </c>
      <c r="P425" t="s">
        <v>43</v>
      </c>
      <c r="Q425" t="s">
        <v>52</v>
      </c>
      <c r="R425" t="s">
        <v>45</v>
      </c>
      <c r="S425" t="s">
        <v>77</v>
      </c>
      <c r="T425" t="s">
        <v>33</v>
      </c>
      <c r="U425" t="s">
        <v>104</v>
      </c>
      <c r="V425" t="str">
        <f>IF(B425&lt;=18,"Children",IF(B425&lt;=35,"Young adult",IF(B425&lt;=60,"Adult", "Senior Citizen")))</f>
        <v>Adult</v>
      </c>
      <c r="W425" t="str">
        <f t="shared" si="42"/>
        <v>Feb</v>
      </c>
      <c r="X425">
        <f t="shared" si="43"/>
        <v>2</v>
      </c>
      <c r="Y425" t="str">
        <f t="shared" si="44"/>
        <v>Q1</v>
      </c>
      <c r="Z425">
        <f t="shared" si="45"/>
        <v>2026</v>
      </c>
      <c r="AA425" t="str">
        <f t="shared" si="46"/>
        <v>Saturday</v>
      </c>
      <c r="AB425">
        <f t="shared" si="47"/>
        <v>-30</v>
      </c>
      <c r="AC425" t="str">
        <f>IF(OR(D425="Heart Disease",D425="Cancer",D425="Stroke"),"High",IF(OR(D425="Diabetes",D425="Asthma"),"Medium","Low"))</f>
        <v>Low</v>
      </c>
      <c r="AD425" t="str">
        <f t="shared" si="48"/>
        <v>No</v>
      </c>
      <c r="AE425" t="str">
        <f>IF(G425&lt;=2,"Short Stay", IF(G425&lt;=7,"Normal Stay", "Long Stay"))</f>
        <v>Long Stay</v>
      </c>
      <c r="AF425" t="str">
        <f>IF(F425&gt;60000,"Expensive",IF(F425&gt;30000,"Moderate","Affordable"))</f>
        <v>Affordable</v>
      </c>
      <c r="AG425" t="str">
        <f>IF(J425&gt;=4.5,"Excellent",IF(J425&gt;=3.5,"Good",IF(J425&gt;=2.5,"Average","Poor")))</f>
        <v>Good</v>
      </c>
      <c r="AH425" t="str">
        <f>IF(OR(TEXT(N425,"dddd")="Saturday",TEXT(N425,"dddd")="Sunday"),"Weekend","Weekday")</f>
        <v>Weekend</v>
      </c>
    </row>
    <row r="426" spans="1:34" x14ac:dyDescent="0.3">
      <c r="A426">
        <v>432</v>
      </c>
      <c r="B426">
        <v>58</v>
      </c>
      <c r="C426" t="s">
        <v>35</v>
      </c>
      <c r="D426" t="s">
        <v>99</v>
      </c>
      <c r="E426" t="s">
        <v>100</v>
      </c>
      <c r="F426">
        <v>20000</v>
      </c>
      <c r="G426">
        <v>37</v>
      </c>
      <c r="H426" t="s">
        <v>24</v>
      </c>
      <c r="I426" t="s">
        <v>25</v>
      </c>
      <c r="J426">
        <v>3</v>
      </c>
      <c r="K426" t="s">
        <v>178</v>
      </c>
      <c r="L426" t="s">
        <v>975</v>
      </c>
      <c r="M426" t="s">
        <v>976</v>
      </c>
      <c r="N426" s="2">
        <v>46082</v>
      </c>
      <c r="O426" s="2">
        <v>46119</v>
      </c>
      <c r="P426" t="s">
        <v>29</v>
      </c>
      <c r="Q426" t="s">
        <v>44</v>
      </c>
      <c r="R426" t="s">
        <v>45</v>
      </c>
      <c r="S426" t="s">
        <v>77</v>
      </c>
      <c r="T426" t="s">
        <v>33</v>
      </c>
      <c r="U426" t="s">
        <v>46</v>
      </c>
      <c r="V426" t="str">
        <f>IF(B426&lt;=18,"Children",IF(B426&lt;=35,"Young adult",IF(B426&lt;=60,"Adult", "Senior Citizen")))</f>
        <v>Adult</v>
      </c>
      <c r="W426" t="str">
        <f t="shared" si="42"/>
        <v>Mar</v>
      </c>
      <c r="X426">
        <f t="shared" si="43"/>
        <v>3</v>
      </c>
      <c r="Y426" t="str">
        <f t="shared" si="44"/>
        <v>Q1</v>
      </c>
      <c r="Z426">
        <f t="shared" si="45"/>
        <v>2026</v>
      </c>
      <c r="AA426" t="str">
        <f t="shared" si="46"/>
        <v>Sunday</v>
      </c>
      <c r="AB426">
        <f t="shared" si="47"/>
        <v>-37</v>
      </c>
      <c r="AC426" t="str">
        <f>IF(OR(D426="Heart Disease",D426="Cancer",D426="Stroke"),"High",IF(OR(D426="Diabetes",D426="Asthma"),"Medium","Low"))</f>
        <v>Low</v>
      </c>
      <c r="AD426" t="str">
        <f t="shared" si="48"/>
        <v>No</v>
      </c>
      <c r="AE426" t="str">
        <f>IF(G426&lt;=2,"Short Stay", IF(G426&lt;=7,"Normal Stay", "Long Stay"))</f>
        <v>Long Stay</v>
      </c>
      <c r="AF426" t="str">
        <f>IF(F426&gt;60000,"Expensive",IF(F426&gt;30000,"Moderate","Affordable"))</f>
        <v>Affordable</v>
      </c>
      <c r="AG426" t="str">
        <f>IF(J426&gt;=4.5,"Excellent",IF(J426&gt;=3.5,"Good",IF(J426&gt;=2.5,"Average","Poor")))</f>
        <v>Average</v>
      </c>
      <c r="AH426" t="str">
        <f>IF(OR(TEXT(N426,"dddd")="Saturday",TEXT(N426,"dddd")="Sunday"),"Weekend","Weekday")</f>
        <v>Weekend</v>
      </c>
    </row>
    <row r="427" spans="1:34" x14ac:dyDescent="0.3">
      <c r="A427">
        <v>433</v>
      </c>
      <c r="B427">
        <v>32</v>
      </c>
      <c r="C427" t="s">
        <v>21</v>
      </c>
      <c r="D427" t="s">
        <v>105</v>
      </c>
      <c r="E427" t="s">
        <v>106</v>
      </c>
      <c r="F427">
        <v>12000</v>
      </c>
      <c r="G427">
        <v>31</v>
      </c>
      <c r="H427" t="s">
        <v>24</v>
      </c>
      <c r="I427" t="s">
        <v>25</v>
      </c>
      <c r="J427">
        <v>4</v>
      </c>
      <c r="K427" t="s">
        <v>242</v>
      </c>
      <c r="L427" t="s">
        <v>977</v>
      </c>
      <c r="M427" t="s">
        <v>978</v>
      </c>
      <c r="N427" s="2">
        <v>46083</v>
      </c>
      <c r="O427" s="2">
        <v>46114</v>
      </c>
      <c r="P427" t="s">
        <v>43</v>
      </c>
      <c r="Q427" t="s">
        <v>30</v>
      </c>
      <c r="R427" t="s">
        <v>45</v>
      </c>
      <c r="S427" t="s">
        <v>84</v>
      </c>
      <c r="T427" t="s">
        <v>33</v>
      </c>
      <c r="U427" t="s">
        <v>78</v>
      </c>
      <c r="V427" t="str">
        <f>IF(B427&lt;=18,"Children",IF(B427&lt;=35,"Young adult",IF(B427&lt;=60,"Adult", "Senior Citizen")))</f>
        <v>Young adult</v>
      </c>
      <c r="W427" t="str">
        <f t="shared" si="42"/>
        <v>Mar</v>
      </c>
      <c r="X427">
        <f t="shared" si="43"/>
        <v>3</v>
      </c>
      <c r="Y427" t="str">
        <f t="shared" si="44"/>
        <v>Q1</v>
      </c>
      <c r="Z427">
        <f t="shared" si="45"/>
        <v>2026</v>
      </c>
      <c r="AA427" t="str">
        <f t="shared" si="46"/>
        <v>Monday</v>
      </c>
      <c r="AB427">
        <f t="shared" si="47"/>
        <v>-31</v>
      </c>
      <c r="AC427" t="str">
        <f>IF(OR(D427="Heart Disease",D427="Cancer",D427="Stroke"),"High",IF(OR(D427="Diabetes",D427="Asthma"),"Medium","Low"))</f>
        <v>Low</v>
      </c>
      <c r="AD427" t="str">
        <f t="shared" si="48"/>
        <v>No</v>
      </c>
      <c r="AE427" t="str">
        <f>IF(G427&lt;=2,"Short Stay", IF(G427&lt;=7,"Normal Stay", "Long Stay"))</f>
        <v>Long Stay</v>
      </c>
      <c r="AF427" t="str">
        <f>IF(F427&gt;60000,"Expensive",IF(F427&gt;30000,"Moderate","Affordable"))</f>
        <v>Affordable</v>
      </c>
      <c r="AG427" t="str">
        <f>IF(J427&gt;=4.5,"Excellent",IF(J427&gt;=3.5,"Good",IF(J427&gt;=2.5,"Average","Poor")))</f>
        <v>Good</v>
      </c>
      <c r="AH427" t="str">
        <f>IF(OR(TEXT(N427,"dddd")="Saturday",TEXT(N427,"dddd")="Sunday"),"Weekend","Weekday")</f>
        <v>Weekday</v>
      </c>
    </row>
    <row r="428" spans="1:34" x14ac:dyDescent="0.3">
      <c r="A428">
        <v>434</v>
      </c>
      <c r="B428">
        <v>55</v>
      </c>
      <c r="C428" t="s">
        <v>35</v>
      </c>
      <c r="D428" t="s">
        <v>111</v>
      </c>
      <c r="E428" t="s">
        <v>112</v>
      </c>
      <c r="F428">
        <v>6000</v>
      </c>
      <c r="G428">
        <v>32</v>
      </c>
      <c r="H428" t="s">
        <v>24</v>
      </c>
      <c r="I428" t="s">
        <v>25</v>
      </c>
      <c r="J428">
        <v>3</v>
      </c>
      <c r="K428" t="s">
        <v>429</v>
      </c>
      <c r="L428" t="s">
        <v>979</v>
      </c>
      <c r="M428" t="s">
        <v>980</v>
      </c>
      <c r="N428" s="2">
        <v>46084</v>
      </c>
      <c r="O428" s="2">
        <v>46116</v>
      </c>
      <c r="P428" t="s">
        <v>43</v>
      </c>
      <c r="Q428" t="s">
        <v>44</v>
      </c>
      <c r="R428" t="s">
        <v>45</v>
      </c>
      <c r="S428" t="s">
        <v>84</v>
      </c>
      <c r="T428" t="s">
        <v>33</v>
      </c>
      <c r="U428" t="s">
        <v>104</v>
      </c>
      <c r="V428" t="str">
        <f>IF(B428&lt;=18,"Children",IF(B428&lt;=35,"Young adult",IF(B428&lt;=60,"Adult", "Senior Citizen")))</f>
        <v>Adult</v>
      </c>
      <c r="W428" t="str">
        <f t="shared" si="42"/>
        <v>Mar</v>
      </c>
      <c r="X428">
        <f t="shared" si="43"/>
        <v>3</v>
      </c>
      <c r="Y428" t="str">
        <f t="shared" si="44"/>
        <v>Q1</v>
      </c>
      <c r="Z428">
        <f t="shared" si="45"/>
        <v>2026</v>
      </c>
      <c r="AA428" t="str">
        <f t="shared" si="46"/>
        <v>Tuesday</v>
      </c>
      <c r="AB428">
        <f t="shared" si="47"/>
        <v>-32</v>
      </c>
      <c r="AC428" t="str">
        <f>IF(OR(D428="Heart Disease",D428="Cancer",D428="Stroke"),"High",IF(OR(D428="Diabetes",D428="Asthma"),"Medium","Low"))</f>
        <v>Low</v>
      </c>
      <c r="AD428" t="str">
        <f t="shared" si="48"/>
        <v>No</v>
      </c>
      <c r="AE428" t="str">
        <f>IF(G428&lt;=2,"Short Stay", IF(G428&lt;=7,"Normal Stay", "Long Stay"))</f>
        <v>Long Stay</v>
      </c>
      <c r="AF428" t="str">
        <f>IF(F428&gt;60000,"Expensive",IF(F428&gt;30000,"Moderate","Affordable"))</f>
        <v>Affordable</v>
      </c>
      <c r="AG428" t="str">
        <f>IF(J428&gt;=4.5,"Excellent",IF(J428&gt;=3.5,"Good",IF(J428&gt;=2.5,"Average","Poor")))</f>
        <v>Average</v>
      </c>
      <c r="AH428" t="str">
        <f>IF(OR(TEXT(N428,"dddd")="Saturday",TEXT(N428,"dddd")="Sunday"),"Weekend","Weekday")</f>
        <v>Weekday</v>
      </c>
    </row>
    <row r="429" spans="1:34" x14ac:dyDescent="0.3">
      <c r="A429">
        <v>435</v>
      </c>
      <c r="B429">
        <v>65</v>
      </c>
      <c r="C429" t="s">
        <v>21</v>
      </c>
      <c r="D429" t="s">
        <v>116</v>
      </c>
      <c r="E429" t="s">
        <v>117</v>
      </c>
      <c r="F429">
        <v>4000</v>
      </c>
      <c r="G429">
        <v>33</v>
      </c>
      <c r="H429" t="s">
        <v>24</v>
      </c>
      <c r="I429" t="s">
        <v>39</v>
      </c>
      <c r="J429">
        <v>4</v>
      </c>
      <c r="K429" t="s">
        <v>380</v>
      </c>
      <c r="L429" t="s">
        <v>981</v>
      </c>
      <c r="M429" t="s">
        <v>982</v>
      </c>
      <c r="N429" s="2">
        <v>46085</v>
      </c>
      <c r="O429" s="2">
        <v>46118</v>
      </c>
      <c r="P429" t="s">
        <v>29</v>
      </c>
      <c r="Q429" t="s">
        <v>139</v>
      </c>
      <c r="R429" t="s">
        <v>45</v>
      </c>
      <c r="S429" t="s">
        <v>72</v>
      </c>
      <c r="T429" t="s">
        <v>33</v>
      </c>
      <c r="U429" t="s">
        <v>78</v>
      </c>
      <c r="V429" t="str">
        <f>IF(B429&lt;=18,"Children",IF(B429&lt;=35,"Young adult",IF(B429&lt;=60,"Adult", "Senior Citizen")))</f>
        <v>Senior Citizen</v>
      </c>
      <c r="W429" t="str">
        <f t="shared" si="42"/>
        <v>Mar</v>
      </c>
      <c r="X429">
        <f t="shared" si="43"/>
        <v>3</v>
      </c>
      <c r="Y429" t="str">
        <f t="shared" si="44"/>
        <v>Q1</v>
      </c>
      <c r="Z429">
        <f t="shared" si="45"/>
        <v>2026</v>
      </c>
      <c r="AA429" t="str">
        <f t="shared" si="46"/>
        <v>Wednesday</v>
      </c>
      <c r="AB429">
        <f t="shared" si="47"/>
        <v>-33</v>
      </c>
      <c r="AC429" t="str">
        <f>IF(OR(D429="Heart Disease",D429="Cancer",D429="Stroke"),"High",IF(OR(D429="Diabetes",D429="Asthma"),"Medium","Low"))</f>
        <v>Low</v>
      </c>
      <c r="AD429" t="str">
        <f t="shared" si="48"/>
        <v>No</v>
      </c>
      <c r="AE429" t="str">
        <f>IF(G429&lt;=2,"Short Stay", IF(G429&lt;=7,"Normal Stay", "Long Stay"))</f>
        <v>Long Stay</v>
      </c>
      <c r="AF429" t="str">
        <f>IF(F429&gt;60000,"Expensive",IF(F429&gt;30000,"Moderate","Affordable"))</f>
        <v>Affordable</v>
      </c>
      <c r="AG429" t="str">
        <f>IF(J429&gt;=4.5,"Excellent",IF(J429&gt;=3.5,"Good",IF(J429&gt;=2.5,"Average","Poor")))</f>
        <v>Good</v>
      </c>
      <c r="AH429" t="str">
        <f>IF(OR(TEXT(N429,"dddd")="Saturday",TEXT(N429,"dddd")="Sunday"),"Weekend","Weekday")</f>
        <v>Weekday</v>
      </c>
    </row>
    <row r="430" spans="1:34" x14ac:dyDescent="0.3">
      <c r="A430">
        <v>436</v>
      </c>
      <c r="B430">
        <v>55</v>
      </c>
      <c r="C430" t="s">
        <v>21</v>
      </c>
      <c r="D430" t="s">
        <v>22</v>
      </c>
      <c r="E430" t="s">
        <v>23</v>
      </c>
      <c r="F430">
        <v>15000</v>
      </c>
      <c r="G430">
        <v>34</v>
      </c>
      <c r="H430" t="s">
        <v>38</v>
      </c>
      <c r="I430" t="s">
        <v>25</v>
      </c>
      <c r="J430">
        <v>3</v>
      </c>
      <c r="K430" t="s">
        <v>250</v>
      </c>
      <c r="L430" t="s">
        <v>983</v>
      </c>
      <c r="M430" t="s">
        <v>984</v>
      </c>
      <c r="N430" s="2">
        <v>46086</v>
      </c>
      <c r="O430" s="2">
        <v>46120</v>
      </c>
      <c r="P430" t="s">
        <v>29</v>
      </c>
      <c r="Q430" t="s">
        <v>139</v>
      </c>
      <c r="R430" t="s">
        <v>31</v>
      </c>
      <c r="S430" t="s">
        <v>72</v>
      </c>
      <c r="T430" t="s">
        <v>33</v>
      </c>
      <c r="U430" t="s">
        <v>46</v>
      </c>
      <c r="V430" t="str">
        <f>IF(B430&lt;=18,"Children",IF(B430&lt;=35,"Young adult",IF(B430&lt;=60,"Adult", "Senior Citizen")))</f>
        <v>Adult</v>
      </c>
      <c r="W430" t="str">
        <f t="shared" si="42"/>
        <v>Mar</v>
      </c>
      <c r="X430">
        <f t="shared" si="43"/>
        <v>3</v>
      </c>
      <c r="Y430" t="str">
        <f t="shared" si="44"/>
        <v>Q1</v>
      </c>
      <c r="Z430">
        <f t="shared" si="45"/>
        <v>2026</v>
      </c>
      <c r="AA430" t="str">
        <f t="shared" si="46"/>
        <v>Thursday</v>
      </c>
      <c r="AB430">
        <f t="shared" si="47"/>
        <v>-34</v>
      </c>
      <c r="AC430" t="str">
        <f>IF(OR(D430="Heart Disease",D430="Cancer",D430="Stroke"),"High",IF(OR(D430="Diabetes",D430="Asthma"),"Medium","Low"))</f>
        <v>High</v>
      </c>
      <c r="AD430" t="str">
        <f t="shared" si="48"/>
        <v>Yes</v>
      </c>
      <c r="AE430" t="str">
        <f>IF(G430&lt;=2,"Short Stay", IF(G430&lt;=7,"Normal Stay", "Long Stay"))</f>
        <v>Long Stay</v>
      </c>
      <c r="AF430" t="str">
        <f>IF(F430&gt;60000,"Expensive",IF(F430&gt;30000,"Moderate","Affordable"))</f>
        <v>Affordable</v>
      </c>
      <c r="AG430" t="str">
        <f>IF(J430&gt;=4.5,"Excellent",IF(J430&gt;=3.5,"Good",IF(J430&gt;=2.5,"Average","Poor")))</f>
        <v>Average</v>
      </c>
      <c r="AH430" t="str">
        <f>IF(OR(TEXT(N430,"dddd")="Saturday",TEXT(N430,"dddd")="Sunday"),"Weekend","Weekday")</f>
        <v>Weekday</v>
      </c>
    </row>
    <row r="431" spans="1:34" x14ac:dyDescent="0.3">
      <c r="A431">
        <v>437</v>
      </c>
      <c r="B431">
        <v>62</v>
      </c>
      <c r="C431" t="s">
        <v>35</v>
      </c>
      <c r="D431" t="s">
        <v>36</v>
      </c>
      <c r="E431" t="s">
        <v>37</v>
      </c>
      <c r="F431">
        <v>2000</v>
      </c>
      <c r="G431">
        <v>32</v>
      </c>
      <c r="H431" t="s">
        <v>24</v>
      </c>
      <c r="I431" t="s">
        <v>39</v>
      </c>
      <c r="J431">
        <v>4</v>
      </c>
      <c r="K431" t="s">
        <v>294</v>
      </c>
      <c r="L431" t="s">
        <v>985</v>
      </c>
      <c r="M431" t="s">
        <v>986</v>
      </c>
      <c r="N431" s="2">
        <v>46087</v>
      </c>
      <c r="O431" s="2">
        <v>46119</v>
      </c>
      <c r="P431" t="s">
        <v>29</v>
      </c>
      <c r="Q431" t="s">
        <v>71</v>
      </c>
      <c r="R431" t="s">
        <v>45</v>
      </c>
      <c r="S431" t="s">
        <v>53</v>
      </c>
      <c r="T431" t="s">
        <v>33</v>
      </c>
      <c r="U431" t="s">
        <v>34</v>
      </c>
      <c r="V431" t="str">
        <f>IF(B431&lt;=18,"Children",IF(B431&lt;=35,"Young adult",IF(B431&lt;=60,"Adult", "Senior Citizen")))</f>
        <v>Senior Citizen</v>
      </c>
      <c r="W431" t="str">
        <f t="shared" si="42"/>
        <v>Mar</v>
      </c>
      <c r="X431">
        <f t="shared" si="43"/>
        <v>3</v>
      </c>
      <c r="Y431" t="str">
        <f t="shared" si="44"/>
        <v>Q1</v>
      </c>
      <c r="Z431">
        <f t="shared" si="45"/>
        <v>2026</v>
      </c>
      <c r="AA431" t="str">
        <f t="shared" si="46"/>
        <v>Friday</v>
      </c>
      <c r="AB431">
        <f t="shared" si="47"/>
        <v>-32</v>
      </c>
      <c r="AC431" t="str">
        <f>IF(OR(D431="Heart Disease",D431="Cancer",D431="Stroke"),"High",IF(OR(D431="Diabetes",D431="Asthma"),"Medium","Low"))</f>
        <v>Medium</v>
      </c>
      <c r="AD431" t="str">
        <f t="shared" si="48"/>
        <v>No</v>
      </c>
      <c r="AE431" t="str">
        <f>IF(G431&lt;=2,"Short Stay", IF(G431&lt;=7,"Normal Stay", "Long Stay"))</f>
        <v>Long Stay</v>
      </c>
      <c r="AF431" t="str">
        <f>IF(F431&gt;60000,"Expensive",IF(F431&gt;30000,"Moderate","Affordable"))</f>
        <v>Affordable</v>
      </c>
      <c r="AG431" t="str">
        <f>IF(J431&gt;=4.5,"Excellent",IF(J431&gt;=3.5,"Good",IF(J431&gt;=2.5,"Average","Poor")))</f>
        <v>Good</v>
      </c>
      <c r="AH431" t="str">
        <f>IF(OR(TEXT(N431,"dddd")="Saturday",TEXT(N431,"dddd")="Sunday"),"Weekend","Weekday")</f>
        <v>Weekday</v>
      </c>
    </row>
    <row r="432" spans="1:34" x14ac:dyDescent="0.3">
      <c r="A432">
        <v>438</v>
      </c>
      <c r="B432">
        <v>35</v>
      </c>
      <c r="C432" t="s">
        <v>21</v>
      </c>
      <c r="D432" t="s">
        <v>47</v>
      </c>
      <c r="E432" t="s">
        <v>48</v>
      </c>
      <c r="F432">
        <v>500</v>
      </c>
      <c r="G432">
        <v>30</v>
      </c>
      <c r="H432" t="s">
        <v>38</v>
      </c>
      <c r="I432" t="s">
        <v>25</v>
      </c>
      <c r="J432">
        <v>5</v>
      </c>
      <c r="K432" t="s">
        <v>49</v>
      </c>
      <c r="L432" t="s">
        <v>987</v>
      </c>
      <c r="M432" t="s">
        <v>988</v>
      </c>
      <c r="N432" s="2">
        <v>46088</v>
      </c>
      <c r="O432" s="2">
        <v>46118</v>
      </c>
      <c r="P432" t="s">
        <v>29</v>
      </c>
      <c r="Q432" t="s">
        <v>71</v>
      </c>
      <c r="R432" t="s">
        <v>45</v>
      </c>
      <c r="S432" t="s">
        <v>32</v>
      </c>
      <c r="T432" t="s">
        <v>33</v>
      </c>
      <c r="U432" t="s">
        <v>104</v>
      </c>
      <c r="V432" t="str">
        <f>IF(B432&lt;=18,"Children",IF(B432&lt;=35,"Young adult",IF(B432&lt;=60,"Adult", "Senior Citizen")))</f>
        <v>Young adult</v>
      </c>
      <c r="W432" t="str">
        <f t="shared" si="42"/>
        <v>Mar</v>
      </c>
      <c r="X432">
        <f t="shared" si="43"/>
        <v>3</v>
      </c>
      <c r="Y432" t="str">
        <f t="shared" si="44"/>
        <v>Q1</v>
      </c>
      <c r="Z432">
        <f t="shared" si="45"/>
        <v>2026</v>
      </c>
      <c r="AA432" t="str">
        <f t="shared" si="46"/>
        <v>Saturday</v>
      </c>
      <c r="AB432">
        <f t="shared" si="47"/>
        <v>-30</v>
      </c>
      <c r="AC432" t="str">
        <f>IF(OR(D432="Heart Disease",D432="Cancer",D432="Stroke"),"High",IF(OR(D432="Diabetes",D432="Asthma"),"Medium","Low"))</f>
        <v>Low</v>
      </c>
      <c r="AD432" t="str">
        <f t="shared" si="48"/>
        <v>No</v>
      </c>
      <c r="AE432" t="str">
        <f>IF(G432&lt;=2,"Short Stay", IF(G432&lt;=7,"Normal Stay", "Long Stay"))</f>
        <v>Long Stay</v>
      </c>
      <c r="AF432" t="str">
        <f>IF(F432&gt;60000,"Expensive",IF(F432&gt;30000,"Moderate","Affordable"))</f>
        <v>Affordable</v>
      </c>
      <c r="AG432" t="str">
        <f>IF(J432&gt;=4.5,"Excellent",IF(J432&gt;=3.5,"Good",IF(J432&gt;=2.5,"Average","Poor")))</f>
        <v>Excellent</v>
      </c>
      <c r="AH432" t="str">
        <f>IF(OR(TEXT(N432,"dddd")="Saturday",TEXT(N432,"dddd")="Sunday"),"Weekend","Weekday")</f>
        <v>Weekend</v>
      </c>
    </row>
    <row r="433" spans="1:34" x14ac:dyDescent="0.3">
      <c r="A433">
        <v>439</v>
      </c>
      <c r="B433">
        <v>78</v>
      </c>
      <c r="C433" t="s">
        <v>35</v>
      </c>
      <c r="D433" t="s">
        <v>54</v>
      </c>
      <c r="E433" t="s">
        <v>55</v>
      </c>
      <c r="F433">
        <v>10000</v>
      </c>
      <c r="G433">
        <v>37</v>
      </c>
      <c r="H433" t="s">
        <v>24</v>
      </c>
      <c r="I433" t="s">
        <v>39</v>
      </c>
      <c r="J433">
        <v>2</v>
      </c>
      <c r="K433" t="s">
        <v>133</v>
      </c>
      <c r="L433" t="s">
        <v>989</v>
      </c>
      <c r="M433" t="s">
        <v>990</v>
      </c>
      <c r="N433" s="2">
        <v>46089</v>
      </c>
      <c r="O433" s="2">
        <v>46126</v>
      </c>
      <c r="P433" t="s">
        <v>29</v>
      </c>
      <c r="Q433" t="s">
        <v>52</v>
      </c>
      <c r="R433" t="s">
        <v>59</v>
      </c>
      <c r="S433" t="s">
        <v>84</v>
      </c>
      <c r="T433" t="s">
        <v>33</v>
      </c>
      <c r="U433" t="s">
        <v>104</v>
      </c>
      <c r="V433" t="str">
        <f>IF(B433&lt;=18,"Children",IF(B433&lt;=35,"Young adult",IF(B433&lt;=60,"Adult", "Senior Citizen")))</f>
        <v>Senior Citizen</v>
      </c>
      <c r="W433" t="str">
        <f t="shared" si="42"/>
        <v>Mar</v>
      </c>
      <c r="X433">
        <f t="shared" si="43"/>
        <v>3</v>
      </c>
      <c r="Y433" t="str">
        <f t="shared" si="44"/>
        <v>Q1</v>
      </c>
      <c r="Z433">
        <f t="shared" si="45"/>
        <v>2026</v>
      </c>
      <c r="AA433" t="str">
        <f t="shared" si="46"/>
        <v>Sunday</v>
      </c>
      <c r="AB433">
        <f t="shared" si="47"/>
        <v>-37</v>
      </c>
      <c r="AC433" t="str">
        <f>IF(OR(D433="Heart Disease",D433="Cancer",D433="Stroke"),"High",IF(OR(D433="Diabetes",D433="Asthma"),"Medium","Low"))</f>
        <v>High</v>
      </c>
      <c r="AD433" t="str">
        <f t="shared" si="48"/>
        <v>Yes</v>
      </c>
      <c r="AE433" t="str">
        <f>IF(G433&lt;=2,"Short Stay", IF(G433&lt;=7,"Normal Stay", "Long Stay"))</f>
        <v>Long Stay</v>
      </c>
      <c r="AF433" t="str">
        <f>IF(F433&gt;60000,"Expensive",IF(F433&gt;30000,"Moderate","Affordable"))</f>
        <v>Affordable</v>
      </c>
      <c r="AG433" t="str">
        <f>IF(J433&gt;=4.5,"Excellent",IF(J433&gt;=3.5,"Good",IF(J433&gt;=2.5,"Average","Poor")))</f>
        <v>Poor</v>
      </c>
      <c r="AH433" t="str">
        <f>IF(OR(TEXT(N433,"dddd")="Saturday",TEXT(N433,"dddd")="Sunday"),"Weekend","Weekday")</f>
        <v>Weekend</v>
      </c>
    </row>
    <row r="434" spans="1:34" x14ac:dyDescent="0.3">
      <c r="A434">
        <v>440</v>
      </c>
      <c r="B434">
        <v>53</v>
      </c>
      <c r="C434" t="s">
        <v>21</v>
      </c>
      <c r="D434" t="s">
        <v>60</v>
      </c>
      <c r="E434" t="s">
        <v>61</v>
      </c>
      <c r="F434">
        <v>25000</v>
      </c>
      <c r="G434">
        <v>39</v>
      </c>
      <c r="H434" t="s">
        <v>38</v>
      </c>
      <c r="I434" t="s">
        <v>25</v>
      </c>
      <c r="J434">
        <v>4</v>
      </c>
      <c r="K434" t="s">
        <v>200</v>
      </c>
      <c r="L434" t="s">
        <v>991</v>
      </c>
      <c r="M434" t="s">
        <v>992</v>
      </c>
      <c r="N434" s="2">
        <v>46090</v>
      </c>
      <c r="O434" s="2">
        <v>46129</v>
      </c>
      <c r="P434" t="s">
        <v>43</v>
      </c>
      <c r="Q434" t="s">
        <v>71</v>
      </c>
      <c r="R434" t="s">
        <v>65</v>
      </c>
      <c r="S434" t="s">
        <v>77</v>
      </c>
      <c r="T434" t="s">
        <v>33</v>
      </c>
      <c r="U434" t="s">
        <v>46</v>
      </c>
      <c r="V434" t="str">
        <f>IF(B434&lt;=18,"Children",IF(B434&lt;=35,"Young adult",IF(B434&lt;=60,"Adult", "Senior Citizen")))</f>
        <v>Adult</v>
      </c>
      <c r="W434" t="str">
        <f t="shared" si="42"/>
        <v>Mar</v>
      </c>
      <c r="X434">
        <f t="shared" si="43"/>
        <v>3</v>
      </c>
      <c r="Y434" t="str">
        <f t="shared" si="44"/>
        <v>Q1</v>
      </c>
      <c r="Z434">
        <f t="shared" si="45"/>
        <v>2026</v>
      </c>
      <c r="AA434" t="str">
        <f t="shared" si="46"/>
        <v>Monday</v>
      </c>
      <c r="AB434">
        <f t="shared" si="47"/>
        <v>-39</v>
      </c>
      <c r="AC434" t="str">
        <f>IF(OR(D434="Heart Disease",D434="Cancer",D434="Stroke"),"High",IF(OR(D434="Diabetes",D434="Asthma"),"Medium","Low"))</f>
        <v>High</v>
      </c>
      <c r="AD434" t="str">
        <f t="shared" si="48"/>
        <v>Yes</v>
      </c>
      <c r="AE434" t="str">
        <f>IF(G434&lt;=2,"Short Stay", IF(G434&lt;=7,"Normal Stay", "Long Stay"))</f>
        <v>Long Stay</v>
      </c>
      <c r="AF434" t="str">
        <f>IF(F434&gt;60000,"Expensive",IF(F434&gt;30000,"Moderate","Affordable"))</f>
        <v>Affordable</v>
      </c>
      <c r="AG434" t="str">
        <f>IF(J434&gt;=4.5,"Excellent",IF(J434&gt;=3.5,"Good",IF(J434&gt;=2.5,"Average","Poor")))</f>
        <v>Good</v>
      </c>
      <c r="AH434" t="str">
        <f>IF(OR(TEXT(N434,"dddd")="Saturday",TEXT(N434,"dddd")="Sunday"),"Weekend","Weekday")</f>
        <v>Weekday</v>
      </c>
    </row>
    <row r="435" spans="1:34" x14ac:dyDescent="0.3">
      <c r="A435">
        <v>441</v>
      </c>
      <c r="B435">
        <v>72</v>
      </c>
      <c r="C435" t="s">
        <v>35</v>
      </c>
      <c r="D435" t="s">
        <v>66</v>
      </c>
      <c r="E435" t="s">
        <v>67</v>
      </c>
      <c r="F435">
        <v>1000</v>
      </c>
      <c r="G435">
        <v>31</v>
      </c>
      <c r="H435" t="s">
        <v>24</v>
      </c>
      <c r="I435" t="s">
        <v>39</v>
      </c>
      <c r="J435">
        <v>4</v>
      </c>
      <c r="K435" t="s">
        <v>56</v>
      </c>
      <c r="L435" t="s">
        <v>993</v>
      </c>
      <c r="M435" t="s">
        <v>994</v>
      </c>
      <c r="N435" s="2">
        <v>46091</v>
      </c>
      <c r="O435" s="2">
        <v>46122</v>
      </c>
      <c r="P435" t="s">
        <v>29</v>
      </c>
      <c r="Q435" t="s">
        <v>139</v>
      </c>
      <c r="R435" t="s">
        <v>45</v>
      </c>
      <c r="S435" t="s">
        <v>77</v>
      </c>
      <c r="T435" t="s">
        <v>33</v>
      </c>
      <c r="U435" t="s">
        <v>104</v>
      </c>
      <c r="V435" t="str">
        <f>IF(B435&lt;=18,"Children",IF(B435&lt;=35,"Young adult",IF(B435&lt;=60,"Adult", "Senior Citizen")))</f>
        <v>Senior Citizen</v>
      </c>
      <c r="W435" t="str">
        <f t="shared" si="42"/>
        <v>Mar</v>
      </c>
      <c r="X435">
        <f t="shared" si="43"/>
        <v>3</v>
      </c>
      <c r="Y435" t="str">
        <f t="shared" si="44"/>
        <v>Q1</v>
      </c>
      <c r="Z435">
        <f t="shared" si="45"/>
        <v>2026</v>
      </c>
      <c r="AA435" t="str">
        <f t="shared" si="46"/>
        <v>Tuesday</v>
      </c>
      <c r="AB435">
        <f t="shared" si="47"/>
        <v>-31</v>
      </c>
      <c r="AC435" t="str">
        <f>IF(OR(D435="Heart Disease",D435="Cancer",D435="Stroke"),"High",IF(OR(D435="Diabetes",D435="Asthma"),"Medium","Low"))</f>
        <v>Low</v>
      </c>
      <c r="AD435" t="str">
        <f t="shared" si="48"/>
        <v>No</v>
      </c>
      <c r="AE435" t="str">
        <f>IF(G435&lt;=2,"Short Stay", IF(G435&lt;=7,"Normal Stay", "Long Stay"))</f>
        <v>Long Stay</v>
      </c>
      <c r="AF435" t="str">
        <f>IF(F435&gt;60000,"Expensive",IF(F435&gt;30000,"Moderate","Affordable"))</f>
        <v>Affordable</v>
      </c>
      <c r="AG435" t="str">
        <f>IF(J435&gt;=4.5,"Excellent",IF(J435&gt;=3.5,"Good",IF(J435&gt;=2.5,"Average","Poor")))</f>
        <v>Good</v>
      </c>
      <c r="AH435" t="str">
        <f>IF(OR(TEXT(N435,"dddd")="Saturday",TEXT(N435,"dddd")="Sunday"),"Weekend","Weekday")</f>
        <v>Weekday</v>
      </c>
    </row>
    <row r="436" spans="1:34" x14ac:dyDescent="0.3">
      <c r="A436">
        <v>442</v>
      </c>
      <c r="B436">
        <v>60</v>
      </c>
      <c r="C436" t="s">
        <v>21</v>
      </c>
      <c r="D436" t="s">
        <v>73</v>
      </c>
      <c r="E436" t="s">
        <v>74</v>
      </c>
      <c r="F436">
        <v>8000</v>
      </c>
      <c r="G436">
        <v>33</v>
      </c>
      <c r="H436" t="s">
        <v>38</v>
      </c>
      <c r="I436" t="s">
        <v>25</v>
      </c>
      <c r="J436">
        <v>3</v>
      </c>
      <c r="K436" t="s">
        <v>133</v>
      </c>
      <c r="L436" t="s">
        <v>995</v>
      </c>
      <c r="M436" t="s">
        <v>996</v>
      </c>
      <c r="N436" s="2">
        <v>46092</v>
      </c>
      <c r="O436" s="2">
        <v>46125</v>
      </c>
      <c r="P436" t="s">
        <v>43</v>
      </c>
      <c r="Q436" t="s">
        <v>139</v>
      </c>
      <c r="R436" t="s">
        <v>45</v>
      </c>
      <c r="S436" t="s">
        <v>72</v>
      </c>
      <c r="T436" t="s">
        <v>33</v>
      </c>
      <c r="U436" t="s">
        <v>104</v>
      </c>
      <c r="V436" t="str">
        <f>IF(B436&lt;=18,"Children",IF(B436&lt;=35,"Young adult",IF(B436&lt;=60,"Adult", "Senior Citizen")))</f>
        <v>Adult</v>
      </c>
      <c r="W436" t="str">
        <f t="shared" si="42"/>
        <v>Mar</v>
      </c>
      <c r="X436">
        <f t="shared" si="43"/>
        <v>3</v>
      </c>
      <c r="Y436" t="str">
        <f t="shared" si="44"/>
        <v>Q1</v>
      </c>
      <c r="Z436">
        <f t="shared" si="45"/>
        <v>2026</v>
      </c>
      <c r="AA436" t="str">
        <f t="shared" si="46"/>
        <v>Wednesday</v>
      </c>
      <c r="AB436">
        <f t="shared" si="47"/>
        <v>-33</v>
      </c>
      <c r="AC436" t="str">
        <f>IF(OR(D436="Heart Disease",D436="Cancer",D436="Stroke"),"High",IF(OR(D436="Diabetes",D436="Asthma"),"Medium","Low"))</f>
        <v>Low</v>
      </c>
      <c r="AD436" t="str">
        <f t="shared" si="48"/>
        <v>No</v>
      </c>
      <c r="AE436" t="str">
        <f>IF(G436&lt;=2,"Short Stay", IF(G436&lt;=7,"Normal Stay", "Long Stay"))</f>
        <v>Long Stay</v>
      </c>
      <c r="AF436" t="str">
        <f>IF(F436&gt;60000,"Expensive",IF(F436&gt;30000,"Moderate","Affordable"))</f>
        <v>Affordable</v>
      </c>
      <c r="AG436" t="str">
        <f>IF(J436&gt;=4.5,"Excellent",IF(J436&gt;=3.5,"Good",IF(J436&gt;=2.5,"Average","Poor")))</f>
        <v>Average</v>
      </c>
      <c r="AH436" t="str">
        <f>IF(OR(TEXT(N436,"dddd")="Saturday",TEXT(N436,"dddd")="Sunday"),"Weekend","Weekday")</f>
        <v>Weekday</v>
      </c>
    </row>
    <row r="437" spans="1:34" x14ac:dyDescent="0.3">
      <c r="A437">
        <v>443</v>
      </c>
      <c r="B437">
        <v>45</v>
      </c>
      <c r="C437" t="s">
        <v>35</v>
      </c>
      <c r="D437" t="s">
        <v>79</v>
      </c>
      <c r="E437" t="s">
        <v>80</v>
      </c>
      <c r="F437">
        <v>3000</v>
      </c>
      <c r="G437">
        <v>35</v>
      </c>
      <c r="H437" t="s">
        <v>24</v>
      </c>
      <c r="I437" t="s">
        <v>25</v>
      </c>
      <c r="J437">
        <v>4</v>
      </c>
      <c r="K437" t="s">
        <v>197</v>
      </c>
      <c r="L437" t="s">
        <v>997</v>
      </c>
      <c r="M437" t="s">
        <v>998</v>
      </c>
      <c r="N437" s="2">
        <v>46093</v>
      </c>
      <c r="O437" s="2">
        <v>46128</v>
      </c>
      <c r="P437" t="s">
        <v>43</v>
      </c>
      <c r="Q437" t="s">
        <v>71</v>
      </c>
      <c r="R437" t="s">
        <v>45</v>
      </c>
      <c r="S437" t="s">
        <v>110</v>
      </c>
      <c r="T437" t="s">
        <v>33</v>
      </c>
      <c r="U437" t="s">
        <v>34</v>
      </c>
      <c r="V437" t="str">
        <f>IF(B437&lt;=18,"Children",IF(B437&lt;=35,"Young adult",IF(B437&lt;=60,"Adult", "Senior Citizen")))</f>
        <v>Adult</v>
      </c>
      <c r="W437" t="str">
        <f t="shared" si="42"/>
        <v>Mar</v>
      </c>
      <c r="X437">
        <f t="shared" si="43"/>
        <v>3</v>
      </c>
      <c r="Y437" t="str">
        <f t="shared" si="44"/>
        <v>Q1</v>
      </c>
      <c r="Z437">
        <f t="shared" si="45"/>
        <v>2026</v>
      </c>
      <c r="AA437" t="str">
        <f t="shared" si="46"/>
        <v>Thursday</v>
      </c>
      <c r="AB437">
        <f t="shared" si="47"/>
        <v>-35</v>
      </c>
      <c r="AC437" t="str">
        <f>IF(OR(D437="Heart Disease",D437="Cancer",D437="Stroke"),"High",IF(OR(D437="Diabetes",D437="Asthma"),"Medium","Low"))</f>
        <v>Low</v>
      </c>
      <c r="AD437" t="str">
        <f t="shared" si="48"/>
        <v>No</v>
      </c>
      <c r="AE437" t="str">
        <f>IF(G437&lt;=2,"Short Stay", IF(G437&lt;=7,"Normal Stay", "Long Stay"))</f>
        <v>Long Stay</v>
      </c>
      <c r="AF437" t="str">
        <f>IF(F437&gt;60000,"Expensive",IF(F437&gt;30000,"Moderate","Affordable"))</f>
        <v>Affordable</v>
      </c>
      <c r="AG437" t="str">
        <f>IF(J437&gt;=4.5,"Excellent",IF(J437&gt;=3.5,"Good",IF(J437&gt;=2.5,"Average","Poor")))</f>
        <v>Good</v>
      </c>
      <c r="AH437" t="str">
        <f>IF(OR(TEXT(N437,"dddd")="Saturday",TEXT(N437,"dddd")="Sunday"),"Weekend","Weekday")</f>
        <v>Weekday</v>
      </c>
    </row>
    <row r="438" spans="1:34" x14ac:dyDescent="0.3">
      <c r="A438">
        <v>444</v>
      </c>
      <c r="B438">
        <v>75</v>
      </c>
      <c r="C438" t="s">
        <v>21</v>
      </c>
      <c r="D438" t="s">
        <v>85</v>
      </c>
      <c r="E438" t="s">
        <v>86</v>
      </c>
      <c r="F438">
        <v>18000</v>
      </c>
      <c r="G438">
        <v>37</v>
      </c>
      <c r="H438" t="s">
        <v>38</v>
      </c>
      <c r="I438" t="s">
        <v>39</v>
      </c>
      <c r="J438">
        <v>2</v>
      </c>
      <c r="K438" t="s">
        <v>26</v>
      </c>
      <c r="L438" t="s">
        <v>999</v>
      </c>
      <c r="M438" t="s">
        <v>1000</v>
      </c>
      <c r="N438" s="2">
        <v>46094</v>
      </c>
      <c r="O438" s="2">
        <v>46131</v>
      </c>
      <c r="P438" t="s">
        <v>43</v>
      </c>
      <c r="Q438" t="s">
        <v>52</v>
      </c>
      <c r="R438" t="s">
        <v>45</v>
      </c>
      <c r="S438" t="s">
        <v>110</v>
      </c>
      <c r="T438" t="s">
        <v>33</v>
      </c>
      <c r="U438" t="s">
        <v>104</v>
      </c>
      <c r="V438" t="str">
        <f>IF(B438&lt;=18,"Children",IF(B438&lt;=35,"Young adult",IF(B438&lt;=60,"Adult", "Senior Citizen")))</f>
        <v>Senior Citizen</v>
      </c>
      <c r="W438" t="str">
        <f t="shared" si="42"/>
        <v>Mar</v>
      </c>
      <c r="X438">
        <f t="shared" si="43"/>
        <v>3</v>
      </c>
      <c r="Y438" t="str">
        <f t="shared" si="44"/>
        <v>Q1</v>
      </c>
      <c r="Z438">
        <f t="shared" si="45"/>
        <v>2026</v>
      </c>
      <c r="AA438" t="str">
        <f t="shared" si="46"/>
        <v>Friday</v>
      </c>
      <c r="AB438">
        <f t="shared" si="47"/>
        <v>-37</v>
      </c>
      <c r="AC438" t="str">
        <f>IF(OR(D438="Heart Disease",D438="Cancer",D438="Stroke"),"High",IF(OR(D438="Diabetes",D438="Asthma"),"Medium","Low"))</f>
        <v>Low</v>
      </c>
      <c r="AD438" t="str">
        <f t="shared" si="48"/>
        <v>No</v>
      </c>
      <c r="AE438" t="str">
        <f>IF(G438&lt;=2,"Short Stay", IF(G438&lt;=7,"Normal Stay", "Long Stay"))</f>
        <v>Long Stay</v>
      </c>
      <c r="AF438" t="str">
        <f>IF(F438&gt;60000,"Expensive",IF(F438&gt;30000,"Moderate","Affordable"))</f>
        <v>Affordable</v>
      </c>
      <c r="AG438" t="str">
        <f>IF(J438&gt;=4.5,"Excellent",IF(J438&gt;=3.5,"Good",IF(J438&gt;=2.5,"Average","Poor")))</f>
        <v>Poor</v>
      </c>
      <c r="AH438" t="str">
        <f>IF(OR(TEXT(N438,"dddd")="Saturday",TEXT(N438,"dddd")="Sunday"),"Weekend","Weekday")</f>
        <v>Weekday</v>
      </c>
    </row>
    <row r="439" spans="1:34" x14ac:dyDescent="0.3">
      <c r="A439">
        <v>445</v>
      </c>
      <c r="B439">
        <v>28</v>
      </c>
      <c r="C439" t="s">
        <v>35</v>
      </c>
      <c r="D439" t="s">
        <v>89</v>
      </c>
      <c r="E439" t="s">
        <v>90</v>
      </c>
      <c r="F439">
        <v>100</v>
      </c>
      <c r="G439">
        <v>30</v>
      </c>
      <c r="H439" t="s">
        <v>24</v>
      </c>
      <c r="I439" t="s">
        <v>25</v>
      </c>
      <c r="J439">
        <v>5</v>
      </c>
      <c r="K439" t="s">
        <v>200</v>
      </c>
      <c r="L439" t="s">
        <v>1001</v>
      </c>
      <c r="M439" t="s">
        <v>1002</v>
      </c>
      <c r="N439" s="2">
        <v>46095</v>
      </c>
      <c r="O439" s="2">
        <v>46125</v>
      </c>
      <c r="P439" t="s">
        <v>29</v>
      </c>
      <c r="Q439" t="s">
        <v>44</v>
      </c>
      <c r="R439" t="s">
        <v>45</v>
      </c>
      <c r="S439" t="s">
        <v>110</v>
      </c>
      <c r="T439" t="s">
        <v>33</v>
      </c>
      <c r="U439" t="s">
        <v>78</v>
      </c>
      <c r="V439" t="str">
        <f>IF(B439&lt;=18,"Children",IF(B439&lt;=35,"Young adult",IF(B439&lt;=60,"Adult", "Senior Citizen")))</f>
        <v>Young adult</v>
      </c>
      <c r="W439" t="str">
        <f t="shared" si="42"/>
        <v>Mar</v>
      </c>
      <c r="X439">
        <f t="shared" si="43"/>
        <v>3</v>
      </c>
      <c r="Y439" t="str">
        <f t="shared" si="44"/>
        <v>Q1</v>
      </c>
      <c r="Z439">
        <f t="shared" si="45"/>
        <v>2026</v>
      </c>
      <c r="AA439" t="str">
        <f t="shared" si="46"/>
        <v>Saturday</v>
      </c>
      <c r="AB439">
        <f t="shared" si="47"/>
        <v>-30</v>
      </c>
      <c r="AC439" t="str">
        <f>IF(OR(D439="Heart Disease",D439="Cancer",D439="Stroke"),"High",IF(OR(D439="Diabetes",D439="Asthma"),"Medium","Low"))</f>
        <v>Low</v>
      </c>
      <c r="AD439" t="str">
        <f t="shared" si="48"/>
        <v>No</v>
      </c>
      <c r="AE439" t="str">
        <f>IF(G439&lt;=2,"Short Stay", IF(G439&lt;=7,"Normal Stay", "Long Stay"))</f>
        <v>Long Stay</v>
      </c>
      <c r="AF439" t="str">
        <f>IF(F439&gt;60000,"Expensive",IF(F439&gt;30000,"Moderate","Affordable"))</f>
        <v>Affordable</v>
      </c>
      <c r="AG439" t="str">
        <f>IF(J439&gt;=4.5,"Excellent",IF(J439&gt;=3.5,"Good",IF(J439&gt;=2.5,"Average","Poor")))</f>
        <v>Excellent</v>
      </c>
      <c r="AH439" t="str">
        <f>IF(OR(TEXT(N439,"dddd")="Saturday",TEXT(N439,"dddd")="Sunday"),"Weekend","Weekday")</f>
        <v>Weekend</v>
      </c>
    </row>
    <row r="440" spans="1:34" x14ac:dyDescent="0.3">
      <c r="A440">
        <v>446</v>
      </c>
      <c r="B440">
        <v>52</v>
      </c>
      <c r="C440" t="s">
        <v>21</v>
      </c>
      <c r="D440" t="s">
        <v>94</v>
      </c>
      <c r="E440" t="s">
        <v>95</v>
      </c>
      <c r="F440">
        <v>800</v>
      </c>
      <c r="G440">
        <v>31</v>
      </c>
      <c r="H440" t="s">
        <v>24</v>
      </c>
      <c r="I440" t="s">
        <v>39</v>
      </c>
      <c r="J440">
        <v>4</v>
      </c>
      <c r="K440" t="s">
        <v>128</v>
      </c>
      <c r="L440" t="s">
        <v>1003</v>
      </c>
      <c r="M440" t="s">
        <v>1004</v>
      </c>
      <c r="N440" s="2">
        <v>46096</v>
      </c>
      <c r="O440" s="2">
        <v>46127</v>
      </c>
      <c r="P440" t="s">
        <v>43</v>
      </c>
      <c r="Q440" t="s">
        <v>44</v>
      </c>
      <c r="R440" t="s">
        <v>45</v>
      </c>
      <c r="S440" t="s">
        <v>72</v>
      </c>
      <c r="T440" t="s">
        <v>33</v>
      </c>
      <c r="U440" t="s">
        <v>46</v>
      </c>
      <c r="V440" t="str">
        <f>IF(B440&lt;=18,"Children",IF(B440&lt;=35,"Young adult",IF(B440&lt;=60,"Adult", "Senior Citizen")))</f>
        <v>Adult</v>
      </c>
      <c r="W440" t="str">
        <f t="shared" si="42"/>
        <v>Mar</v>
      </c>
      <c r="X440">
        <f t="shared" si="43"/>
        <v>3</v>
      </c>
      <c r="Y440" t="str">
        <f t="shared" si="44"/>
        <v>Q1</v>
      </c>
      <c r="Z440">
        <f t="shared" si="45"/>
        <v>2026</v>
      </c>
      <c r="AA440" t="str">
        <f t="shared" si="46"/>
        <v>Sunday</v>
      </c>
      <c r="AB440">
        <f t="shared" si="47"/>
        <v>-31</v>
      </c>
      <c r="AC440" t="str">
        <f>IF(OR(D440="Heart Disease",D440="Cancer",D440="Stroke"),"High",IF(OR(D440="Diabetes",D440="Asthma"),"Medium","Low"))</f>
        <v>Low</v>
      </c>
      <c r="AD440" t="str">
        <f t="shared" si="48"/>
        <v>No</v>
      </c>
      <c r="AE440" t="str">
        <f>IF(G440&lt;=2,"Short Stay", IF(G440&lt;=7,"Normal Stay", "Long Stay"))</f>
        <v>Long Stay</v>
      </c>
      <c r="AF440" t="str">
        <f>IF(F440&gt;60000,"Expensive",IF(F440&gt;30000,"Moderate","Affordable"))</f>
        <v>Affordable</v>
      </c>
      <c r="AG440" t="str">
        <f>IF(J440&gt;=4.5,"Excellent",IF(J440&gt;=3.5,"Good",IF(J440&gt;=2.5,"Average","Poor")))</f>
        <v>Good</v>
      </c>
      <c r="AH440" t="str">
        <f>IF(OR(TEXT(N440,"dddd")="Saturday",TEXT(N440,"dddd")="Sunday"),"Weekend","Weekday")</f>
        <v>Weekend</v>
      </c>
    </row>
    <row r="441" spans="1:34" x14ac:dyDescent="0.3">
      <c r="A441">
        <v>447</v>
      </c>
      <c r="B441">
        <v>67</v>
      </c>
      <c r="C441" t="s">
        <v>35</v>
      </c>
      <c r="D441" t="s">
        <v>99</v>
      </c>
      <c r="E441" t="s">
        <v>100</v>
      </c>
      <c r="F441">
        <v>20000</v>
      </c>
      <c r="G441">
        <v>38</v>
      </c>
      <c r="H441" t="s">
        <v>24</v>
      </c>
      <c r="I441" t="s">
        <v>25</v>
      </c>
      <c r="J441">
        <v>3</v>
      </c>
      <c r="K441" t="s">
        <v>329</v>
      </c>
      <c r="L441" t="s">
        <v>1005</v>
      </c>
      <c r="M441" t="s">
        <v>1006</v>
      </c>
      <c r="N441" s="2">
        <v>46097</v>
      </c>
      <c r="O441" s="2">
        <v>46135</v>
      </c>
      <c r="P441" t="s">
        <v>29</v>
      </c>
      <c r="Q441" t="s">
        <v>139</v>
      </c>
      <c r="R441" t="s">
        <v>45</v>
      </c>
      <c r="S441" t="s">
        <v>32</v>
      </c>
      <c r="T441" t="s">
        <v>33</v>
      </c>
      <c r="U441" t="s">
        <v>46</v>
      </c>
      <c r="V441" t="str">
        <f>IF(B441&lt;=18,"Children",IF(B441&lt;=35,"Young adult",IF(B441&lt;=60,"Adult", "Senior Citizen")))</f>
        <v>Senior Citizen</v>
      </c>
      <c r="W441" t="str">
        <f t="shared" si="42"/>
        <v>Mar</v>
      </c>
      <c r="X441">
        <f t="shared" si="43"/>
        <v>3</v>
      </c>
      <c r="Y441" t="str">
        <f t="shared" si="44"/>
        <v>Q1</v>
      </c>
      <c r="Z441">
        <f t="shared" si="45"/>
        <v>2026</v>
      </c>
      <c r="AA441" t="str">
        <f t="shared" si="46"/>
        <v>Monday</v>
      </c>
      <c r="AB441">
        <f t="shared" si="47"/>
        <v>-38</v>
      </c>
      <c r="AC441" t="str">
        <f>IF(OR(D441="Heart Disease",D441="Cancer",D441="Stroke"),"High",IF(OR(D441="Diabetes",D441="Asthma"),"Medium","Low"))</f>
        <v>Low</v>
      </c>
      <c r="AD441" t="str">
        <f t="shared" si="48"/>
        <v>No</v>
      </c>
      <c r="AE441" t="str">
        <f>IF(G441&lt;=2,"Short Stay", IF(G441&lt;=7,"Normal Stay", "Long Stay"))</f>
        <v>Long Stay</v>
      </c>
      <c r="AF441" t="str">
        <f>IF(F441&gt;60000,"Expensive",IF(F441&gt;30000,"Moderate","Affordable"))</f>
        <v>Affordable</v>
      </c>
      <c r="AG441" t="str">
        <f>IF(J441&gt;=4.5,"Excellent",IF(J441&gt;=3.5,"Good",IF(J441&gt;=2.5,"Average","Poor")))</f>
        <v>Average</v>
      </c>
      <c r="AH441" t="str">
        <f>IF(OR(TEXT(N441,"dddd")="Saturday",TEXT(N441,"dddd")="Sunday"),"Weekend","Weekday")</f>
        <v>Weekday</v>
      </c>
    </row>
    <row r="442" spans="1:34" x14ac:dyDescent="0.3">
      <c r="A442">
        <v>448</v>
      </c>
      <c r="B442">
        <v>35</v>
      </c>
      <c r="C442" t="s">
        <v>21</v>
      </c>
      <c r="D442" t="s">
        <v>105</v>
      </c>
      <c r="E442" t="s">
        <v>106</v>
      </c>
      <c r="F442">
        <v>12000</v>
      </c>
      <c r="G442">
        <v>32</v>
      </c>
      <c r="H442" t="s">
        <v>24</v>
      </c>
      <c r="I442" t="s">
        <v>25</v>
      </c>
      <c r="J442">
        <v>4</v>
      </c>
      <c r="K442" t="s">
        <v>223</v>
      </c>
      <c r="L442" t="s">
        <v>1007</v>
      </c>
      <c r="M442" t="s">
        <v>1008</v>
      </c>
      <c r="N442" s="2">
        <v>46098</v>
      </c>
      <c r="O442" s="2">
        <v>46130</v>
      </c>
      <c r="P442" t="s">
        <v>29</v>
      </c>
      <c r="Q442" t="s">
        <v>71</v>
      </c>
      <c r="R442" t="s">
        <v>45</v>
      </c>
      <c r="S442" t="s">
        <v>110</v>
      </c>
      <c r="T442" t="s">
        <v>33</v>
      </c>
      <c r="U442" t="s">
        <v>34</v>
      </c>
      <c r="V442" t="str">
        <f>IF(B442&lt;=18,"Children",IF(B442&lt;=35,"Young adult",IF(B442&lt;=60,"Adult", "Senior Citizen")))</f>
        <v>Young adult</v>
      </c>
      <c r="W442" t="str">
        <f t="shared" si="42"/>
        <v>Mar</v>
      </c>
      <c r="X442">
        <f t="shared" si="43"/>
        <v>3</v>
      </c>
      <c r="Y442" t="str">
        <f t="shared" si="44"/>
        <v>Q1</v>
      </c>
      <c r="Z442">
        <f t="shared" si="45"/>
        <v>2026</v>
      </c>
      <c r="AA442" t="str">
        <f t="shared" si="46"/>
        <v>Tuesday</v>
      </c>
      <c r="AB442">
        <f t="shared" si="47"/>
        <v>-32</v>
      </c>
      <c r="AC442" t="str">
        <f>IF(OR(D442="Heart Disease",D442="Cancer",D442="Stroke"),"High",IF(OR(D442="Diabetes",D442="Asthma"),"Medium","Low"))</f>
        <v>Low</v>
      </c>
      <c r="AD442" t="str">
        <f t="shared" si="48"/>
        <v>No</v>
      </c>
      <c r="AE442" t="str">
        <f>IF(G442&lt;=2,"Short Stay", IF(G442&lt;=7,"Normal Stay", "Long Stay"))</f>
        <v>Long Stay</v>
      </c>
      <c r="AF442" t="str">
        <f>IF(F442&gt;60000,"Expensive",IF(F442&gt;30000,"Moderate","Affordable"))</f>
        <v>Affordable</v>
      </c>
      <c r="AG442" t="str">
        <f>IF(J442&gt;=4.5,"Excellent",IF(J442&gt;=3.5,"Good",IF(J442&gt;=2.5,"Average","Poor")))</f>
        <v>Good</v>
      </c>
      <c r="AH442" t="str">
        <f>IF(OR(TEXT(N442,"dddd")="Saturday",TEXT(N442,"dddd")="Sunday"),"Weekend","Weekday")</f>
        <v>Weekday</v>
      </c>
    </row>
    <row r="443" spans="1:34" x14ac:dyDescent="0.3">
      <c r="A443">
        <v>449</v>
      </c>
      <c r="B443">
        <v>50</v>
      </c>
      <c r="C443" t="s">
        <v>35</v>
      </c>
      <c r="D443" t="s">
        <v>111</v>
      </c>
      <c r="E443" t="s">
        <v>112</v>
      </c>
      <c r="F443">
        <v>6000</v>
      </c>
      <c r="G443">
        <v>33</v>
      </c>
      <c r="H443" t="s">
        <v>24</v>
      </c>
      <c r="I443" t="s">
        <v>25</v>
      </c>
      <c r="J443">
        <v>3</v>
      </c>
      <c r="K443" t="s">
        <v>345</v>
      </c>
      <c r="L443" t="s">
        <v>1009</v>
      </c>
      <c r="M443" t="s">
        <v>1010</v>
      </c>
      <c r="N443" s="2">
        <v>46099</v>
      </c>
      <c r="O443" s="2">
        <v>46132</v>
      </c>
      <c r="P443" t="s">
        <v>29</v>
      </c>
      <c r="Q443" t="s">
        <v>52</v>
      </c>
      <c r="R443" t="s">
        <v>45</v>
      </c>
      <c r="S443" t="s">
        <v>84</v>
      </c>
      <c r="T443" t="s">
        <v>33</v>
      </c>
      <c r="U443" t="s">
        <v>104</v>
      </c>
      <c r="V443" t="str">
        <f>IF(B443&lt;=18,"Children",IF(B443&lt;=35,"Young adult",IF(B443&lt;=60,"Adult", "Senior Citizen")))</f>
        <v>Adult</v>
      </c>
      <c r="W443" t="str">
        <f t="shared" si="42"/>
        <v>Mar</v>
      </c>
      <c r="X443">
        <f t="shared" si="43"/>
        <v>3</v>
      </c>
      <c r="Y443" t="str">
        <f t="shared" si="44"/>
        <v>Q1</v>
      </c>
      <c r="Z443">
        <f t="shared" si="45"/>
        <v>2026</v>
      </c>
      <c r="AA443" t="str">
        <f t="shared" si="46"/>
        <v>Wednesday</v>
      </c>
      <c r="AB443">
        <f t="shared" si="47"/>
        <v>-33</v>
      </c>
      <c r="AC443" t="str">
        <f>IF(OR(D443="Heart Disease",D443="Cancer",D443="Stroke"),"High",IF(OR(D443="Diabetes",D443="Asthma"),"Medium","Low"))</f>
        <v>Low</v>
      </c>
      <c r="AD443" t="str">
        <f t="shared" si="48"/>
        <v>No</v>
      </c>
      <c r="AE443" t="str">
        <f>IF(G443&lt;=2,"Short Stay", IF(G443&lt;=7,"Normal Stay", "Long Stay"))</f>
        <v>Long Stay</v>
      </c>
      <c r="AF443" t="str">
        <f>IF(F443&gt;60000,"Expensive",IF(F443&gt;30000,"Moderate","Affordable"))</f>
        <v>Affordable</v>
      </c>
      <c r="AG443" t="str">
        <f>IF(J443&gt;=4.5,"Excellent",IF(J443&gt;=3.5,"Good",IF(J443&gt;=2.5,"Average","Poor")))</f>
        <v>Average</v>
      </c>
      <c r="AH443" t="str">
        <f>IF(OR(TEXT(N443,"dddd")="Saturday",TEXT(N443,"dddd")="Sunday"),"Weekend","Weekday")</f>
        <v>Weekday</v>
      </c>
    </row>
    <row r="444" spans="1:34" x14ac:dyDescent="0.3">
      <c r="A444">
        <v>450</v>
      </c>
      <c r="B444">
        <v>60</v>
      </c>
      <c r="C444" t="s">
        <v>21</v>
      </c>
      <c r="D444" t="s">
        <v>116</v>
      </c>
      <c r="E444" t="s">
        <v>117</v>
      </c>
      <c r="F444">
        <v>4000</v>
      </c>
      <c r="G444">
        <v>34</v>
      </c>
      <c r="H444" t="s">
        <v>24</v>
      </c>
      <c r="I444" t="s">
        <v>39</v>
      </c>
      <c r="J444">
        <v>4</v>
      </c>
      <c r="K444" t="s">
        <v>107</v>
      </c>
      <c r="L444" t="s">
        <v>1011</v>
      </c>
      <c r="M444" t="s">
        <v>1012</v>
      </c>
      <c r="N444" s="2">
        <v>46100</v>
      </c>
      <c r="O444" s="2">
        <v>46134</v>
      </c>
      <c r="P444" t="s">
        <v>43</v>
      </c>
      <c r="Q444" t="s">
        <v>30</v>
      </c>
      <c r="R444" t="s">
        <v>45</v>
      </c>
      <c r="S444" t="s">
        <v>84</v>
      </c>
      <c r="T444" t="s">
        <v>33</v>
      </c>
      <c r="U444" t="s">
        <v>78</v>
      </c>
      <c r="V444" t="str">
        <f>IF(B444&lt;=18,"Children",IF(B444&lt;=35,"Young adult",IF(B444&lt;=60,"Adult", "Senior Citizen")))</f>
        <v>Adult</v>
      </c>
      <c r="W444" t="str">
        <f t="shared" si="42"/>
        <v>Mar</v>
      </c>
      <c r="X444">
        <f t="shared" si="43"/>
        <v>3</v>
      </c>
      <c r="Y444" t="str">
        <f t="shared" si="44"/>
        <v>Q1</v>
      </c>
      <c r="Z444">
        <f t="shared" si="45"/>
        <v>2026</v>
      </c>
      <c r="AA444" t="str">
        <f t="shared" si="46"/>
        <v>Thursday</v>
      </c>
      <c r="AB444">
        <f t="shared" si="47"/>
        <v>-34</v>
      </c>
      <c r="AC444" t="str">
        <f>IF(OR(D444="Heart Disease",D444="Cancer",D444="Stroke"),"High",IF(OR(D444="Diabetes",D444="Asthma"),"Medium","Low"))</f>
        <v>Low</v>
      </c>
      <c r="AD444" t="str">
        <f t="shared" si="48"/>
        <v>No</v>
      </c>
      <c r="AE444" t="str">
        <f>IF(G444&lt;=2,"Short Stay", IF(G444&lt;=7,"Normal Stay", "Long Stay"))</f>
        <v>Long Stay</v>
      </c>
      <c r="AF444" t="str">
        <f>IF(F444&gt;60000,"Expensive",IF(F444&gt;30000,"Moderate","Affordable"))</f>
        <v>Affordable</v>
      </c>
      <c r="AG444" t="str">
        <f>IF(J444&gt;=4.5,"Excellent",IF(J444&gt;=3.5,"Good",IF(J444&gt;=2.5,"Average","Poor")))</f>
        <v>Good</v>
      </c>
      <c r="AH444" t="str">
        <f>IF(OR(TEXT(N444,"dddd")="Saturday",TEXT(N444,"dddd")="Sunday"),"Weekend","Weekday")</f>
        <v>Weekday</v>
      </c>
    </row>
    <row r="445" spans="1:34" x14ac:dyDescent="0.3">
      <c r="A445">
        <v>451</v>
      </c>
      <c r="B445">
        <v>48</v>
      </c>
      <c r="C445" t="s">
        <v>21</v>
      </c>
      <c r="D445" t="s">
        <v>22</v>
      </c>
      <c r="E445" t="s">
        <v>23</v>
      </c>
      <c r="F445">
        <v>15000</v>
      </c>
      <c r="G445">
        <v>35</v>
      </c>
      <c r="H445" t="s">
        <v>38</v>
      </c>
      <c r="I445" t="s">
        <v>25</v>
      </c>
      <c r="J445">
        <v>4</v>
      </c>
      <c r="K445" t="s">
        <v>210</v>
      </c>
      <c r="L445" t="s">
        <v>1013</v>
      </c>
      <c r="M445" t="s">
        <v>1014</v>
      </c>
      <c r="N445" s="2">
        <v>46101</v>
      </c>
      <c r="O445" s="2">
        <v>46136</v>
      </c>
      <c r="P445" t="s">
        <v>29</v>
      </c>
      <c r="Q445" t="s">
        <v>52</v>
      </c>
      <c r="R445" t="s">
        <v>31</v>
      </c>
      <c r="S445" t="s">
        <v>32</v>
      </c>
      <c r="T445" t="s">
        <v>33</v>
      </c>
      <c r="U445" t="s">
        <v>46</v>
      </c>
      <c r="V445" t="str">
        <f>IF(B445&lt;=18,"Children",IF(B445&lt;=35,"Young adult",IF(B445&lt;=60,"Adult", "Senior Citizen")))</f>
        <v>Adult</v>
      </c>
      <c r="W445" t="str">
        <f t="shared" si="42"/>
        <v>Mar</v>
      </c>
      <c r="X445">
        <f t="shared" si="43"/>
        <v>3</v>
      </c>
      <c r="Y445" t="str">
        <f t="shared" si="44"/>
        <v>Q1</v>
      </c>
      <c r="Z445">
        <f t="shared" si="45"/>
        <v>2026</v>
      </c>
      <c r="AA445" t="str">
        <f t="shared" si="46"/>
        <v>Friday</v>
      </c>
      <c r="AB445">
        <f t="shared" si="47"/>
        <v>-35</v>
      </c>
      <c r="AC445" t="str">
        <f>IF(OR(D445="Heart Disease",D445="Cancer",D445="Stroke"),"High",IF(OR(D445="Diabetes",D445="Asthma"),"Medium","Low"))</f>
        <v>High</v>
      </c>
      <c r="AD445" t="str">
        <f t="shared" si="48"/>
        <v>Yes</v>
      </c>
      <c r="AE445" t="str">
        <f>IF(G445&lt;=2,"Short Stay", IF(G445&lt;=7,"Normal Stay", "Long Stay"))</f>
        <v>Long Stay</v>
      </c>
      <c r="AF445" t="str">
        <f>IF(F445&gt;60000,"Expensive",IF(F445&gt;30000,"Moderate","Affordable"))</f>
        <v>Affordable</v>
      </c>
      <c r="AG445" t="str">
        <f>IF(J445&gt;=4.5,"Excellent",IF(J445&gt;=3.5,"Good",IF(J445&gt;=2.5,"Average","Poor")))</f>
        <v>Good</v>
      </c>
      <c r="AH445" t="str">
        <f>IF(OR(TEXT(N445,"dddd")="Saturday",TEXT(N445,"dddd")="Sunday"),"Weekend","Weekday")</f>
        <v>Weekday</v>
      </c>
    </row>
    <row r="446" spans="1:34" x14ac:dyDescent="0.3">
      <c r="A446">
        <v>452</v>
      </c>
      <c r="B446">
        <v>65</v>
      </c>
      <c r="C446" t="s">
        <v>35</v>
      </c>
      <c r="D446" t="s">
        <v>36</v>
      </c>
      <c r="E446" t="s">
        <v>37</v>
      </c>
      <c r="F446">
        <v>2000</v>
      </c>
      <c r="G446">
        <v>33</v>
      </c>
      <c r="H446" t="s">
        <v>24</v>
      </c>
      <c r="I446" t="s">
        <v>39</v>
      </c>
      <c r="J446">
        <v>3</v>
      </c>
      <c r="K446" t="s">
        <v>210</v>
      </c>
      <c r="L446" t="s">
        <v>1015</v>
      </c>
      <c r="M446" t="s">
        <v>1016</v>
      </c>
      <c r="N446" s="2">
        <v>46102</v>
      </c>
      <c r="O446" s="2">
        <v>46135</v>
      </c>
      <c r="P446" t="s">
        <v>29</v>
      </c>
      <c r="Q446" t="s">
        <v>71</v>
      </c>
      <c r="R446" t="s">
        <v>45</v>
      </c>
      <c r="S446" t="s">
        <v>53</v>
      </c>
      <c r="T446" t="s">
        <v>33</v>
      </c>
      <c r="U446" t="s">
        <v>46</v>
      </c>
      <c r="V446" t="str">
        <f>IF(B446&lt;=18,"Children",IF(B446&lt;=35,"Young adult",IF(B446&lt;=60,"Adult", "Senior Citizen")))</f>
        <v>Senior Citizen</v>
      </c>
      <c r="W446" t="str">
        <f t="shared" si="42"/>
        <v>Mar</v>
      </c>
      <c r="X446">
        <f t="shared" si="43"/>
        <v>3</v>
      </c>
      <c r="Y446" t="str">
        <f t="shared" si="44"/>
        <v>Q1</v>
      </c>
      <c r="Z446">
        <f t="shared" si="45"/>
        <v>2026</v>
      </c>
      <c r="AA446" t="str">
        <f t="shared" si="46"/>
        <v>Saturday</v>
      </c>
      <c r="AB446">
        <f t="shared" si="47"/>
        <v>-33</v>
      </c>
      <c r="AC446" t="str">
        <f>IF(OR(D446="Heart Disease",D446="Cancer",D446="Stroke"),"High",IF(OR(D446="Diabetes",D446="Asthma"),"Medium","Low"))</f>
        <v>Medium</v>
      </c>
      <c r="AD446" t="str">
        <f t="shared" si="48"/>
        <v>No</v>
      </c>
      <c r="AE446" t="str">
        <f>IF(G446&lt;=2,"Short Stay", IF(G446&lt;=7,"Normal Stay", "Long Stay"))</f>
        <v>Long Stay</v>
      </c>
      <c r="AF446" t="str">
        <f>IF(F446&gt;60000,"Expensive",IF(F446&gt;30000,"Moderate","Affordable"))</f>
        <v>Affordable</v>
      </c>
      <c r="AG446" t="str">
        <f>IF(J446&gt;=4.5,"Excellent",IF(J446&gt;=3.5,"Good",IF(J446&gt;=2.5,"Average","Poor")))</f>
        <v>Average</v>
      </c>
      <c r="AH446" t="str">
        <f>IF(OR(TEXT(N446,"dddd")="Saturday",TEXT(N446,"dddd")="Sunday"),"Weekend","Weekday")</f>
        <v>Weekend</v>
      </c>
    </row>
    <row r="447" spans="1:34" x14ac:dyDescent="0.3">
      <c r="A447">
        <v>453</v>
      </c>
      <c r="B447">
        <v>30</v>
      </c>
      <c r="C447" t="s">
        <v>21</v>
      </c>
      <c r="D447" t="s">
        <v>47</v>
      </c>
      <c r="E447" t="s">
        <v>48</v>
      </c>
      <c r="F447">
        <v>500</v>
      </c>
      <c r="G447">
        <v>31</v>
      </c>
      <c r="H447" t="s">
        <v>24</v>
      </c>
      <c r="I447" t="s">
        <v>25</v>
      </c>
      <c r="J447">
        <v>5</v>
      </c>
      <c r="K447" t="s">
        <v>96</v>
      </c>
      <c r="L447" t="s">
        <v>1017</v>
      </c>
      <c r="M447" t="s">
        <v>1018</v>
      </c>
      <c r="N447" s="2">
        <v>46103</v>
      </c>
      <c r="O447" s="2">
        <v>46134</v>
      </c>
      <c r="P447" t="s">
        <v>29</v>
      </c>
      <c r="Q447" t="s">
        <v>44</v>
      </c>
      <c r="R447" t="s">
        <v>45</v>
      </c>
      <c r="S447" t="s">
        <v>53</v>
      </c>
      <c r="T447" t="s">
        <v>33</v>
      </c>
      <c r="U447" t="s">
        <v>78</v>
      </c>
      <c r="V447" t="str">
        <f>IF(B447&lt;=18,"Children",IF(B447&lt;=35,"Young adult",IF(B447&lt;=60,"Adult", "Senior Citizen")))</f>
        <v>Young adult</v>
      </c>
      <c r="W447" t="str">
        <f t="shared" si="42"/>
        <v>Mar</v>
      </c>
      <c r="X447">
        <f t="shared" si="43"/>
        <v>3</v>
      </c>
      <c r="Y447" t="str">
        <f t="shared" si="44"/>
        <v>Q1</v>
      </c>
      <c r="Z447">
        <f t="shared" si="45"/>
        <v>2026</v>
      </c>
      <c r="AA447" t="str">
        <f t="shared" si="46"/>
        <v>Sunday</v>
      </c>
      <c r="AB447">
        <f t="shared" si="47"/>
        <v>-31</v>
      </c>
      <c r="AC447" t="str">
        <f>IF(OR(D447="Heart Disease",D447="Cancer",D447="Stroke"),"High",IF(OR(D447="Diabetes",D447="Asthma"),"Medium","Low"))</f>
        <v>Low</v>
      </c>
      <c r="AD447" t="str">
        <f t="shared" si="48"/>
        <v>No</v>
      </c>
      <c r="AE447" t="str">
        <f>IF(G447&lt;=2,"Short Stay", IF(G447&lt;=7,"Normal Stay", "Long Stay"))</f>
        <v>Long Stay</v>
      </c>
      <c r="AF447" t="str">
        <f>IF(F447&gt;60000,"Expensive",IF(F447&gt;30000,"Moderate","Affordable"))</f>
        <v>Affordable</v>
      </c>
      <c r="AG447" t="str">
        <f>IF(J447&gt;=4.5,"Excellent",IF(J447&gt;=3.5,"Good",IF(J447&gt;=2.5,"Average","Poor")))</f>
        <v>Excellent</v>
      </c>
      <c r="AH447" t="str">
        <f>IF(OR(TEXT(N447,"dddd")="Saturday",TEXT(N447,"dddd")="Sunday"),"Weekend","Weekday")</f>
        <v>Weekend</v>
      </c>
    </row>
    <row r="448" spans="1:34" x14ac:dyDescent="0.3">
      <c r="A448">
        <v>454</v>
      </c>
      <c r="B448">
        <v>70</v>
      </c>
      <c r="C448" t="s">
        <v>35</v>
      </c>
      <c r="D448" t="s">
        <v>54</v>
      </c>
      <c r="E448" t="s">
        <v>55</v>
      </c>
      <c r="F448">
        <v>10000</v>
      </c>
      <c r="G448">
        <v>38</v>
      </c>
      <c r="H448" t="s">
        <v>38</v>
      </c>
      <c r="I448" t="s">
        <v>39</v>
      </c>
      <c r="J448">
        <v>2</v>
      </c>
      <c r="K448" t="s">
        <v>81</v>
      </c>
      <c r="L448" t="s">
        <v>1019</v>
      </c>
      <c r="M448" t="s">
        <v>1020</v>
      </c>
      <c r="N448" s="2">
        <v>46104</v>
      </c>
      <c r="O448" s="2">
        <v>46142</v>
      </c>
      <c r="P448" t="s">
        <v>29</v>
      </c>
      <c r="Q448" t="s">
        <v>44</v>
      </c>
      <c r="R448" t="s">
        <v>59</v>
      </c>
      <c r="S448" t="s">
        <v>32</v>
      </c>
      <c r="T448" t="s">
        <v>33</v>
      </c>
      <c r="U448" t="s">
        <v>78</v>
      </c>
      <c r="V448" t="str">
        <f>IF(B448&lt;=18,"Children",IF(B448&lt;=35,"Young adult",IF(B448&lt;=60,"Adult", "Senior Citizen")))</f>
        <v>Senior Citizen</v>
      </c>
      <c r="W448" t="str">
        <f t="shared" si="42"/>
        <v>Mar</v>
      </c>
      <c r="X448">
        <f t="shared" si="43"/>
        <v>3</v>
      </c>
      <c r="Y448" t="str">
        <f t="shared" si="44"/>
        <v>Q1</v>
      </c>
      <c r="Z448">
        <f t="shared" si="45"/>
        <v>2026</v>
      </c>
      <c r="AA448" t="str">
        <f t="shared" si="46"/>
        <v>Monday</v>
      </c>
      <c r="AB448">
        <f t="shared" si="47"/>
        <v>-38</v>
      </c>
      <c r="AC448" t="str">
        <f>IF(OR(D448="Heart Disease",D448="Cancer",D448="Stroke"),"High",IF(OR(D448="Diabetes",D448="Asthma"),"Medium","Low"))</f>
        <v>High</v>
      </c>
      <c r="AD448" t="str">
        <f t="shared" si="48"/>
        <v>Yes</v>
      </c>
      <c r="AE448" t="str">
        <f>IF(G448&lt;=2,"Short Stay", IF(G448&lt;=7,"Normal Stay", "Long Stay"))</f>
        <v>Long Stay</v>
      </c>
      <c r="AF448" t="str">
        <f>IF(F448&gt;60000,"Expensive",IF(F448&gt;30000,"Moderate","Affordable"))</f>
        <v>Affordable</v>
      </c>
      <c r="AG448" t="str">
        <f>IF(J448&gt;=4.5,"Excellent",IF(J448&gt;=3.5,"Good",IF(J448&gt;=2.5,"Average","Poor")))</f>
        <v>Poor</v>
      </c>
      <c r="AH448" t="str">
        <f>IF(OR(TEXT(N448,"dddd")="Saturday",TEXT(N448,"dddd")="Sunday"),"Weekend","Weekday")</f>
        <v>Weekday</v>
      </c>
    </row>
    <row r="449" spans="1:34" x14ac:dyDescent="0.3">
      <c r="A449">
        <v>455</v>
      </c>
      <c r="B449">
        <v>55</v>
      </c>
      <c r="C449" t="s">
        <v>21</v>
      </c>
      <c r="D449" t="s">
        <v>60</v>
      </c>
      <c r="E449" t="s">
        <v>61</v>
      </c>
      <c r="F449">
        <v>25000</v>
      </c>
      <c r="G449">
        <v>40</v>
      </c>
      <c r="H449" t="s">
        <v>24</v>
      </c>
      <c r="I449" t="s">
        <v>25</v>
      </c>
      <c r="J449">
        <v>4</v>
      </c>
      <c r="K449" t="s">
        <v>324</v>
      </c>
      <c r="L449" t="s">
        <v>1021</v>
      </c>
      <c r="M449" t="s">
        <v>1022</v>
      </c>
      <c r="N449" s="2">
        <v>46105</v>
      </c>
      <c r="O449" s="2">
        <v>46145</v>
      </c>
      <c r="P449" t="s">
        <v>43</v>
      </c>
      <c r="Q449" t="s">
        <v>52</v>
      </c>
      <c r="R449" t="s">
        <v>65</v>
      </c>
      <c r="S449" t="s">
        <v>77</v>
      </c>
      <c r="T449" t="s">
        <v>33</v>
      </c>
      <c r="U449" t="s">
        <v>104</v>
      </c>
      <c r="V449" t="str">
        <f>IF(B449&lt;=18,"Children",IF(B449&lt;=35,"Young adult",IF(B449&lt;=60,"Adult", "Senior Citizen")))</f>
        <v>Adult</v>
      </c>
      <c r="W449" t="str">
        <f t="shared" si="42"/>
        <v>Mar</v>
      </c>
      <c r="X449">
        <f t="shared" si="43"/>
        <v>3</v>
      </c>
      <c r="Y449" t="str">
        <f t="shared" si="44"/>
        <v>Q1</v>
      </c>
      <c r="Z449">
        <f t="shared" si="45"/>
        <v>2026</v>
      </c>
      <c r="AA449" t="str">
        <f t="shared" si="46"/>
        <v>Tuesday</v>
      </c>
      <c r="AB449">
        <f t="shared" si="47"/>
        <v>-40</v>
      </c>
      <c r="AC449" t="str">
        <f>IF(OR(D449="Heart Disease",D449="Cancer",D449="Stroke"),"High",IF(OR(D449="Diabetes",D449="Asthma"),"Medium","Low"))</f>
        <v>High</v>
      </c>
      <c r="AD449" t="str">
        <f t="shared" si="48"/>
        <v>Yes</v>
      </c>
      <c r="AE449" t="str">
        <f>IF(G449&lt;=2,"Short Stay", IF(G449&lt;=7,"Normal Stay", "Long Stay"))</f>
        <v>Long Stay</v>
      </c>
      <c r="AF449" t="str">
        <f>IF(F449&gt;60000,"Expensive",IF(F449&gt;30000,"Moderate","Affordable"))</f>
        <v>Affordable</v>
      </c>
      <c r="AG449" t="str">
        <f>IF(J449&gt;=4.5,"Excellent",IF(J449&gt;=3.5,"Good",IF(J449&gt;=2.5,"Average","Poor")))</f>
        <v>Good</v>
      </c>
      <c r="AH449" t="str">
        <f>IF(OR(TEXT(N449,"dddd")="Saturday",TEXT(N449,"dddd")="Sunday"),"Weekend","Weekday")</f>
        <v>Weekday</v>
      </c>
    </row>
    <row r="450" spans="1:34" x14ac:dyDescent="0.3">
      <c r="A450">
        <v>456</v>
      </c>
      <c r="B450">
        <v>68</v>
      </c>
      <c r="C450" t="s">
        <v>35</v>
      </c>
      <c r="D450" t="s">
        <v>66</v>
      </c>
      <c r="E450" t="s">
        <v>67</v>
      </c>
      <c r="F450">
        <v>1000</v>
      </c>
      <c r="G450">
        <v>32</v>
      </c>
      <c r="H450" t="s">
        <v>24</v>
      </c>
      <c r="I450" t="s">
        <v>39</v>
      </c>
      <c r="J450">
        <v>4</v>
      </c>
      <c r="K450" t="s">
        <v>345</v>
      </c>
      <c r="L450" t="s">
        <v>1023</v>
      </c>
      <c r="M450" t="s">
        <v>1024</v>
      </c>
      <c r="N450" s="2">
        <v>46106</v>
      </c>
      <c r="O450" s="2">
        <v>46138</v>
      </c>
      <c r="P450" t="s">
        <v>43</v>
      </c>
      <c r="Q450" t="s">
        <v>139</v>
      </c>
      <c r="R450" t="s">
        <v>45</v>
      </c>
      <c r="S450" t="s">
        <v>72</v>
      </c>
      <c r="T450" t="s">
        <v>33</v>
      </c>
      <c r="U450" t="s">
        <v>46</v>
      </c>
      <c r="V450" t="str">
        <f>IF(B450&lt;=18,"Children",IF(B450&lt;=35,"Young adult",IF(B450&lt;=60,"Adult", "Senior Citizen")))</f>
        <v>Senior Citizen</v>
      </c>
      <c r="W450" t="str">
        <f t="shared" si="42"/>
        <v>Mar</v>
      </c>
      <c r="X450">
        <f t="shared" si="43"/>
        <v>3</v>
      </c>
      <c r="Y450" t="str">
        <f t="shared" si="44"/>
        <v>Q1</v>
      </c>
      <c r="Z450">
        <f t="shared" si="45"/>
        <v>2026</v>
      </c>
      <c r="AA450" t="str">
        <f t="shared" si="46"/>
        <v>Wednesday</v>
      </c>
      <c r="AB450">
        <f t="shared" si="47"/>
        <v>-32</v>
      </c>
      <c r="AC450" t="str">
        <f>IF(OR(D450="Heart Disease",D450="Cancer",D450="Stroke"),"High",IF(OR(D450="Diabetes",D450="Asthma"),"Medium","Low"))</f>
        <v>Low</v>
      </c>
      <c r="AD450" t="str">
        <f t="shared" si="48"/>
        <v>No</v>
      </c>
      <c r="AE450" t="str">
        <f>IF(G450&lt;=2,"Short Stay", IF(G450&lt;=7,"Normal Stay", "Long Stay"))</f>
        <v>Long Stay</v>
      </c>
      <c r="AF450" t="str">
        <f>IF(F450&gt;60000,"Expensive",IF(F450&gt;30000,"Moderate","Affordable"))</f>
        <v>Affordable</v>
      </c>
      <c r="AG450" t="str">
        <f>IF(J450&gt;=4.5,"Excellent",IF(J450&gt;=3.5,"Good",IF(J450&gt;=2.5,"Average","Poor")))</f>
        <v>Good</v>
      </c>
      <c r="AH450" t="str">
        <f>IF(OR(TEXT(N450,"dddd")="Saturday",TEXT(N450,"dddd")="Sunday"),"Weekend","Weekday")</f>
        <v>Weekday</v>
      </c>
    </row>
    <row r="451" spans="1:34" x14ac:dyDescent="0.3">
      <c r="A451">
        <v>457</v>
      </c>
      <c r="B451">
        <v>45</v>
      </c>
      <c r="C451" t="s">
        <v>21</v>
      </c>
      <c r="D451" t="s">
        <v>73</v>
      </c>
      <c r="E451" t="s">
        <v>74</v>
      </c>
      <c r="F451">
        <v>8000</v>
      </c>
      <c r="G451">
        <v>34</v>
      </c>
      <c r="H451" t="s">
        <v>24</v>
      </c>
      <c r="I451" t="s">
        <v>25</v>
      </c>
      <c r="J451">
        <v>3</v>
      </c>
      <c r="K451" t="s">
        <v>172</v>
      </c>
      <c r="L451" t="s">
        <v>1025</v>
      </c>
      <c r="M451" t="s">
        <v>1026</v>
      </c>
      <c r="N451" s="2">
        <v>46107</v>
      </c>
      <c r="O451" s="2">
        <v>46141</v>
      </c>
      <c r="P451" t="s">
        <v>43</v>
      </c>
      <c r="Q451" t="s">
        <v>52</v>
      </c>
      <c r="R451" t="s">
        <v>45</v>
      </c>
      <c r="S451" t="s">
        <v>32</v>
      </c>
      <c r="T451" t="s">
        <v>33</v>
      </c>
      <c r="U451" t="s">
        <v>46</v>
      </c>
      <c r="V451" t="str">
        <f>IF(B451&lt;=18,"Children",IF(B451&lt;=35,"Young adult",IF(B451&lt;=60,"Adult", "Senior Citizen")))</f>
        <v>Adult</v>
      </c>
      <c r="W451" t="str">
        <f t="shared" ref="W451:W514" si="49">TEXT(N451,"MMM")</f>
        <v>Mar</v>
      </c>
      <c r="X451">
        <f t="shared" ref="X451:X514" si="50">MONTH(N451)</f>
        <v>3</v>
      </c>
      <c r="Y451" t="str">
        <f t="shared" ref="Y451:Y514" si="51">"Q"&amp;ROUNDUP(MONTH(N451)/3,0)</f>
        <v>Q1</v>
      </c>
      <c r="Z451">
        <f t="shared" ref="Z451:Z514" si="52">YEAR(N451)</f>
        <v>2026</v>
      </c>
      <c r="AA451" t="str">
        <f t="shared" ref="AA451:AA514" si="53">TEXT(N451, "dddd")</f>
        <v>Thursday</v>
      </c>
      <c r="AB451">
        <f t="shared" ref="AB451:AB514" si="54">N451-O451</f>
        <v>-34</v>
      </c>
      <c r="AC451" t="str">
        <f>IF(OR(D451="Heart Disease",D451="Cancer",D451="Stroke"),"High",IF(OR(D451="Diabetes",D451="Asthma"),"Medium","Low"))</f>
        <v>Low</v>
      </c>
      <c r="AD451" t="str">
        <f t="shared" ref="AD451:AD514" si="55">IF(AC451="High","Yes","No")</f>
        <v>No</v>
      </c>
      <c r="AE451" t="str">
        <f>IF(G451&lt;=2,"Short Stay", IF(G451&lt;=7,"Normal Stay", "Long Stay"))</f>
        <v>Long Stay</v>
      </c>
      <c r="AF451" t="str">
        <f>IF(F451&gt;60000,"Expensive",IF(F451&gt;30000,"Moderate","Affordable"))</f>
        <v>Affordable</v>
      </c>
      <c r="AG451" t="str">
        <f>IF(J451&gt;=4.5,"Excellent",IF(J451&gt;=3.5,"Good",IF(J451&gt;=2.5,"Average","Poor")))</f>
        <v>Average</v>
      </c>
      <c r="AH451" t="str">
        <f>IF(OR(TEXT(N451,"dddd")="Saturday",TEXT(N451,"dddd")="Sunday"),"Weekend","Weekday")</f>
        <v>Weekday</v>
      </c>
    </row>
    <row r="452" spans="1:34" x14ac:dyDescent="0.3">
      <c r="A452">
        <v>458</v>
      </c>
      <c r="B452">
        <v>40</v>
      </c>
      <c r="C452" t="s">
        <v>35</v>
      </c>
      <c r="D452" t="s">
        <v>79</v>
      </c>
      <c r="E452" t="s">
        <v>80</v>
      </c>
      <c r="F452">
        <v>3000</v>
      </c>
      <c r="G452">
        <v>36</v>
      </c>
      <c r="H452" t="s">
        <v>24</v>
      </c>
      <c r="I452" t="s">
        <v>25</v>
      </c>
      <c r="J452">
        <v>4</v>
      </c>
      <c r="K452" t="s">
        <v>324</v>
      </c>
      <c r="L452" t="s">
        <v>1027</v>
      </c>
      <c r="M452" t="s">
        <v>1028</v>
      </c>
      <c r="N452" s="2">
        <v>46108</v>
      </c>
      <c r="O452" s="2">
        <v>46144</v>
      </c>
      <c r="P452" t="s">
        <v>43</v>
      </c>
      <c r="Q452" t="s">
        <v>139</v>
      </c>
      <c r="R452" t="s">
        <v>45</v>
      </c>
      <c r="S452" t="s">
        <v>53</v>
      </c>
      <c r="T452" t="s">
        <v>33</v>
      </c>
      <c r="U452" t="s">
        <v>104</v>
      </c>
      <c r="V452" t="str">
        <f>IF(B452&lt;=18,"Children",IF(B452&lt;=35,"Young adult",IF(B452&lt;=60,"Adult", "Senior Citizen")))</f>
        <v>Adult</v>
      </c>
      <c r="W452" t="str">
        <f t="shared" si="49"/>
        <v>Mar</v>
      </c>
      <c r="X452">
        <f t="shared" si="50"/>
        <v>3</v>
      </c>
      <c r="Y452" t="str">
        <f t="shared" si="51"/>
        <v>Q1</v>
      </c>
      <c r="Z452">
        <f t="shared" si="52"/>
        <v>2026</v>
      </c>
      <c r="AA452" t="str">
        <f t="shared" si="53"/>
        <v>Friday</v>
      </c>
      <c r="AB452">
        <f t="shared" si="54"/>
        <v>-36</v>
      </c>
      <c r="AC452" t="str">
        <f>IF(OR(D452="Heart Disease",D452="Cancer",D452="Stroke"),"High",IF(OR(D452="Diabetes",D452="Asthma"),"Medium","Low"))</f>
        <v>Low</v>
      </c>
      <c r="AD452" t="str">
        <f t="shared" si="55"/>
        <v>No</v>
      </c>
      <c r="AE452" t="str">
        <f>IF(G452&lt;=2,"Short Stay", IF(G452&lt;=7,"Normal Stay", "Long Stay"))</f>
        <v>Long Stay</v>
      </c>
      <c r="AF452" t="str">
        <f>IF(F452&gt;60000,"Expensive",IF(F452&gt;30000,"Moderate","Affordable"))</f>
        <v>Affordable</v>
      </c>
      <c r="AG452" t="str">
        <f>IF(J452&gt;=4.5,"Excellent",IF(J452&gt;=3.5,"Good",IF(J452&gt;=2.5,"Average","Poor")))</f>
        <v>Good</v>
      </c>
      <c r="AH452" t="str">
        <f>IF(OR(TEXT(N452,"dddd")="Saturday",TEXT(N452,"dddd")="Sunday"),"Weekend","Weekday")</f>
        <v>Weekday</v>
      </c>
    </row>
    <row r="453" spans="1:34" x14ac:dyDescent="0.3">
      <c r="A453">
        <v>459</v>
      </c>
      <c r="B453">
        <v>78</v>
      </c>
      <c r="C453" t="s">
        <v>21</v>
      </c>
      <c r="D453" t="s">
        <v>85</v>
      </c>
      <c r="E453" t="s">
        <v>86</v>
      </c>
      <c r="F453">
        <v>18000</v>
      </c>
      <c r="G453">
        <v>38</v>
      </c>
      <c r="H453" t="s">
        <v>38</v>
      </c>
      <c r="I453" t="s">
        <v>39</v>
      </c>
      <c r="J453">
        <v>2</v>
      </c>
      <c r="K453" t="s">
        <v>194</v>
      </c>
      <c r="L453" t="s">
        <v>1029</v>
      </c>
      <c r="M453" t="s">
        <v>1030</v>
      </c>
      <c r="N453" s="2">
        <v>46109</v>
      </c>
      <c r="O453" s="2">
        <v>46147</v>
      </c>
      <c r="P453" t="s">
        <v>29</v>
      </c>
      <c r="Q453" t="s">
        <v>30</v>
      </c>
      <c r="R453" t="s">
        <v>45</v>
      </c>
      <c r="S453" t="s">
        <v>110</v>
      </c>
      <c r="T453" t="s">
        <v>33</v>
      </c>
      <c r="U453" t="s">
        <v>34</v>
      </c>
      <c r="V453" t="str">
        <f>IF(B453&lt;=18,"Children",IF(B453&lt;=35,"Young adult",IF(B453&lt;=60,"Adult", "Senior Citizen")))</f>
        <v>Senior Citizen</v>
      </c>
      <c r="W453" t="str">
        <f t="shared" si="49"/>
        <v>Mar</v>
      </c>
      <c r="X453">
        <f t="shared" si="50"/>
        <v>3</v>
      </c>
      <c r="Y453" t="str">
        <f t="shared" si="51"/>
        <v>Q1</v>
      </c>
      <c r="Z453">
        <f t="shared" si="52"/>
        <v>2026</v>
      </c>
      <c r="AA453" t="str">
        <f t="shared" si="53"/>
        <v>Saturday</v>
      </c>
      <c r="AB453">
        <f t="shared" si="54"/>
        <v>-38</v>
      </c>
      <c r="AC453" t="str">
        <f>IF(OR(D453="Heart Disease",D453="Cancer",D453="Stroke"),"High",IF(OR(D453="Diabetes",D453="Asthma"),"Medium","Low"))</f>
        <v>Low</v>
      </c>
      <c r="AD453" t="str">
        <f t="shared" si="55"/>
        <v>No</v>
      </c>
      <c r="AE453" t="str">
        <f>IF(G453&lt;=2,"Short Stay", IF(G453&lt;=7,"Normal Stay", "Long Stay"))</f>
        <v>Long Stay</v>
      </c>
      <c r="AF453" t="str">
        <f>IF(F453&gt;60000,"Expensive",IF(F453&gt;30000,"Moderate","Affordable"))</f>
        <v>Affordable</v>
      </c>
      <c r="AG453" t="str">
        <f>IF(J453&gt;=4.5,"Excellent",IF(J453&gt;=3.5,"Good",IF(J453&gt;=2.5,"Average","Poor")))</f>
        <v>Poor</v>
      </c>
      <c r="AH453" t="str">
        <f>IF(OR(TEXT(N453,"dddd")="Saturday",TEXT(N453,"dddd")="Sunday"),"Weekend","Weekday")</f>
        <v>Weekend</v>
      </c>
    </row>
    <row r="454" spans="1:34" x14ac:dyDescent="0.3">
      <c r="A454">
        <v>460</v>
      </c>
      <c r="B454">
        <v>25</v>
      </c>
      <c r="C454" t="s">
        <v>35</v>
      </c>
      <c r="D454" t="s">
        <v>89</v>
      </c>
      <c r="E454" t="s">
        <v>90</v>
      </c>
      <c r="F454">
        <v>100</v>
      </c>
      <c r="G454">
        <v>31</v>
      </c>
      <c r="H454" t="s">
        <v>24</v>
      </c>
      <c r="I454" t="s">
        <v>25</v>
      </c>
      <c r="J454">
        <v>5</v>
      </c>
      <c r="K454" t="s">
        <v>62</v>
      </c>
      <c r="L454" t="s">
        <v>1031</v>
      </c>
      <c r="M454" t="s">
        <v>1032</v>
      </c>
      <c r="N454" s="2">
        <v>46110</v>
      </c>
      <c r="O454" s="2">
        <v>46141</v>
      </c>
      <c r="P454" t="s">
        <v>29</v>
      </c>
      <c r="Q454" t="s">
        <v>30</v>
      </c>
      <c r="R454" t="s">
        <v>45</v>
      </c>
      <c r="S454" t="s">
        <v>32</v>
      </c>
      <c r="T454" t="s">
        <v>33</v>
      </c>
      <c r="U454" t="s">
        <v>46</v>
      </c>
      <c r="V454" t="str">
        <f>IF(B454&lt;=18,"Children",IF(B454&lt;=35,"Young adult",IF(B454&lt;=60,"Adult", "Senior Citizen")))</f>
        <v>Young adult</v>
      </c>
      <c r="W454" t="str">
        <f t="shared" si="49"/>
        <v>Mar</v>
      </c>
      <c r="X454">
        <f t="shared" si="50"/>
        <v>3</v>
      </c>
      <c r="Y454" t="str">
        <f t="shared" si="51"/>
        <v>Q1</v>
      </c>
      <c r="Z454">
        <f t="shared" si="52"/>
        <v>2026</v>
      </c>
      <c r="AA454" t="str">
        <f t="shared" si="53"/>
        <v>Sunday</v>
      </c>
      <c r="AB454">
        <f t="shared" si="54"/>
        <v>-31</v>
      </c>
      <c r="AC454" t="str">
        <f>IF(OR(D454="Heart Disease",D454="Cancer",D454="Stroke"),"High",IF(OR(D454="Diabetes",D454="Asthma"),"Medium","Low"))</f>
        <v>Low</v>
      </c>
      <c r="AD454" t="str">
        <f t="shared" si="55"/>
        <v>No</v>
      </c>
      <c r="AE454" t="str">
        <f>IF(G454&lt;=2,"Short Stay", IF(G454&lt;=7,"Normal Stay", "Long Stay"))</f>
        <v>Long Stay</v>
      </c>
      <c r="AF454" t="str">
        <f>IF(F454&gt;60000,"Expensive",IF(F454&gt;30000,"Moderate","Affordable"))</f>
        <v>Affordable</v>
      </c>
      <c r="AG454" t="str">
        <f>IF(J454&gt;=4.5,"Excellent",IF(J454&gt;=3.5,"Good",IF(J454&gt;=2.5,"Average","Poor")))</f>
        <v>Excellent</v>
      </c>
      <c r="AH454" t="str">
        <f>IF(OR(TEXT(N454,"dddd")="Saturday",TEXT(N454,"dddd")="Sunday"),"Weekend","Weekday")</f>
        <v>Weekend</v>
      </c>
    </row>
    <row r="455" spans="1:34" x14ac:dyDescent="0.3">
      <c r="A455">
        <v>461</v>
      </c>
      <c r="B455">
        <v>52</v>
      </c>
      <c r="C455" t="s">
        <v>21</v>
      </c>
      <c r="D455" t="s">
        <v>94</v>
      </c>
      <c r="E455" t="s">
        <v>95</v>
      </c>
      <c r="F455">
        <v>800</v>
      </c>
      <c r="G455">
        <v>32</v>
      </c>
      <c r="H455" t="s">
        <v>24</v>
      </c>
      <c r="I455" t="s">
        <v>39</v>
      </c>
      <c r="J455">
        <v>4</v>
      </c>
      <c r="K455" t="s">
        <v>336</v>
      </c>
      <c r="L455" t="s">
        <v>1033</v>
      </c>
      <c r="M455" t="s">
        <v>1034</v>
      </c>
      <c r="N455" s="2">
        <v>46111</v>
      </c>
      <c r="O455" s="2">
        <v>46143</v>
      </c>
      <c r="P455" t="s">
        <v>29</v>
      </c>
      <c r="Q455" t="s">
        <v>139</v>
      </c>
      <c r="R455" t="s">
        <v>45</v>
      </c>
      <c r="S455" t="s">
        <v>84</v>
      </c>
      <c r="T455" t="s">
        <v>33</v>
      </c>
      <c r="U455" t="s">
        <v>34</v>
      </c>
      <c r="V455" t="str">
        <f>IF(B455&lt;=18,"Children",IF(B455&lt;=35,"Young adult",IF(B455&lt;=60,"Adult", "Senior Citizen")))</f>
        <v>Adult</v>
      </c>
      <c r="W455" t="str">
        <f t="shared" si="49"/>
        <v>Mar</v>
      </c>
      <c r="X455">
        <f t="shared" si="50"/>
        <v>3</v>
      </c>
      <c r="Y455" t="str">
        <f t="shared" si="51"/>
        <v>Q1</v>
      </c>
      <c r="Z455">
        <f t="shared" si="52"/>
        <v>2026</v>
      </c>
      <c r="AA455" t="str">
        <f t="shared" si="53"/>
        <v>Monday</v>
      </c>
      <c r="AB455">
        <f t="shared" si="54"/>
        <v>-32</v>
      </c>
      <c r="AC455" t="str">
        <f>IF(OR(D455="Heart Disease",D455="Cancer",D455="Stroke"),"High",IF(OR(D455="Diabetes",D455="Asthma"),"Medium","Low"))</f>
        <v>Low</v>
      </c>
      <c r="AD455" t="str">
        <f t="shared" si="55"/>
        <v>No</v>
      </c>
      <c r="AE455" t="str">
        <f>IF(G455&lt;=2,"Short Stay", IF(G455&lt;=7,"Normal Stay", "Long Stay"))</f>
        <v>Long Stay</v>
      </c>
      <c r="AF455" t="str">
        <f>IF(F455&gt;60000,"Expensive",IF(F455&gt;30000,"Moderate","Affordable"))</f>
        <v>Affordable</v>
      </c>
      <c r="AG455" t="str">
        <f>IF(J455&gt;=4.5,"Excellent",IF(J455&gt;=3.5,"Good",IF(J455&gt;=2.5,"Average","Poor")))</f>
        <v>Good</v>
      </c>
      <c r="AH455" t="str">
        <f>IF(OR(TEXT(N455,"dddd")="Saturday",TEXT(N455,"dddd")="Sunday"),"Weekend","Weekday")</f>
        <v>Weekday</v>
      </c>
    </row>
    <row r="456" spans="1:34" x14ac:dyDescent="0.3">
      <c r="A456">
        <v>462</v>
      </c>
      <c r="B456">
        <v>58</v>
      </c>
      <c r="C456" t="s">
        <v>35</v>
      </c>
      <c r="D456" t="s">
        <v>99</v>
      </c>
      <c r="E456" t="s">
        <v>100</v>
      </c>
      <c r="F456">
        <v>20000</v>
      </c>
      <c r="G456">
        <v>39</v>
      </c>
      <c r="H456" t="s">
        <v>24</v>
      </c>
      <c r="I456" t="s">
        <v>25</v>
      </c>
      <c r="J456">
        <v>3</v>
      </c>
      <c r="K456" t="s">
        <v>203</v>
      </c>
      <c r="L456" t="s">
        <v>1035</v>
      </c>
      <c r="M456" t="s">
        <v>1036</v>
      </c>
      <c r="N456" s="2">
        <v>46112</v>
      </c>
      <c r="O456" s="2">
        <v>46151</v>
      </c>
      <c r="P456" t="s">
        <v>43</v>
      </c>
      <c r="Q456" t="s">
        <v>52</v>
      </c>
      <c r="R456" t="s">
        <v>45</v>
      </c>
      <c r="S456" t="s">
        <v>84</v>
      </c>
      <c r="T456" t="s">
        <v>33</v>
      </c>
      <c r="U456" t="s">
        <v>46</v>
      </c>
      <c r="V456" t="str">
        <f>IF(B456&lt;=18,"Children",IF(B456&lt;=35,"Young adult",IF(B456&lt;=60,"Adult", "Senior Citizen")))</f>
        <v>Adult</v>
      </c>
      <c r="W456" t="str">
        <f t="shared" si="49"/>
        <v>Mar</v>
      </c>
      <c r="X456">
        <f t="shared" si="50"/>
        <v>3</v>
      </c>
      <c r="Y456" t="str">
        <f t="shared" si="51"/>
        <v>Q1</v>
      </c>
      <c r="Z456">
        <f t="shared" si="52"/>
        <v>2026</v>
      </c>
      <c r="AA456" t="str">
        <f t="shared" si="53"/>
        <v>Tuesday</v>
      </c>
      <c r="AB456">
        <f t="shared" si="54"/>
        <v>-39</v>
      </c>
      <c r="AC456" t="str">
        <f>IF(OR(D456="Heart Disease",D456="Cancer",D456="Stroke"),"High",IF(OR(D456="Diabetes",D456="Asthma"),"Medium","Low"))</f>
        <v>Low</v>
      </c>
      <c r="AD456" t="str">
        <f t="shared" si="55"/>
        <v>No</v>
      </c>
      <c r="AE456" t="str">
        <f>IF(G456&lt;=2,"Short Stay", IF(G456&lt;=7,"Normal Stay", "Long Stay"))</f>
        <v>Long Stay</v>
      </c>
      <c r="AF456" t="str">
        <f>IF(F456&gt;60000,"Expensive",IF(F456&gt;30000,"Moderate","Affordable"))</f>
        <v>Affordable</v>
      </c>
      <c r="AG456" t="str">
        <f>IF(J456&gt;=4.5,"Excellent",IF(J456&gt;=3.5,"Good",IF(J456&gt;=2.5,"Average","Poor")))</f>
        <v>Average</v>
      </c>
      <c r="AH456" t="str">
        <f>IF(OR(TEXT(N456,"dddd")="Saturday",TEXT(N456,"dddd")="Sunday"),"Weekend","Weekday")</f>
        <v>Weekday</v>
      </c>
    </row>
    <row r="457" spans="1:34" x14ac:dyDescent="0.3">
      <c r="A457">
        <v>463</v>
      </c>
      <c r="B457">
        <v>32</v>
      </c>
      <c r="C457" t="s">
        <v>21</v>
      </c>
      <c r="D457" t="s">
        <v>105</v>
      </c>
      <c r="E457" t="s">
        <v>106</v>
      </c>
      <c r="F457">
        <v>12000</v>
      </c>
      <c r="G457">
        <v>33</v>
      </c>
      <c r="H457" t="s">
        <v>24</v>
      </c>
      <c r="I457" t="s">
        <v>25</v>
      </c>
      <c r="J457">
        <v>4</v>
      </c>
      <c r="K457" t="s">
        <v>101</v>
      </c>
      <c r="L457" t="s">
        <v>1037</v>
      </c>
      <c r="M457" t="s">
        <v>1038</v>
      </c>
      <c r="N457" s="2">
        <v>46113</v>
      </c>
      <c r="O457" s="2">
        <v>46146</v>
      </c>
      <c r="P457" t="s">
        <v>29</v>
      </c>
      <c r="Q457" t="s">
        <v>139</v>
      </c>
      <c r="R457" t="s">
        <v>45</v>
      </c>
      <c r="S457" t="s">
        <v>72</v>
      </c>
      <c r="T457" t="s">
        <v>33</v>
      </c>
      <c r="U457" t="s">
        <v>78</v>
      </c>
      <c r="V457" t="str">
        <f>IF(B457&lt;=18,"Children",IF(B457&lt;=35,"Young adult",IF(B457&lt;=60,"Adult", "Senior Citizen")))</f>
        <v>Young adult</v>
      </c>
      <c r="W457" t="str">
        <f t="shared" si="49"/>
        <v>Apr</v>
      </c>
      <c r="X457">
        <f t="shared" si="50"/>
        <v>4</v>
      </c>
      <c r="Y457" t="str">
        <f t="shared" si="51"/>
        <v>Q2</v>
      </c>
      <c r="Z457">
        <f t="shared" si="52"/>
        <v>2026</v>
      </c>
      <c r="AA457" t="str">
        <f t="shared" si="53"/>
        <v>Wednesday</v>
      </c>
      <c r="AB457">
        <f t="shared" si="54"/>
        <v>-33</v>
      </c>
      <c r="AC457" t="str">
        <f>IF(OR(D457="Heart Disease",D457="Cancer",D457="Stroke"),"High",IF(OR(D457="Diabetes",D457="Asthma"),"Medium","Low"))</f>
        <v>Low</v>
      </c>
      <c r="AD457" t="str">
        <f t="shared" si="55"/>
        <v>No</v>
      </c>
      <c r="AE457" t="str">
        <f>IF(G457&lt;=2,"Short Stay", IF(G457&lt;=7,"Normal Stay", "Long Stay"))</f>
        <v>Long Stay</v>
      </c>
      <c r="AF457" t="str">
        <f>IF(F457&gt;60000,"Expensive",IF(F457&gt;30000,"Moderate","Affordable"))</f>
        <v>Affordable</v>
      </c>
      <c r="AG457" t="str">
        <f>IF(J457&gt;=4.5,"Excellent",IF(J457&gt;=3.5,"Good",IF(J457&gt;=2.5,"Average","Poor")))</f>
        <v>Good</v>
      </c>
      <c r="AH457" t="str">
        <f>IF(OR(TEXT(N457,"dddd")="Saturday",TEXT(N457,"dddd")="Sunday"),"Weekend","Weekday")</f>
        <v>Weekday</v>
      </c>
    </row>
    <row r="458" spans="1:34" x14ac:dyDescent="0.3">
      <c r="A458">
        <v>464</v>
      </c>
      <c r="B458">
        <v>55</v>
      </c>
      <c r="C458" t="s">
        <v>35</v>
      </c>
      <c r="D458" t="s">
        <v>111</v>
      </c>
      <c r="E458" t="s">
        <v>112</v>
      </c>
      <c r="F458">
        <v>6000</v>
      </c>
      <c r="G458">
        <v>34</v>
      </c>
      <c r="H458" t="s">
        <v>24</v>
      </c>
      <c r="I458" t="s">
        <v>25</v>
      </c>
      <c r="J458">
        <v>3</v>
      </c>
      <c r="K458" t="s">
        <v>281</v>
      </c>
      <c r="L458" t="s">
        <v>1039</v>
      </c>
      <c r="M458" t="s">
        <v>1040</v>
      </c>
      <c r="N458" s="2">
        <v>46114</v>
      </c>
      <c r="O458" s="2">
        <v>46148</v>
      </c>
      <c r="P458" t="s">
        <v>29</v>
      </c>
      <c r="Q458" t="s">
        <v>44</v>
      </c>
      <c r="R458" t="s">
        <v>45</v>
      </c>
      <c r="S458" t="s">
        <v>110</v>
      </c>
      <c r="T458" t="s">
        <v>33</v>
      </c>
      <c r="U458" t="s">
        <v>46</v>
      </c>
      <c r="V458" t="str">
        <f>IF(B458&lt;=18,"Children",IF(B458&lt;=35,"Young adult",IF(B458&lt;=60,"Adult", "Senior Citizen")))</f>
        <v>Adult</v>
      </c>
      <c r="W458" t="str">
        <f t="shared" si="49"/>
        <v>Apr</v>
      </c>
      <c r="X458">
        <f t="shared" si="50"/>
        <v>4</v>
      </c>
      <c r="Y458" t="str">
        <f t="shared" si="51"/>
        <v>Q2</v>
      </c>
      <c r="Z458">
        <f t="shared" si="52"/>
        <v>2026</v>
      </c>
      <c r="AA458" t="str">
        <f t="shared" si="53"/>
        <v>Thursday</v>
      </c>
      <c r="AB458">
        <f t="shared" si="54"/>
        <v>-34</v>
      </c>
      <c r="AC458" t="str">
        <f>IF(OR(D458="Heart Disease",D458="Cancer",D458="Stroke"),"High",IF(OR(D458="Diabetes",D458="Asthma"),"Medium","Low"))</f>
        <v>Low</v>
      </c>
      <c r="AD458" t="str">
        <f t="shared" si="55"/>
        <v>No</v>
      </c>
      <c r="AE458" t="str">
        <f>IF(G458&lt;=2,"Short Stay", IF(G458&lt;=7,"Normal Stay", "Long Stay"))</f>
        <v>Long Stay</v>
      </c>
      <c r="AF458" t="str">
        <f>IF(F458&gt;60000,"Expensive",IF(F458&gt;30000,"Moderate","Affordable"))</f>
        <v>Affordable</v>
      </c>
      <c r="AG458" t="str">
        <f>IF(J458&gt;=4.5,"Excellent",IF(J458&gt;=3.5,"Good",IF(J458&gt;=2.5,"Average","Poor")))</f>
        <v>Average</v>
      </c>
      <c r="AH458" t="str">
        <f>IF(OR(TEXT(N458,"dddd")="Saturday",TEXT(N458,"dddd")="Sunday"),"Weekend","Weekday")</f>
        <v>Weekday</v>
      </c>
    </row>
    <row r="459" spans="1:34" x14ac:dyDescent="0.3">
      <c r="A459">
        <v>465</v>
      </c>
      <c r="B459">
        <v>65</v>
      </c>
      <c r="C459" t="s">
        <v>21</v>
      </c>
      <c r="D459" t="s">
        <v>116</v>
      </c>
      <c r="E459" t="s">
        <v>117</v>
      </c>
      <c r="F459">
        <v>4000</v>
      </c>
      <c r="G459">
        <v>35</v>
      </c>
      <c r="H459" t="s">
        <v>24</v>
      </c>
      <c r="I459" t="s">
        <v>39</v>
      </c>
      <c r="J459">
        <v>4</v>
      </c>
      <c r="K459" t="s">
        <v>178</v>
      </c>
      <c r="L459" t="s">
        <v>1041</v>
      </c>
      <c r="M459" t="s">
        <v>1042</v>
      </c>
      <c r="N459" s="2">
        <v>46115</v>
      </c>
      <c r="O459" s="2">
        <v>46150</v>
      </c>
      <c r="P459" t="s">
        <v>29</v>
      </c>
      <c r="Q459" t="s">
        <v>52</v>
      </c>
      <c r="R459" t="s">
        <v>45</v>
      </c>
      <c r="S459" t="s">
        <v>72</v>
      </c>
      <c r="T459" t="s">
        <v>33</v>
      </c>
      <c r="U459" t="s">
        <v>78</v>
      </c>
      <c r="V459" t="str">
        <f>IF(B459&lt;=18,"Children",IF(B459&lt;=35,"Young adult",IF(B459&lt;=60,"Adult", "Senior Citizen")))</f>
        <v>Senior Citizen</v>
      </c>
      <c r="W459" t="str">
        <f t="shared" si="49"/>
        <v>Apr</v>
      </c>
      <c r="X459">
        <f t="shared" si="50"/>
        <v>4</v>
      </c>
      <c r="Y459" t="str">
        <f t="shared" si="51"/>
        <v>Q2</v>
      </c>
      <c r="Z459">
        <f t="shared" si="52"/>
        <v>2026</v>
      </c>
      <c r="AA459" t="str">
        <f t="shared" si="53"/>
        <v>Friday</v>
      </c>
      <c r="AB459">
        <f t="shared" si="54"/>
        <v>-35</v>
      </c>
      <c r="AC459" t="str">
        <f>IF(OR(D459="Heart Disease",D459="Cancer",D459="Stroke"),"High",IF(OR(D459="Diabetes",D459="Asthma"),"Medium","Low"))</f>
        <v>Low</v>
      </c>
      <c r="AD459" t="str">
        <f t="shared" si="55"/>
        <v>No</v>
      </c>
      <c r="AE459" t="str">
        <f>IF(G459&lt;=2,"Short Stay", IF(G459&lt;=7,"Normal Stay", "Long Stay"))</f>
        <v>Long Stay</v>
      </c>
      <c r="AF459" t="str">
        <f>IF(F459&gt;60000,"Expensive",IF(F459&gt;30000,"Moderate","Affordable"))</f>
        <v>Affordable</v>
      </c>
      <c r="AG459" t="str">
        <f>IF(J459&gt;=4.5,"Excellent",IF(J459&gt;=3.5,"Good",IF(J459&gt;=2.5,"Average","Poor")))</f>
        <v>Good</v>
      </c>
      <c r="AH459" t="str">
        <f>IF(OR(TEXT(N459,"dddd")="Saturday",TEXT(N459,"dddd")="Sunday"),"Weekend","Weekday")</f>
        <v>Weekday</v>
      </c>
    </row>
    <row r="460" spans="1:34" x14ac:dyDescent="0.3">
      <c r="A460">
        <v>466</v>
      </c>
      <c r="B460">
        <v>55</v>
      </c>
      <c r="C460" t="s">
        <v>21</v>
      </c>
      <c r="D460" t="s">
        <v>22</v>
      </c>
      <c r="E460" t="s">
        <v>23</v>
      </c>
      <c r="F460">
        <v>15000</v>
      </c>
      <c r="G460">
        <v>36</v>
      </c>
      <c r="H460" t="s">
        <v>38</v>
      </c>
      <c r="I460" t="s">
        <v>25</v>
      </c>
      <c r="J460">
        <v>3</v>
      </c>
      <c r="K460" t="s">
        <v>294</v>
      </c>
      <c r="L460" t="s">
        <v>1043</v>
      </c>
      <c r="M460" t="s">
        <v>1044</v>
      </c>
      <c r="N460" s="2">
        <v>46116</v>
      </c>
      <c r="O460" s="2">
        <v>46152</v>
      </c>
      <c r="P460" t="s">
        <v>43</v>
      </c>
      <c r="Q460" t="s">
        <v>30</v>
      </c>
      <c r="R460" t="s">
        <v>31</v>
      </c>
      <c r="S460" t="s">
        <v>53</v>
      </c>
      <c r="T460" t="s">
        <v>33</v>
      </c>
      <c r="U460" t="s">
        <v>104</v>
      </c>
      <c r="V460" t="str">
        <f>IF(B460&lt;=18,"Children",IF(B460&lt;=35,"Young adult",IF(B460&lt;=60,"Adult", "Senior Citizen")))</f>
        <v>Adult</v>
      </c>
      <c r="W460" t="str">
        <f t="shared" si="49"/>
        <v>Apr</v>
      </c>
      <c r="X460">
        <f t="shared" si="50"/>
        <v>4</v>
      </c>
      <c r="Y460" t="str">
        <f t="shared" si="51"/>
        <v>Q2</v>
      </c>
      <c r="Z460">
        <f t="shared" si="52"/>
        <v>2026</v>
      </c>
      <c r="AA460" t="str">
        <f t="shared" si="53"/>
        <v>Saturday</v>
      </c>
      <c r="AB460">
        <f t="shared" si="54"/>
        <v>-36</v>
      </c>
      <c r="AC460" t="str">
        <f>IF(OR(D460="Heart Disease",D460="Cancer",D460="Stroke"),"High",IF(OR(D460="Diabetes",D460="Asthma"),"Medium","Low"))</f>
        <v>High</v>
      </c>
      <c r="AD460" t="str">
        <f t="shared" si="55"/>
        <v>Yes</v>
      </c>
      <c r="AE460" t="str">
        <f>IF(G460&lt;=2,"Short Stay", IF(G460&lt;=7,"Normal Stay", "Long Stay"))</f>
        <v>Long Stay</v>
      </c>
      <c r="AF460" t="str">
        <f>IF(F460&gt;60000,"Expensive",IF(F460&gt;30000,"Moderate","Affordable"))</f>
        <v>Affordable</v>
      </c>
      <c r="AG460" t="str">
        <f>IF(J460&gt;=4.5,"Excellent",IF(J460&gt;=3.5,"Good",IF(J460&gt;=2.5,"Average","Poor")))</f>
        <v>Average</v>
      </c>
      <c r="AH460" t="str">
        <f>IF(OR(TEXT(N460,"dddd")="Saturday",TEXT(N460,"dddd")="Sunday"),"Weekend","Weekday")</f>
        <v>Weekend</v>
      </c>
    </row>
    <row r="461" spans="1:34" x14ac:dyDescent="0.3">
      <c r="A461">
        <v>467</v>
      </c>
      <c r="B461">
        <v>62</v>
      </c>
      <c r="C461" t="s">
        <v>35</v>
      </c>
      <c r="D461" t="s">
        <v>36</v>
      </c>
      <c r="E461" t="s">
        <v>37</v>
      </c>
      <c r="F461">
        <v>2000</v>
      </c>
      <c r="G461">
        <v>34</v>
      </c>
      <c r="H461" t="s">
        <v>24</v>
      </c>
      <c r="I461" t="s">
        <v>39</v>
      </c>
      <c r="J461">
        <v>4</v>
      </c>
      <c r="K461" t="s">
        <v>40</v>
      </c>
      <c r="L461" t="s">
        <v>1045</v>
      </c>
      <c r="M461" t="s">
        <v>1046</v>
      </c>
      <c r="N461" s="2">
        <v>46117</v>
      </c>
      <c r="O461" s="2">
        <v>46151</v>
      </c>
      <c r="P461" t="s">
        <v>29</v>
      </c>
      <c r="Q461" t="s">
        <v>52</v>
      </c>
      <c r="R461" t="s">
        <v>45</v>
      </c>
      <c r="S461" t="s">
        <v>110</v>
      </c>
      <c r="T461" t="s">
        <v>33</v>
      </c>
      <c r="U461" t="s">
        <v>46</v>
      </c>
      <c r="V461" t="str">
        <f>IF(B461&lt;=18,"Children",IF(B461&lt;=35,"Young adult",IF(B461&lt;=60,"Adult", "Senior Citizen")))</f>
        <v>Senior Citizen</v>
      </c>
      <c r="W461" t="str">
        <f t="shared" si="49"/>
        <v>Apr</v>
      </c>
      <c r="X461">
        <f t="shared" si="50"/>
        <v>4</v>
      </c>
      <c r="Y461" t="str">
        <f t="shared" si="51"/>
        <v>Q2</v>
      </c>
      <c r="Z461">
        <f t="shared" si="52"/>
        <v>2026</v>
      </c>
      <c r="AA461" t="str">
        <f t="shared" si="53"/>
        <v>Sunday</v>
      </c>
      <c r="AB461">
        <f t="shared" si="54"/>
        <v>-34</v>
      </c>
      <c r="AC461" t="str">
        <f>IF(OR(D461="Heart Disease",D461="Cancer",D461="Stroke"),"High",IF(OR(D461="Diabetes",D461="Asthma"),"Medium","Low"))</f>
        <v>Medium</v>
      </c>
      <c r="AD461" t="str">
        <f t="shared" si="55"/>
        <v>No</v>
      </c>
      <c r="AE461" t="str">
        <f>IF(G461&lt;=2,"Short Stay", IF(G461&lt;=7,"Normal Stay", "Long Stay"))</f>
        <v>Long Stay</v>
      </c>
      <c r="AF461" t="str">
        <f>IF(F461&gt;60000,"Expensive",IF(F461&gt;30000,"Moderate","Affordable"))</f>
        <v>Affordable</v>
      </c>
      <c r="AG461" t="str">
        <f>IF(J461&gt;=4.5,"Excellent",IF(J461&gt;=3.5,"Good",IF(J461&gt;=2.5,"Average","Poor")))</f>
        <v>Good</v>
      </c>
      <c r="AH461" t="str">
        <f>IF(OR(TEXT(N461,"dddd")="Saturday",TEXT(N461,"dddd")="Sunday"),"Weekend","Weekday")</f>
        <v>Weekend</v>
      </c>
    </row>
    <row r="462" spans="1:34" x14ac:dyDescent="0.3">
      <c r="A462">
        <v>468</v>
      </c>
      <c r="B462">
        <v>35</v>
      </c>
      <c r="C462" t="s">
        <v>21</v>
      </c>
      <c r="D462" t="s">
        <v>47</v>
      </c>
      <c r="E462" t="s">
        <v>48</v>
      </c>
      <c r="F462">
        <v>500</v>
      </c>
      <c r="G462">
        <v>32</v>
      </c>
      <c r="H462" t="s">
        <v>38</v>
      </c>
      <c r="I462" t="s">
        <v>25</v>
      </c>
      <c r="J462">
        <v>5</v>
      </c>
      <c r="K462" t="s">
        <v>215</v>
      </c>
      <c r="L462" t="s">
        <v>1047</v>
      </c>
      <c r="M462" t="s">
        <v>1048</v>
      </c>
      <c r="N462" s="2">
        <v>46118</v>
      </c>
      <c r="O462" s="2">
        <v>46150</v>
      </c>
      <c r="P462" t="s">
        <v>29</v>
      </c>
      <c r="Q462" t="s">
        <v>52</v>
      </c>
      <c r="R462" t="s">
        <v>45</v>
      </c>
      <c r="S462" t="s">
        <v>77</v>
      </c>
      <c r="T462" t="s">
        <v>33</v>
      </c>
      <c r="U462" t="s">
        <v>104</v>
      </c>
      <c r="V462" t="str">
        <f>IF(B462&lt;=18,"Children",IF(B462&lt;=35,"Young adult",IF(B462&lt;=60,"Adult", "Senior Citizen")))</f>
        <v>Young adult</v>
      </c>
      <c r="W462" t="str">
        <f t="shared" si="49"/>
        <v>Apr</v>
      </c>
      <c r="X462">
        <f t="shared" si="50"/>
        <v>4</v>
      </c>
      <c r="Y462" t="str">
        <f t="shared" si="51"/>
        <v>Q2</v>
      </c>
      <c r="Z462">
        <f t="shared" si="52"/>
        <v>2026</v>
      </c>
      <c r="AA462" t="str">
        <f t="shared" si="53"/>
        <v>Monday</v>
      </c>
      <c r="AB462">
        <f t="shared" si="54"/>
        <v>-32</v>
      </c>
      <c r="AC462" t="str">
        <f>IF(OR(D462="Heart Disease",D462="Cancer",D462="Stroke"),"High",IF(OR(D462="Diabetes",D462="Asthma"),"Medium","Low"))</f>
        <v>Low</v>
      </c>
      <c r="AD462" t="str">
        <f t="shared" si="55"/>
        <v>No</v>
      </c>
      <c r="AE462" t="str">
        <f>IF(G462&lt;=2,"Short Stay", IF(G462&lt;=7,"Normal Stay", "Long Stay"))</f>
        <v>Long Stay</v>
      </c>
      <c r="AF462" t="str">
        <f>IF(F462&gt;60000,"Expensive",IF(F462&gt;30000,"Moderate","Affordable"))</f>
        <v>Affordable</v>
      </c>
      <c r="AG462" t="str">
        <f>IF(J462&gt;=4.5,"Excellent",IF(J462&gt;=3.5,"Good",IF(J462&gt;=2.5,"Average","Poor")))</f>
        <v>Excellent</v>
      </c>
      <c r="AH462" t="str">
        <f>IF(OR(TEXT(N462,"dddd")="Saturday",TEXT(N462,"dddd")="Sunday"),"Weekend","Weekday")</f>
        <v>Weekday</v>
      </c>
    </row>
    <row r="463" spans="1:34" x14ac:dyDescent="0.3">
      <c r="A463">
        <v>469</v>
      </c>
      <c r="B463">
        <v>78</v>
      </c>
      <c r="C463" t="s">
        <v>35</v>
      </c>
      <c r="D463" t="s">
        <v>54</v>
      </c>
      <c r="E463" t="s">
        <v>55</v>
      </c>
      <c r="F463">
        <v>10000</v>
      </c>
      <c r="G463">
        <v>39</v>
      </c>
      <c r="H463" t="s">
        <v>24</v>
      </c>
      <c r="I463" t="s">
        <v>39</v>
      </c>
      <c r="J463">
        <v>2</v>
      </c>
      <c r="K463" t="s">
        <v>210</v>
      </c>
      <c r="L463" t="s">
        <v>1049</v>
      </c>
      <c r="M463" t="s">
        <v>1050</v>
      </c>
      <c r="N463" s="2">
        <v>46119</v>
      </c>
      <c r="O463" s="2">
        <v>46158</v>
      </c>
      <c r="P463" t="s">
        <v>29</v>
      </c>
      <c r="Q463" t="s">
        <v>139</v>
      </c>
      <c r="R463" t="s">
        <v>59</v>
      </c>
      <c r="S463" t="s">
        <v>77</v>
      </c>
      <c r="T463" t="s">
        <v>33</v>
      </c>
      <c r="U463" t="s">
        <v>78</v>
      </c>
      <c r="V463" t="str">
        <f>IF(B463&lt;=18,"Children",IF(B463&lt;=35,"Young adult",IF(B463&lt;=60,"Adult", "Senior Citizen")))</f>
        <v>Senior Citizen</v>
      </c>
      <c r="W463" t="str">
        <f t="shared" si="49"/>
        <v>Apr</v>
      </c>
      <c r="X463">
        <f t="shared" si="50"/>
        <v>4</v>
      </c>
      <c r="Y463" t="str">
        <f t="shared" si="51"/>
        <v>Q2</v>
      </c>
      <c r="Z463">
        <f t="shared" si="52"/>
        <v>2026</v>
      </c>
      <c r="AA463" t="str">
        <f t="shared" si="53"/>
        <v>Tuesday</v>
      </c>
      <c r="AB463">
        <f t="shared" si="54"/>
        <v>-39</v>
      </c>
      <c r="AC463" t="str">
        <f>IF(OR(D463="Heart Disease",D463="Cancer",D463="Stroke"),"High",IF(OR(D463="Diabetes",D463="Asthma"),"Medium","Low"))</f>
        <v>High</v>
      </c>
      <c r="AD463" t="str">
        <f t="shared" si="55"/>
        <v>Yes</v>
      </c>
      <c r="AE463" t="str">
        <f>IF(G463&lt;=2,"Short Stay", IF(G463&lt;=7,"Normal Stay", "Long Stay"))</f>
        <v>Long Stay</v>
      </c>
      <c r="AF463" t="str">
        <f>IF(F463&gt;60000,"Expensive",IF(F463&gt;30000,"Moderate","Affordable"))</f>
        <v>Affordable</v>
      </c>
      <c r="AG463" t="str">
        <f>IF(J463&gt;=4.5,"Excellent",IF(J463&gt;=3.5,"Good",IF(J463&gt;=2.5,"Average","Poor")))</f>
        <v>Poor</v>
      </c>
      <c r="AH463" t="str">
        <f>IF(OR(TEXT(N463,"dddd")="Saturday",TEXT(N463,"dddd")="Sunday"),"Weekend","Weekday")</f>
        <v>Weekday</v>
      </c>
    </row>
    <row r="464" spans="1:34" x14ac:dyDescent="0.3">
      <c r="A464">
        <v>470</v>
      </c>
      <c r="B464">
        <v>53</v>
      </c>
      <c r="C464" t="s">
        <v>21</v>
      </c>
      <c r="D464" t="s">
        <v>60</v>
      </c>
      <c r="E464" t="s">
        <v>61</v>
      </c>
      <c r="F464">
        <v>25000</v>
      </c>
      <c r="G464">
        <v>41</v>
      </c>
      <c r="H464" t="s">
        <v>38</v>
      </c>
      <c r="I464" t="s">
        <v>25</v>
      </c>
      <c r="J464">
        <v>4</v>
      </c>
      <c r="K464" t="s">
        <v>144</v>
      </c>
      <c r="L464" t="s">
        <v>1051</v>
      </c>
      <c r="M464" t="s">
        <v>1052</v>
      </c>
      <c r="N464" s="2">
        <v>46120</v>
      </c>
      <c r="O464" s="2">
        <v>46161</v>
      </c>
      <c r="P464" t="s">
        <v>43</v>
      </c>
      <c r="Q464" t="s">
        <v>139</v>
      </c>
      <c r="R464" t="s">
        <v>65</v>
      </c>
      <c r="S464" t="s">
        <v>110</v>
      </c>
      <c r="T464" t="s">
        <v>33</v>
      </c>
      <c r="U464" t="s">
        <v>46</v>
      </c>
      <c r="V464" t="str">
        <f>IF(B464&lt;=18,"Children",IF(B464&lt;=35,"Young adult",IF(B464&lt;=60,"Adult", "Senior Citizen")))</f>
        <v>Adult</v>
      </c>
      <c r="W464" t="str">
        <f t="shared" si="49"/>
        <v>Apr</v>
      </c>
      <c r="X464">
        <f t="shared" si="50"/>
        <v>4</v>
      </c>
      <c r="Y464" t="str">
        <f t="shared" si="51"/>
        <v>Q2</v>
      </c>
      <c r="Z464">
        <f t="shared" si="52"/>
        <v>2026</v>
      </c>
      <c r="AA464" t="str">
        <f t="shared" si="53"/>
        <v>Wednesday</v>
      </c>
      <c r="AB464">
        <f t="shared" si="54"/>
        <v>-41</v>
      </c>
      <c r="AC464" t="str">
        <f>IF(OR(D464="Heart Disease",D464="Cancer",D464="Stroke"),"High",IF(OR(D464="Diabetes",D464="Asthma"),"Medium","Low"))</f>
        <v>High</v>
      </c>
      <c r="AD464" t="str">
        <f t="shared" si="55"/>
        <v>Yes</v>
      </c>
      <c r="AE464" t="str">
        <f>IF(G464&lt;=2,"Short Stay", IF(G464&lt;=7,"Normal Stay", "Long Stay"))</f>
        <v>Long Stay</v>
      </c>
      <c r="AF464" t="str">
        <f>IF(F464&gt;60000,"Expensive",IF(F464&gt;30000,"Moderate","Affordable"))</f>
        <v>Affordable</v>
      </c>
      <c r="AG464" t="str">
        <f>IF(J464&gt;=4.5,"Excellent",IF(J464&gt;=3.5,"Good",IF(J464&gt;=2.5,"Average","Poor")))</f>
        <v>Good</v>
      </c>
      <c r="AH464" t="str">
        <f>IF(OR(TEXT(N464,"dddd")="Saturday",TEXT(N464,"dddd")="Sunday"),"Weekend","Weekday")</f>
        <v>Weekday</v>
      </c>
    </row>
    <row r="465" spans="1:34" x14ac:dyDescent="0.3">
      <c r="A465">
        <v>471</v>
      </c>
      <c r="B465">
        <v>72</v>
      </c>
      <c r="C465" t="s">
        <v>35</v>
      </c>
      <c r="D465" t="s">
        <v>66</v>
      </c>
      <c r="E465" t="s">
        <v>67</v>
      </c>
      <c r="F465">
        <v>1000</v>
      </c>
      <c r="G465">
        <v>33</v>
      </c>
      <c r="H465" t="s">
        <v>24</v>
      </c>
      <c r="I465" t="s">
        <v>39</v>
      </c>
      <c r="J465">
        <v>4</v>
      </c>
      <c r="K465" t="s">
        <v>113</v>
      </c>
      <c r="L465" t="s">
        <v>1053</v>
      </c>
      <c r="M465" t="s">
        <v>1054</v>
      </c>
      <c r="N465" s="2">
        <v>46121</v>
      </c>
      <c r="O465" s="2">
        <v>46154</v>
      </c>
      <c r="P465" t="s">
        <v>43</v>
      </c>
      <c r="Q465" t="s">
        <v>139</v>
      </c>
      <c r="R465" t="s">
        <v>45</v>
      </c>
      <c r="S465" t="s">
        <v>77</v>
      </c>
      <c r="T465" t="s">
        <v>33</v>
      </c>
      <c r="U465" t="s">
        <v>104</v>
      </c>
      <c r="V465" t="str">
        <f>IF(B465&lt;=18,"Children",IF(B465&lt;=35,"Young adult",IF(B465&lt;=60,"Adult", "Senior Citizen")))</f>
        <v>Senior Citizen</v>
      </c>
      <c r="W465" t="str">
        <f t="shared" si="49"/>
        <v>Apr</v>
      </c>
      <c r="X465">
        <f t="shared" si="50"/>
        <v>4</v>
      </c>
      <c r="Y465" t="str">
        <f t="shared" si="51"/>
        <v>Q2</v>
      </c>
      <c r="Z465">
        <f t="shared" si="52"/>
        <v>2026</v>
      </c>
      <c r="AA465" t="str">
        <f t="shared" si="53"/>
        <v>Thursday</v>
      </c>
      <c r="AB465">
        <f t="shared" si="54"/>
        <v>-33</v>
      </c>
      <c r="AC465" t="str">
        <f>IF(OR(D465="Heart Disease",D465="Cancer",D465="Stroke"),"High",IF(OR(D465="Diabetes",D465="Asthma"),"Medium","Low"))</f>
        <v>Low</v>
      </c>
      <c r="AD465" t="str">
        <f t="shared" si="55"/>
        <v>No</v>
      </c>
      <c r="AE465" t="str">
        <f>IF(G465&lt;=2,"Short Stay", IF(G465&lt;=7,"Normal Stay", "Long Stay"))</f>
        <v>Long Stay</v>
      </c>
      <c r="AF465" t="str">
        <f>IF(F465&gt;60000,"Expensive",IF(F465&gt;30000,"Moderate","Affordable"))</f>
        <v>Affordable</v>
      </c>
      <c r="AG465" t="str">
        <f>IF(J465&gt;=4.5,"Excellent",IF(J465&gt;=3.5,"Good",IF(J465&gt;=2.5,"Average","Poor")))</f>
        <v>Good</v>
      </c>
      <c r="AH465" t="str">
        <f>IF(OR(TEXT(N465,"dddd")="Saturday",TEXT(N465,"dddd")="Sunday"),"Weekend","Weekday")</f>
        <v>Weekday</v>
      </c>
    </row>
    <row r="466" spans="1:34" x14ac:dyDescent="0.3">
      <c r="A466">
        <v>472</v>
      </c>
      <c r="B466">
        <v>60</v>
      </c>
      <c r="C466" t="s">
        <v>21</v>
      </c>
      <c r="D466" t="s">
        <v>73</v>
      </c>
      <c r="E466" t="s">
        <v>74</v>
      </c>
      <c r="F466">
        <v>8000</v>
      </c>
      <c r="G466">
        <v>35</v>
      </c>
      <c r="H466" t="s">
        <v>38</v>
      </c>
      <c r="I466" t="s">
        <v>25</v>
      </c>
      <c r="J466">
        <v>3</v>
      </c>
      <c r="K466" t="s">
        <v>187</v>
      </c>
      <c r="L466" t="s">
        <v>1055</v>
      </c>
      <c r="M466" t="s">
        <v>1056</v>
      </c>
      <c r="N466" s="2">
        <v>46122</v>
      </c>
      <c r="O466" s="2">
        <v>46157</v>
      </c>
      <c r="P466" t="s">
        <v>29</v>
      </c>
      <c r="Q466" t="s">
        <v>52</v>
      </c>
      <c r="R466" t="s">
        <v>45</v>
      </c>
      <c r="S466" t="s">
        <v>77</v>
      </c>
      <c r="T466" t="s">
        <v>33</v>
      </c>
      <c r="U466" t="s">
        <v>34</v>
      </c>
      <c r="V466" t="str">
        <f>IF(B466&lt;=18,"Children",IF(B466&lt;=35,"Young adult",IF(B466&lt;=60,"Adult", "Senior Citizen")))</f>
        <v>Adult</v>
      </c>
      <c r="W466" t="str">
        <f t="shared" si="49"/>
        <v>Apr</v>
      </c>
      <c r="X466">
        <f t="shared" si="50"/>
        <v>4</v>
      </c>
      <c r="Y466" t="str">
        <f t="shared" si="51"/>
        <v>Q2</v>
      </c>
      <c r="Z466">
        <f t="shared" si="52"/>
        <v>2026</v>
      </c>
      <c r="AA466" t="str">
        <f t="shared" si="53"/>
        <v>Friday</v>
      </c>
      <c r="AB466">
        <f t="shared" si="54"/>
        <v>-35</v>
      </c>
      <c r="AC466" t="str">
        <f>IF(OR(D466="Heart Disease",D466="Cancer",D466="Stroke"),"High",IF(OR(D466="Diabetes",D466="Asthma"),"Medium","Low"))</f>
        <v>Low</v>
      </c>
      <c r="AD466" t="str">
        <f t="shared" si="55"/>
        <v>No</v>
      </c>
      <c r="AE466" t="str">
        <f>IF(G466&lt;=2,"Short Stay", IF(G466&lt;=7,"Normal Stay", "Long Stay"))</f>
        <v>Long Stay</v>
      </c>
      <c r="AF466" t="str">
        <f>IF(F466&gt;60000,"Expensive",IF(F466&gt;30000,"Moderate","Affordable"))</f>
        <v>Affordable</v>
      </c>
      <c r="AG466" t="str">
        <f>IF(J466&gt;=4.5,"Excellent",IF(J466&gt;=3.5,"Good",IF(J466&gt;=2.5,"Average","Poor")))</f>
        <v>Average</v>
      </c>
      <c r="AH466" t="str">
        <f>IF(OR(TEXT(N466,"dddd")="Saturday",TEXT(N466,"dddd")="Sunday"),"Weekend","Weekday")</f>
        <v>Weekday</v>
      </c>
    </row>
    <row r="467" spans="1:34" x14ac:dyDescent="0.3">
      <c r="A467">
        <v>473</v>
      </c>
      <c r="B467">
        <v>45</v>
      </c>
      <c r="C467" t="s">
        <v>35</v>
      </c>
      <c r="D467" t="s">
        <v>79</v>
      </c>
      <c r="E467" t="s">
        <v>80</v>
      </c>
      <c r="F467">
        <v>3000</v>
      </c>
      <c r="G467">
        <v>37</v>
      </c>
      <c r="H467" t="s">
        <v>24</v>
      </c>
      <c r="I467" t="s">
        <v>25</v>
      </c>
      <c r="J467">
        <v>4</v>
      </c>
      <c r="K467" t="s">
        <v>133</v>
      </c>
      <c r="L467" t="s">
        <v>1057</v>
      </c>
      <c r="M467" t="s">
        <v>1058</v>
      </c>
      <c r="N467" s="2">
        <v>46123</v>
      </c>
      <c r="O467" s="2">
        <v>46160</v>
      </c>
      <c r="P467" t="s">
        <v>43</v>
      </c>
      <c r="Q467" t="s">
        <v>71</v>
      </c>
      <c r="R467" t="s">
        <v>45</v>
      </c>
      <c r="S467" t="s">
        <v>53</v>
      </c>
      <c r="T467" t="s">
        <v>33</v>
      </c>
      <c r="U467" t="s">
        <v>104</v>
      </c>
      <c r="V467" t="str">
        <f>IF(B467&lt;=18,"Children",IF(B467&lt;=35,"Young adult",IF(B467&lt;=60,"Adult", "Senior Citizen")))</f>
        <v>Adult</v>
      </c>
      <c r="W467" t="str">
        <f t="shared" si="49"/>
        <v>Apr</v>
      </c>
      <c r="X467">
        <f t="shared" si="50"/>
        <v>4</v>
      </c>
      <c r="Y467" t="str">
        <f t="shared" si="51"/>
        <v>Q2</v>
      </c>
      <c r="Z467">
        <f t="shared" si="52"/>
        <v>2026</v>
      </c>
      <c r="AA467" t="str">
        <f t="shared" si="53"/>
        <v>Saturday</v>
      </c>
      <c r="AB467">
        <f t="shared" si="54"/>
        <v>-37</v>
      </c>
      <c r="AC467" t="str">
        <f>IF(OR(D467="Heart Disease",D467="Cancer",D467="Stroke"),"High",IF(OR(D467="Diabetes",D467="Asthma"),"Medium","Low"))</f>
        <v>Low</v>
      </c>
      <c r="AD467" t="str">
        <f t="shared" si="55"/>
        <v>No</v>
      </c>
      <c r="AE467" t="str">
        <f>IF(G467&lt;=2,"Short Stay", IF(G467&lt;=7,"Normal Stay", "Long Stay"))</f>
        <v>Long Stay</v>
      </c>
      <c r="AF467" t="str">
        <f>IF(F467&gt;60000,"Expensive",IF(F467&gt;30000,"Moderate","Affordable"))</f>
        <v>Affordable</v>
      </c>
      <c r="AG467" t="str">
        <f>IF(J467&gt;=4.5,"Excellent",IF(J467&gt;=3.5,"Good",IF(J467&gt;=2.5,"Average","Poor")))</f>
        <v>Good</v>
      </c>
      <c r="AH467" t="str">
        <f>IF(OR(TEXT(N467,"dddd")="Saturday",TEXT(N467,"dddd")="Sunday"),"Weekend","Weekday")</f>
        <v>Weekend</v>
      </c>
    </row>
    <row r="468" spans="1:34" x14ac:dyDescent="0.3">
      <c r="A468">
        <v>474</v>
      </c>
      <c r="B468">
        <v>75</v>
      </c>
      <c r="C468" t="s">
        <v>21</v>
      </c>
      <c r="D468" t="s">
        <v>85</v>
      </c>
      <c r="E468" t="s">
        <v>86</v>
      </c>
      <c r="F468">
        <v>18000</v>
      </c>
      <c r="G468">
        <v>39</v>
      </c>
      <c r="H468" t="s">
        <v>38</v>
      </c>
      <c r="I468" t="s">
        <v>39</v>
      </c>
      <c r="J468">
        <v>2</v>
      </c>
      <c r="K468" t="s">
        <v>210</v>
      </c>
      <c r="L468" t="s">
        <v>1059</v>
      </c>
      <c r="M468" t="s">
        <v>1060</v>
      </c>
      <c r="N468" s="2">
        <v>46124</v>
      </c>
      <c r="O468" s="2">
        <v>46163</v>
      </c>
      <c r="P468" t="s">
        <v>29</v>
      </c>
      <c r="Q468" t="s">
        <v>44</v>
      </c>
      <c r="R468" t="s">
        <v>45</v>
      </c>
      <c r="S468" t="s">
        <v>32</v>
      </c>
      <c r="T468" t="s">
        <v>33</v>
      </c>
      <c r="U468" t="s">
        <v>78</v>
      </c>
      <c r="V468" t="str">
        <f>IF(B468&lt;=18,"Children",IF(B468&lt;=35,"Young adult",IF(B468&lt;=60,"Adult", "Senior Citizen")))</f>
        <v>Senior Citizen</v>
      </c>
      <c r="W468" t="str">
        <f t="shared" si="49"/>
        <v>Apr</v>
      </c>
      <c r="X468">
        <f t="shared" si="50"/>
        <v>4</v>
      </c>
      <c r="Y468" t="str">
        <f t="shared" si="51"/>
        <v>Q2</v>
      </c>
      <c r="Z468">
        <f t="shared" si="52"/>
        <v>2026</v>
      </c>
      <c r="AA468" t="str">
        <f t="shared" si="53"/>
        <v>Sunday</v>
      </c>
      <c r="AB468">
        <f t="shared" si="54"/>
        <v>-39</v>
      </c>
      <c r="AC468" t="str">
        <f>IF(OR(D468="Heart Disease",D468="Cancer",D468="Stroke"),"High",IF(OR(D468="Diabetes",D468="Asthma"),"Medium","Low"))</f>
        <v>Low</v>
      </c>
      <c r="AD468" t="str">
        <f t="shared" si="55"/>
        <v>No</v>
      </c>
      <c r="AE468" t="str">
        <f>IF(G468&lt;=2,"Short Stay", IF(G468&lt;=7,"Normal Stay", "Long Stay"))</f>
        <v>Long Stay</v>
      </c>
      <c r="AF468" t="str">
        <f>IF(F468&gt;60000,"Expensive",IF(F468&gt;30000,"Moderate","Affordable"))</f>
        <v>Affordable</v>
      </c>
      <c r="AG468" t="str">
        <f>IF(J468&gt;=4.5,"Excellent",IF(J468&gt;=3.5,"Good",IF(J468&gt;=2.5,"Average","Poor")))</f>
        <v>Poor</v>
      </c>
      <c r="AH468" t="str">
        <f>IF(OR(TEXT(N468,"dddd")="Saturday",TEXT(N468,"dddd")="Sunday"),"Weekend","Weekday")</f>
        <v>Weekend</v>
      </c>
    </row>
    <row r="469" spans="1:34" x14ac:dyDescent="0.3">
      <c r="A469">
        <v>475</v>
      </c>
      <c r="B469">
        <v>28</v>
      </c>
      <c r="C469" t="s">
        <v>35</v>
      </c>
      <c r="D469" t="s">
        <v>89</v>
      </c>
      <c r="E469" t="s">
        <v>90</v>
      </c>
      <c r="F469">
        <v>100</v>
      </c>
      <c r="G469">
        <v>32</v>
      </c>
      <c r="H469" t="s">
        <v>24</v>
      </c>
      <c r="I469" t="s">
        <v>25</v>
      </c>
      <c r="J469">
        <v>5</v>
      </c>
      <c r="K469" t="s">
        <v>324</v>
      </c>
      <c r="L469" t="s">
        <v>1061</v>
      </c>
      <c r="M469" t="s">
        <v>1062</v>
      </c>
      <c r="N469" s="2">
        <v>46125</v>
      </c>
      <c r="O469" s="2">
        <v>46157</v>
      </c>
      <c r="P469" t="s">
        <v>43</v>
      </c>
      <c r="Q469" t="s">
        <v>139</v>
      </c>
      <c r="R469" t="s">
        <v>45</v>
      </c>
      <c r="S469" t="s">
        <v>110</v>
      </c>
      <c r="T469" t="s">
        <v>33</v>
      </c>
      <c r="U469" t="s">
        <v>104</v>
      </c>
      <c r="V469" t="str">
        <f>IF(B469&lt;=18,"Children",IF(B469&lt;=35,"Young adult",IF(B469&lt;=60,"Adult", "Senior Citizen")))</f>
        <v>Young adult</v>
      </c>
      <c r="W469" t="str">
        <f t="shared" si="49"/>
        <v>Apr</v>
      </c>
      <c r="X469">
        <f t="shared" si="50"/>
        <v>4</v>
      </c>
      <c r="Y469" t="str">
        <f t="shared" si="51"/>
        <v>Q2</v>
      </c>
      <c r="Z469">
        <f t="shared" si="52"/>
        <v>2026</v>
      </c>
      <c r="AA469" t="str">
        <f t="shared" si="53"/>
        <v>Monday</v>
      </c>
      <c r="AB469">
        <f t="shared" si="54"/>
        <v>-32</v>
      </c>
      <c r="AC469" t="str">
        <f>IF(OR(D469="Heart Disease",D469="Cancer",D469="Stroke"),"High",IF(OR(D469="Diabetes",D469="Asthma"),"Medium","Low"))</f>
        <v>Low</v>
      </c>
      <c r="AD469" t="str">
        <f t="shared" si="55"/>
        <v>No</v>
      </c>
      <c r="AE469" t="str">
        <f>IF(G469&lt;=2,"Short Stay", IF(G469&lt;=7,"Normal Stay", "Long Stay"))</f>
        <v>Long Stay</v>
      </c>
      <c r="AF469" t="str">
        <f>IF(F469&gt;60000,"Expensive",IF(F469&gt;30000,"Moderate","Affordable"))</f>
        <v>Affordable</v>
      </c>
      <c r="AG469" t="str">
        <f>IF(J469&gt;=4.5,"Excellent",IF(J469&gt;=3.5,"Good",IF(J469&gt;=2.5,"Average","Poor")))</f>
        <v>Excellent</v>
      </c>
      <c r="AH469" t="str">
        <f>IF(OR(TEXT(N469,"dddd")="Saturday",TEXT(N469,"dddd")="Sunday"),"Weekend","Weekday")</f>
        <v>Weekday</v>
      </c>
    </row>
    <row r="470" spans="1:34" x14ac:dyDescent="0.3">
      <c r="A470">
        <v>476</v>
      </c>
      <c r="B470">
        <v>52</v>
      </c>
      <c r="C470" t="s">
        <v>21</v>
      </c>
      <c r="D470" t="s">
        <v>94</v>
      </c>
      <c r="E470" t="s">
        <v>95</v>
      </c>
      <c r="F470">
        <v>800</v>
      </c>
      <c r="G470">
        <v>33</v>
      </c>
      <c r="H470" t="s">
        <v>24</v>
      </c>
      <c r="I470" t="s">
        <v>39</v>
      </c>
      <c r="J470">
        <v>4</v>
      </c>
      <c r="K470" t="s">
        <v>210</v>
      </c>
      <c r="L470" t="s">
        <v>1063</v>
      </c>
      <c r="M470" t="s">
        <v>1064</v>
      </c>
      <c r="N470" s="2">
        <v>46126</v>
      </c>
      <c r="O470" s="2">
        <v>46159</v>
      </c>
      <c r="P470" t="s">
        <v>43</v>
      </c>
      <c r="Q470" t="s">
        <v>52</v>
      </c>
      <c r="R470" t="s">
        <v>45</v>
      </c>
      <c r="S470" t="s">
        <v>32</v>
      </c>
      <c r="T470" t="s">
        <v>33</v>
      </c>
      <c r="U470" t="s">
        <v>46</v>
      </c>
      <c r="V470" t="str">
        <f>IF(B470&lt;=18,"Children",IF(B470&lt;=35,"Young adult",IF(B470&lt;=60,"Adult", "Senior Citizen")))</f>
        <v>Adult</v>
      </c>
      <c r="W470" t="str">
        <f t="shared" si="49"/>
        <v>Apr</v>
      </c>
      <c r="X470">
        <f t="shared" si="50"/>
        <v>4</v>
      </c>
      <c r="Y470" t="str">
        <f t="shared" si="51"/>
        <v>Q2</v>
      </c>
      <c r="Z470">
        <f t="shared" si="52"/>
        <v>2026</v>
      </c>
      <c r="AA470" t="str">
        <f t="shared" si="53"/>
        <v>Tuesday</v>
      </c>
      <c r="AB470">
        <f t="shared" si="54"/>
        <v>-33</v>
      </c>
      <c r="AC470" t="str">
        <f>IF(OR(D470="Heart Disease",D470="Cancer",D470="Stroke"),"High",IF(OR(D470="Diabetes",D470="Asthma"),"Medium","Low"))</f>
        <v>Low</v>
      </c>
      <c r="AD470" t="str">
        <f t="shared" si="55"/>
        <v>No</v>
      </c>
      <c r="AE470" t="str">
        <f>IF(G470&lt;=2,"Short Stay", IF(G470&lt;=7,"Normal Stay", "Long Stay"))</f>
        <v>Long Stay</v>
      </c>
      <c r="AF470" t="str">
        <f>IF(F470&gt;60000,"Expensive",IF(F470&gt;30000,"Moderate","Affordable"))</f>
        <v>Affordable</v>
      </c>
      <c r="AG470" t="str">
        <f>IF(J470&gt;=4.5,"Excellent",IF(J470&gt;=3.5,"Good",IF(J470&gt;=2.5,"Average","Poor")))</f>
        <v>Good</v>
      </c>
      <c r="AH470" t="str">
        <f>IF(OR(TEXT(N470,"dddd")="Saturday",TEXT(N470,"dddd")="Sunday"),"Weekend","Weekday")</f>
        <v>Weekday</v>
      </c>
    </row>
    <row r="471" spans="1:34" x14ac:dyDescent="0.3">
      <c r="A471">
        <v>477</v>
      </c>
      <c r="B471">
        <v>67</v>
      </c>
      <c r="C471" t="s">
        <v>35</v>
      </c>
      <c r="D471" t="s">
        <v>99</v>
      </c>
      <c r="E471" t="s">
        <v>100</v>
      </c>
      <c r="F471">
        <v>20000</v>
      </c>
      <c r="G471">
        <v>40</v>
      </c>
      <c r="H471" t="s">
        <v>24</v>
      </c>
      <c r="I471" t="s">
        <v>25</v>
      </c>
      <c r="J471">
        <v>3</v>
      </c>
      <c r="K471" t="s">
        <v>125</v>
      </c>
      <c r="L471" t="s">
        <v>1065</v>
      </c>
      <c r="M471" t="s">
        <v>1066</v>
      </c>
      <c r="N471" s="2">
        <v>46127</v>
      </c>
      <c r="O471" s="2">
        <v>46167</v>
      </c>
      <c r="P471" t="s">
        <v>29</v>
      </c>
      <c r="Q471" t="s">
        <v>30</v>
      </c>
      <c r="R471" t="s">
        <v>45</v>
      </c>
      <c r="S471" t="s">
        <v>32</v>
      </c>
      <c r="T471" t="s">
        <v>33</v>
      </c>
      <c r="U471" t="s">
        <v>78</v>
      </c>
      <c r="V471" t="str">
        <f>IF(B471&lt;=18,"Children",IF(B471&lt;=35,"Young adult",IF(B471&lt;=60,"Adult", "Senior Citizen")))</f>
        <v>Senior Citizen</v>
      </c>
      <c r="W471" t="str">
        <f t="shared" si="49"/>
        <v>Apr</v>
      </c>
      <c r="X471">
        <f t="shared" si="50"/>
        <v>4</v>
      </c>
      <c r="Y471" t="str">
        <f t="shared" si="51"/>
        <v>Q2</v>
      </c>
      <c r="Z471">
        <f t="shared" si="52"/>
        <v>2026</v>
      </c>
      <c r="AA471" t="str">
        <f t="shared" si="53"/>
        <v>Wednesday</v>
      </c>
      <c r="AB471">
        <f t="shared" si="54"/>
        <v>-40</v>
      </c>
      <c r="AC471" t="str">
        <f>IF(OR(D471="Heart Disease",D471="Cancer",D471="Stroke"),"High",IF(OR(D471="Diabetes",D471="Asthma"),"Medium","Low"))</f>
        <v>Low</v>
      </c>
      <c r="AD471" t="str">
        <f t="shared" si="55"/>
        <v>No</v>
      </c>
      <c r="AE471" t="str">
        <f>IF(G471&lt;=2,"Short Stay", IF(G471&lt;=7,"Normal Stay", "Long Stay"))</f>
        <v>Long Stay</v>
      </c>
      <c r="AF471" t="str">
        <f>IF(F471&gt;60000,"Expensive",IF(F471&gt;30000,"Moderate","Affordable"))</f>
        <v>Affordable</v>
      </c>
      <c r="AG471" t="str">
        <f>IF(J471&gt;=4.5,"Excellent",IF(J471&gt;=3.5,"Good",IF(J471&gt;=2.5,"Average","Poor")))</f>
        <v>Average</v>
      </c>
      <c r="AH471" t="str">
        <f>IF(OR(TEXT(N471,"dddd")="Saturday",TEXT(N471,"dddd")="Sunday"),"Weekend","Weekday")</f>
        <v>Weekday</v>
      </c>
    </row>
    <row r="472" spans="1:34" x14ac:dyDescent="0.3">
      <c r="A472">
        <v>479</v>
      </c>
      <c r="B472">
        <v>50</v>
      </c>
      <c r="C472" t="s">
        <v>35</v>
      </c>
      <c r="D472" t="s">
        <v>111</v>
      </c>
      <c r="E472" t="s">
        <v>112</v>
      </c>
      <c r="F472">
        <v>6000</v>
      </c>
      <c r="G472">
        <v>35</v>
      </c>
      <c r="H472" t="s">
        <v>24</v>
      </c>
      <c r="I472" t="s">
        <v>25</v>
      </c>
      <c r="J472">
        <v>3</v>
      </c>
      <c r="K472" t="s">
        <v>329</v>
      </c>
      <c r="L472" t="s">
        <v>1067</v>
      </c>
      <c r="M472" t="s">
        <v>1068</v>
      </c>
      <c r="N472" s="2">
        <v>46128</v>
      </c>
      <c r="O472" s="2">
        <v>46163</v>
      </c>
      <c r="P472" t="s">
        <v>43</v>
      </c>
      <c r="Q472" t="s">
        <v>44</v>
      </c>
      <c r="R472" t="s">
        <v>45</v>
      </c>
      <c r="S472" t="s">
        <v>110</v>
      </c>
      <c r="T472" t="s">
        <v>33</v>
      </c>
      <c r="U472" t="s">
        <v>46</v>
      </c>
      <c r="V472" t="str">
        <f>IF(B472&lt;=18,"Children",IF(B472&lt;=35,"Young adult",IF(B472&lt;=60,"Adult", "Senior Citizen")))</f>
        <v>Adult</v>
      </c>
      <c r="W472" t="str">
        <f t="shared" si="49"/>
        <v>Apr</v>
      </c>
      <c r="X472">
        <f t="shared" si="50"/>
        <v>4</v>
      </c>
      <c r="Y472" t="str">
        <f t="shared" si="51"/>
        <v>Q2</v>
      </c>
      <c r="Z472">
        <f t="shared" si="52"/>
        <v>2026</v>
      </c>
      <c r="AA472" t="str">
        <f t="shared" si="53"/>
        <v>Thursday</v>
      </c>
      <c r="AB472">
        <f t="shared" si="54"/>
        <v>-35</v>
      </c>
      <c r="AC472" t="str">
        <f>IF(OR(D472="Heart Disease",D472="Cancer",D472="Stroke"),"High",IF(OR(D472="Diabetes",D472="Asthma"),"Medium","Low"))</f>
        <v>Low</v>
      </c>
      <c r="AD472" t="str">
        <f t="shared" si="55"/>
        <v>No</v>
      </c>
      <c r="AE472" t="str">
        <f>IF(G472&lt;=2,"Short Stay", IF(G472&lt;=7,"Normal Stay", "Long Stay"))</f>
        <v>Long Stay</v>
      </c>
      <c r="AF472" t="str">
        <f>IF(F472&gt;60000,"Expensive",IF(F472&gt;30000,"Moderate","Affordable"))</f>
        <v>Affordable</v>
      </c>
      <c r="AG472" t="str">
        <f>IF(J472&gt;=4.5,"Excellent",IF(J472&gt;=3.5,"Good",IF(J472&gt;=2.5,"Average","Poor")))</f>
        <v>Average</v>
      </c>
      <c r="AH472" t="str">
        <f>IF(OR(TEXT(N472,"dddd")="Saturday",TEXT(N472,"dddd")="Sunday"),"Weekend","Weekday")</f>
        <v>Weekday</v>
      </c>
    </row>
    <row r="473" spans="1:34" x14ac:dyDescent="0.3">
      <c r="A473">
        <v>480</v>
      </c>
      <c r="B473">
        <v>60</v>
      </c>
      <c r="C473" t="s">
        <v>21</v>
      </c>
      <c r="D473" t="s">
        <v>116</v>
      </c>
      <c r="E473" t="s">
        <v>117</v>
      </c>
      <c r="F473">
        <v>4000</v>
      </c>
      <c r="G473">
        <v>36</v>
      </c>
      <c r="H473" t="s">
        <v>24</v>
      </c>
      <c r="I473" t="s">
        <v>39</v>
      </c>
      <c r="J473">
        <v>4</v>
      </c>
      <c r="K473" t="s">
        <v>223</v>
      </c>
      <c r="L473" t="s">
        <v>1069</v>
      </c>
      <c r="M473" t="s">
        <v>1070</v>
      </c>
      <c r="N473" s="2">
        <v>46129</v>
      </c>
      <c r="O473" s="2">
        <v>46165</v>
      </c>
      <c r="P473" t="s">
        <v>43</v>
      </c>
      <c r="Q473" t="s">
        <v>52</v>
      </c>
      <c r="R473" t="s">
        <v>45</v>
      </c>
      <c r="S473" t="s">
        <v>32</v>
      </c>
      <c r="T473" t="s">
        <v>33</v>
      </c>
      <c r="U473" t="s">
        <v>46</v>
      </c>
      <c r="V473" t="str">
        <f>IF(B473&lt;=18,"Children",IF(B473&lt;=35,"Young adult",IF(B473&lt;=60,"Adult", "Senior Citizen")))</f>
        <v>Adult</v>
      </c>
      <c r="W473" t="str">
        <f t="shared" si="49"/>
        <v>Apr</v>
      </c>
      <c r="X473">
        <f t="shared" si="50"/>
        <v>4</v>
      </c>
      <c r="Y473" t="str">
        <f t="shared" si="51"/>
        <v>Q2</v>
      </c>
      <c r="Z473">
        <f t="shared" si="52"/>
        <v>2026</v>
      </c>
      <c r="AA473" t="str">
        <f t="shared" si="53"/>
        <v>Friday</v>
      </c>
      <c r="AB473">
        <f t="shared" si="54"/>
        <v>-36</v>
      </c>
      <c r="AC473" t="str">
        <f>IF(OR(D473="Heart Disease",D473="Cancer",D473="Stroke"),"High",IF(OR(D473="Diabetes",D473="Asthma"),"Medium","Low"))</f>
        <v>Low</v>
      </c>
      <c r="AD473" t="str">
        <f t="shared" si="55"/>
        <v>No</v>
      </c>
      <c r="AE473" t="str">
        <f>IF(G473&lt;=2,"Short Stay", IF(G473&lt;=7,"Normal Stay", "Long Stay"))</f>
        <v>Long Stay</v>
      </c>
      <c r="AF473" t="str">
        <f>IF(F473&gt;60000,"Expensive",IF(F473&gt;30000,"Moderate","Affordable"))</f>
        <v>Affordable</v>
      </c>
      <c r="AG473" t="str">
        <f>IF(J473&gt;=4.5,"Excellent",IF(J473&gt;=3.5,"Good",IF(J473&gt;=2.5,"Average","Poor")))</f>
        <v>Good</v>
      </c>
      <c r="AH473" t="str">
        <f>IF(OR(TEXT(N473,"dddd")="Saturday",TEXT(N473,"dddd")="Sunday"),"Weekend","Weekday")</f>
        <v>Weekday</v>
      </c>
    </row>
    <row r="474" spans="1:34" x14ac:dyDescent="0.3">
      <c r="A474">
        <v>481</v>
      </c>
      <c r="B474">
        <v>48</v>
      </c>
      <c r="C474" t="s">
        <v>21</v>
      </c>
      <c r="D474" t="s">
        <v>22</v>
      </c>
      <c r="E474" t="s">
        <v>23</v>
      </c>
      <c r="F474">
        <v>15000</v>
      </c>
      <c r="G474">
        <v>37</v>
      </c>
      <c r="H474" t="s">
        <v>38</v>
      </c>
      <c r="I474" t="s">
        <v>25</v>
      </c>
      <c r="J474">
        <v>4</v>
      </c>
      <c r="K474" t="s">
        <v>245</v>
      </c>
      <c r="L474" t="s">
        <v>1071</v>
      </c>
      <c r="M474" t="s">
        <v>1072</v>
      </c>
      <c r="N474" s="2">
        <v>46130</v>
      </c>
      <c r="O474" s="2">
        <v>46167</v>
      </c>
      <c r="P474" t="s">
        <v>43</v>
      </c>
      <c r="Q474" t="s">
        <v>139</v>
      </c>
      <c r="R474" t="s">
        <v>31</v>
      </c>
      <c r="S474" t="s">
        <v>77</v>
      </c>
      <c r="T474" t="s">
        <v>33</v>
      </c>
      <c r="U474" t="s">
        <v>34</v>
      </c>
      <c r="V474" t="str">
        <f>IF(B474&lt;=18,"Children",IF(B474&lt;=35,"Young adult",IF(B474&lt;=60,"Adult", "Senior Citizen")))</f>
        <v>Adult</v>
      </c>
      <c r="W474" t="str">
        <f t="shared" si="49"/>
        <v>Apr</v>
      </c>
      <c r="X474">
        <f t="shared" si="50"/>
        <v>4</v>
      </c>
      <c r="Y474" t="str">
        <f t="shared" si="51"/>
        <v>Q2</v>
      </c>
      <c r="Z474">
        <f t="shared" si="52"/>
        <v>2026</v>
      </c>
      <c r="AA474" t="str">
        <f t="shared" si="53"/>
        <v>Saturday</v>
      </c>
      <c r="AB474">
        <f t="shared" si="54"/>
        <v>-37</v>
      </c>
      <c r="AC474" t="str">
        <f>IF(OR(D474="Heart Disease",D474="Cancer",D474="Stroke"),"High",IF(OR(D474="Diabetes",D474="Asthma"),"Medium","Low"))</f>
        <v>High</v>
      </c>
      <c r="AD474" t="str">
        <f t="shared" si="55"/>
        <v>Yes</v>
      </c>
      <c r="AE474" t="str">
        <f>IF(G474&lt;=2,"Short Stay", IF(G474&lt;=7,"Normal Stay", "Long Stay"))</f>
        <v>Long Stay</v>
      </c>
      <c r="AF474" t="str">
        <f>IF(F474&gt;60000,"Expensive",IF(F474&gt;30000,"Moderate","Affordable"))</f>
        <v>Affordable</v>
      </c>
      <c r="AG474" t="str">
        <f>IF(J474&gt;=4.5,"Excellent",IF(J474&gt;=3.5,"Good",IF(J474&gt;=2.5,"Average","Poor")))</f>
        <v>Good</v>
      </c>
      <c r="AH474" t="str">
        <f>IF(OR(TEXT(N474,"dddd")="Saturday",TEXT(N474,"dddd")="Sunday"),"Weekend","Weekday")</f>
        <v>Weekend</v>
      </c>
    </row>
    <row r="475" spans="1:34" x14ac:dyDescent="0.3">
      <c r="A475">
        <v>482</v>
      </c>
      <c r="B475">
        <v>65</v>
      </c>
      <c r="C475" t="s">
        <v>35</v>
      </c>
      <c r="D475" t="s">
        <v>36</v>
      </c>
      <c r="E475" t="s">
        <v>37</v>
      </c>
      <c r="F475">
        <v>2000</v>
      </c>
      <c r="G475">
        <v>35</v>
      </c>
      <c r="H475" t="s">
        <v>24</v>
      </c>
      <c r="I475" t="s">
        <v>39</v>
      </c>
      <c r="J475">
        <v>3</v>
      </c>
      <c r="K475" t="s">
        <v>144</v>
      </c>
      <c r="L475" t="s">
        <v>1073</v>
      </c>
      <c r="M475" t="s">
        <v>1074</v>
      </c>
      <c r="N475" s="2">
        <v>46131</v>
      </c>
      <c r="O475" s="2">
        <v>46166</v>
      </c>
      <c r="P475" t="s">
        <v>29</v>
      </c>
      <c r="Q475" t="s">
        <v>52</v>
      </c>
      <c r="R475" t="s">
        <v>45</v>
      </c>
      <c r="S475" t="s">
        <v>84</v>
      </c>
      <c r="T475" t="s">
        <v>33</v>
      </c>
      <c r="U475" t="s">
        <v>34</v>
      </c>
      <c r="V475" t="str">
        <f>IF(B475&lt;=18,"Children",IF(B475&lt;=35,"Young adult",IF(B475&lt;=60,"Adult", "Senior Citizen")))</f>
        <v>Senior Citizen</v>
      </c>
      <c r="W475" t="str">
        <f t="shared" si="49"/>
        <v>Apr</v>
      </c>
      <c r="X475">
        <f t="shared" si="50"/>
        <v>4</v>
      </c>
      <c r="Y475" t="str">
        <f t="shared" si="51"/>
        <v>Q2</v>
      </c>
      <c r="Z475">
        <f t="shared" si="52"/>
        <v>2026</v>
      </c>
      <c r="AA475" t="str">
        <f t="shared" si="53"/>
        <v>Sunday</v>
      </c>
      <c r="AB475">
        <f t="shared" si="54"/>
        <v>-35</v>
      </c>
      <c r="AC475" t="str">
        <f>IF(OR(D475="Heart Disease",D475="Cancer",D475="Stroke"),"High",IF(OR(D475="Diabetes",D475="Asthma"),"Medium","Low"))</f>
        <v>Medium</v>
      </c>
      <c r="AD475" t="str">
        <f t="shared" si="55"/>
        <v>No</v>
      </c>
      <c r="AE475" t="str">
        <f>IF(G475&lt;=2,"Short Stay", IF(G475&lt;=7,"Normal Stay", "Long Stay"))</f>
        <v>Long Stay</v>
      </c>
      <c r="AF475" t="str">
        <f>IF(F475&gt;60000,"Expensive",IF(F475&gt;30000,"Moderate","Affordable"))</f>
        <v>Affordable</v>
      </c>
      <c r="AG475" t="str">
        <f>IF(J475&gt;=4.5,"Excellent",IF(J475&gt;=3.5,"Good",IF(J475&gt;=2.5,"Average","Poor")))</f>
        <v>Average</v>
      </c>
      <c r="AH475" t="str">
        <f>IF(OR(TEXT(N475,"dddd")="Saturday",TEXT(N475,"dddd")="Sunday"),"Weekend","Weekday")</f>
        <v>Weekend</v>
      </c>
    </row>
    <row r="476" spans="1:34" x14ac:dyDescent="0.3">
      <c r="A476">
        <v>483</v>
      </c>
      <c r="B476">
        <v>30</v>
      </c>
      <c r="C476" t="s">
        <v>21</v>
      </c>
      <c r="D476" t="s">
        <v>47</v>
      </c>
      <c r="E476" t="s">
        <v>48</v>
      </c>
      <c r="F476">
        <v>500</v>
      </c>
      <c r="G476">
        <v>33</v>
      </c>
      <c r="H476" t="s">
        <v>24</v>
      </c>
      <c r="I476" t="s">
        <v>25</v>
      </c>
      <c r="J476">
        <v>5</v>
      </c>
      <c r="K476" t="s">
        <v>125</v>
      </c>
      <c r="L476" t="s">
        <v>1075</v>
      </c>
      <c r="M476" t="s">
        <v>1076</v>
      </c>
      <c r="N476" s="2">
        <v>46132</v>
      </c>
      <c r="O476" s="2">
        <v>46165</v>
      </c>
      <c r="P476" t="s">
        <v>43</v>
      </c>
      <c r="Q476" t="s">
        <v>139</v>
      </c>
      <c r="R476" t="s">
        <v>45</v>
      </c>
      <c r="S476" t="s">
        <v>53</v>
      </c>
      <c r="T476" t="s">
        <v>33</v>
      </c>
      <c r="U476" t="s">
        <v>104</v>
      </c>
      <c r="V476" t="str">
        <f>IF(B476&lt;=18,"Children",IF(B476&lt;=35,"Young adult",IF(B476&lt;=60,"Adult", "Senior Citizen")))</f>
        <v>Young adult</v>
      </c>
      <c r="W476" t="str">
        <f t="shared" si="49"/>
        <v>Apr</v>
      </c>
      <c r="X476">
        <f t="shared" si="50"/>
        <v>4</v>
      </c>
      <c r="Y476" t="str">
        <f t="shared" si="51"/>
        <v>Q2</v>
      </c>
      <c r="Z476">
        <f t="shared" si="52"/>
        <v>2026</v>
      </c>
      <c r="AA476" t="str">
        <f t="shared" si="53"/>
        <v>Monday</v>
      </c>
      <c r="AB476">
        <f t="shared" si="54"/>
        <v>-33</v>
      </c>
      <c r="AC476" t="str">
        <f>IF(OR(D476="Heart Disease",D476="Cancer",D476="Stroke"),"High",IF(OR(D476="Diabetes",D476="Asthma"),"Medium","Low"))</f>
        <v>Low</v>
      </c>
      <c r="AD476" t="str">
        <f t="shared" si="55"/>
        <v>No</v>
      </c>
      <c r="AE476" t="str">
        <f>IF(G476&lt;=2,"Short Stay", IF(G476&lt;=7,"Normal Stay", "Long Stay"))</f>
        <v>Long Stay</v>
      </c>
      <c r="AF476" t="str">
        <f>IF(F476&gt;60000,"Expensive",IF(F476&gt;30000,"Moderate","Affordable"))</f>
        <v>Affordable</v>
      </c>
      <c r="AG476" t="str">
        <f>IF(J476&gt;=4.5,"Excellent",IF(J476&gt;=3.5,"Good",IF(J476&gt;=2.5,"Average","Poor")))</f>
        <v>Excellent</v>
      </c>
      <c r="AH476" t="str">
        <f>IF(OR(TEXT(N476,"dddd")="Saturday",TEXT(N476,"dddd")="Sunday"),"Weekend","Weekday")</f>
        <v>Weekday</v>
      </c>
    </row>
    <row r="477" spans="1:34" x14ac:dyDescent="0.3">
      <c r="A477">
        <v>484</v>
      </c>
      <c r="B477">
        <v>70</v>
      </c>
      <c r="C477" t="s">
        <v>35</v>
      </c>
      <c r="D477" t="s">
        <v>54</v>
      </c>
      <c r="E477" t="s">
        <v>55</v>
      </c>
      <c r="F477">
        <v>10000</v>
      </c>
      <c r="G477">
        <v>40</v>
      </c>
      <c r="H477" t="s">
        <v>38</v>
      </c>
      <c r="I477" t="s">
        <v>39</v>
      </c>
      <c r="J477">
        <v>2</v>
      </c>
      <c r="K477" t="s">
        <v>329</v>
      </c>
      <c r="L477" t="s">
        <v>1077</v>
      </c>
      <c r="M477" t="s">
        <v>1078</v>
      </c>
      <c r="N477" s="2">
        <v>46133</v>
      </c>
      <c r="O477" s="2">
        <v>46173</v>
      </c>
      <c r="P477" t="s">
        <v>29</v>
      </c>
      <c r="Q477" t="s">
        <v>52</v>
      </c>
      <c r="R477" t="s">
        <v>59</v>
      </c>
      <c r="S477" t="s">
        <v>72</v>
      </c>
      <c r="T477" t="s">
        <v>33</v>
      </c>
      <c r="U477" t="s">
        <v>46</v>
      </c>
      <c r="V477" t="str">
        <f>IF(B477&lt;=18,"Children",IF(B477&lt;=35,"Young adult",IF(B477&lt;=60,"Adult", "Senior Citizen")))</f>
        <v>Senior Citizen</v>
      </c>
      <c r="W477" t="str">
        <f t="shared" si="49"/>
        <v>Apr</v>
      </c>
      <c r="X477">
        <f t="shared" si="50"/>
        <v>4</v>
      </c>
      <c r="Y477" t="str">
        <f t="shared" si="51"/>
        <v>Q2</v>
      </c>
      <c r="Z477">
        <f t="shared" si="52"/>
        <v>2026</v>
      </c>
      <c r="AA477" t="str">
        <f t="shared" si="53"/>
        <v>Tuesday</v>
      </c>
      <c r="AB477">
        <f t="shared" si="54"/>
        <v>-40</v>
      </c>
      <c r="AC477" t="str">
        <f>IF(OR(D477="Heart Disease",D477="Cancer",D477="Stroke"),"High",IF(OR(D477="Diabetes",D477="Asthma"),"Medium","Low"))</f>
        <v>High</v>
      </c>
      <c r="AD477" t="str">
        <f t="shared" si="55"/>
        <v>Yes</v>
      </c>
      <c r="AE477" t="str">
        <f>IF(G477&lt;=2,"Short Stay", IF(G477&lt;=7,"Normal Stay", "Long Stay"))</f>
        <v>Long Stay</v>
      </c>
      <c r="AF477" t="str">
        <f>IF(F477&gt;60000,"Expensive",IF(F477&gt;30000,"Moderate","Affordable"))</f>
        <v>Affordable</v>
      </c>
      <c r="AG477" t="str">
        <f>IF(J477&gt;=4.5,"Excellent",IF(J477&gt;=3.5,"Good",IF(J477&gt;=2.5,"Average","Poor")))</f>
        <v>Poor</v>
      </c>
      <c r="AH477" t="str">
        <f>IF(OR(TEXT(N477,"dddd")="Saturday",TEXT(N477,"dddd")="Sunday"),"Weekend","Weekday")</f>
        <v>Weekday</v>
      </c>
    </row>
    <row r="478" spans="1:34" x14ac:dyDescent="0.3">
      <c r="A478">
        <v>485</v>
      </c>
      <c r="B478">
        <v>55</v>
      </c>
      <c r="C478" t="s">
        <v>21</v>
      </c>
      <c r="D478" t="s">
        <v>60</v>
      </c>
      <c r="E478" t="s">
        <v>61</v>
      </c>
      <c r="F478">
        <v>25000</v>
      </c>
      <c r="G478">
        <v>42</v>
      </c>
      <c r="H478" t="s">
        <v>24</v>
      </c>
      <c r="I478" t="s">
        <v>25</v>
      </c>
      <c r="J478">
        <v>4</v>
      </c>
      <c r="K478" t="s">
        <v>380</v>
      </c>
      <c r="L478" t="s">
        <v>1079</v>
      </c>
      <c r="M478" t="s">
        <v>1080</v>
      </c>
      <c r="N478" s="2">
        <v>46134</v>
      </c>
      <c r="O478" s="2">
        <v>46176</v>
      </c>
      <c r="P478" t="s">
        <v>29</v>
      </c>
      <c r="Q478" t="s">
        <v>44</v>
      </c>
      <c r="R478" t="s">
        <v>65</v>
      </c>
      <c r="S478" t="s">
        <v>72</v>
      </c>
      <c r="T478" t="s">
        <v>33</v>
      </c>
      <c r="U478" t="s">
        <v>34</v>
      </c>
      <c r="V478" t="str">
        <f>IF(B478&lt;=18,"Children",IF(B478&lt;=35,"Young adult",IF(B478&lt;=60,"Adult", "Senior Citizen")))</f>
        <v>Adult</v>
      </c>
      <c r="W478" t="str">
        <f t="shared" si="49"/>
        <v>Apr</v>
      </c>
      <c r="X478">
        <f t="shared" si="50"/>
        <v>4</v>
      </c>
      <c r="Y478" t="str">
        <f t="shared" si="51"/>
        <v>Q2</v>
      </c>
      <c r="Z478">
        <f t="shared" si="52"/>
        <v>2026</v>
      </c>
      <c r="AA478" t="str">
        <f t="shared" si="53"/>
        <v>Wednesday</v>
      </c>
      <c r="AB478">
        <f t="shared" si="54"/>
        <v>-42</v>
      </c>
      <c r="AC478" t="str">
        <f>IF(OR(D478="Heart Disease",D478="Cancer",D478="Stroke"),"High",IF(OR(D478="Diabetes",D478="Asthma"),"Medium","Low"))</f>
        <v>High</v>
      </c>
      <c r="AD478" t="str">
        <f t="shared" si="55"/>
        <v>Yes</v>
      </c>
      <c r="AE478" t="str">
        <f>IF(G478&lt;=2,"Short Stay", IF(G478&lt;=7,"Normal Stay", "Long Stay"))</f>
        <v>Long Stay</v>
      </c>
      <c r="AF478" t="str">
        <f>IF(F478&gt;60000,"Expensive",IF(F478&gt;30000,"Moderate","Affordable"))</f>
        <v>Affordable</v>
      </c>
      <c r="AG478" t="str">
        <f>IF(J478&gt;=4.5,"Excellent",IF(J478&gt;=3.5,"Good",IF(J478&gt;=2.5,"Average","Poor")))</f>
        <v>Good</v>
      </c>
      <c r="AH478" t="str">
        <f>IF(OR(TEXT(N478,"dddd")="Saturday",TEXT(N478,"dddd")="Sunday"),"Weekend","Weekday")</f>
        <v>Weekday</v>
      </c>
    </row>
    <row r="479" spans="1:34" x14ac:dyDescent="0.3">
      <c r="A479">
        <v>486</v>
      </c>
      <c r="B479">
        <v>68</v>
      </c>
      <c r="C479" t="s">
        <v>35</v>
      </c>
      <c r="D479" t="s">
        <v>66</v>
      </c>
      <c r="E479" t="s">
        <v>67</v>
      </c>
      <c r="F479">
        <v>1000</v>
      </c>
      <c r="G479">
        <v>34</v>
      </c>
      <c r="H479" t="s">
        <v>24</v>
      </c>
      <c r="I479" t="s">
        <v>39</v>
      </c>
      <c r="J479">
        <v>4</v>
      </c>
      <c r="K479" t="s">
        <v>380</v>
      </c>
      <c r="L479" t="s">
        <v>1081</v>
      </c>
      <c r="M479" t="s">
        <v>1082</v>
      </c>
      <c r="N479" s="2">
        <v>46135</v>
      </c>
      <c r="O479" s="2">
        <v>46169</v>
      </c>
      <c r="P479" t="s">
        <v>29</v>
      </c>
      <c r="Q479" t="s">
        <v>139</v>
      </c>
      <c r="R479" t="s">
        <v>45</v>
      </c>
      <c r="S479" t="s">
        <v>32</v>
      </c>
      <c r="T479" t="s">
        <v>33</v>
      </c>
      <c r="U479" t="s">
        <v>104</v>
      </c>
      <c r="V479" t="str">
        <f>IF(B479&lt;=18,"Children",IF(B479&lt;=35,"Young adult",IF(B479&lt;=60,"Adult", "Senior Citizen")))</f>
        <v>Senior Citizen</v>
      </c>
      <c r="W479" t="str">
        <f t="shared" si="49"/>
        <v>Apr</v>
      </c>
      <c r="X479">
        <f t="shared" si="50"/>
        <v>4</v>
      </c>
      <c r="Y479" t="str">
        <f t="shared" si="51"/>
        <v>Q2</v>
      </c>
      <c r="Z479">
        <f t="shared" si="52"/>
        <v>2026</v>
      </c>
      <c r="AA479" t="str">
        <f t="shared" si="53"/>
        <v>Thursday</v>
      </c>
      <c r="AB479">
        <f t="shared" si="54"/>
        <v>-34</v>
      </c>
      <c r="AC479" t="str">
        <f>IF(OR(D479="Heart Disease",D479="Cancer",D479="Stroke"),"High",IF(OR(D479="Diabetes",D479="Asthma"),"Medium","Low"))</f>
        <v>Low</v>
      </c>
      <c r="AD479" t="str">
        <f t="shared" si="55"/>
        <v>No</v>
      </c>
      <c r="AE479" t="str">
        <f>IF(G479&lt;=2,"Short Stay", IF(G479&lt;=7,"Normal Stay", "Long Stay"))</f>
        <v>Long Stay</v>
      </c>
      <c r="AF479" t="str">
        <f>IF(F479&gt;60000,"Expensive",IF(F479&gt;30000,"Moderate","Affordable"))</f>
        <v>Affordable</v>
      </c>
      <c r="AG479" t="str">
        <f>IF(J479&gt;=4.5,"Excellent",IF(J479&gt;=3.5,"Good",IF(J479&gt;=2.5,"Average","Poor")))</f>
        <v>Good</v>
      </c>
      <c r="AH479" t="str">
        <f>IF(OR(TEXT(N479,"dddd")="Saturday",TEXT(N479,"dddd")="Sunday"),"Weekend","Weekday")</f>
        <v>Weekday</v>
      </c>
    </row>
    <row r="480" spans="1:34" x14ac:dyDescent="0.3">
      <c r="A480">
        <v>487</v>
      </c>
      <c r="B480">
        <v>45</v>
      </c>
      <c r="C480" t="s">
        <v>21</v>
      </c>
      <c r="D480" t="s">
        <v>73</v>
      </c>
      <c r="E480" t="s">
        <v>74</v>
      </c>
      <c r="F480">
        <v>8000</v>
      </c>
      <c r="G480">
        <v>36</v>
      </c>
      <c r="H480" t="s">
        <v>24</v>
      </c>
      <c r="I480" t="s">
        <v>25</v>
      </c>
      <c r="J480">
        <v>3</v>
      </c>
      <c r="K480" t="s">
        <v>160</v>
      </c>
      <c r="L480" t="s">
        <v>1083</v>
      </c>
      <c r="M480" t="s">
        <v>1084</v>
      </c>
      <c r="N480" s="2">
        <v>46136</v>
      </c>
      <c r="O480" s="2">
        <v>46172</v>
      </c>
      <c r="P480" t="s">
        <v>29</v>
      </c>
      <c r="Q480" t="s">
        <v>44</v>
      </c>
      <c r="R480" t="s">
        <v>45</v>
      </c>
      <c r="S480" t="s">
        <v>110</v>
      </c>
      <c r="T480" t="s">
        <v>33</v>
      </c>
      <c r="U480" t="s">
        <v>104</v>
      </c>
      <c r="V480" t="str">
        <f>IF(B480&lt;=18,"Children",IF(B480&lt;=35,"Young adult",IF(B480&lt;=60,"Adult", "Senior Citizen")))</f>
        <v>Adult</v>
      </c>
      <c r="W480" t="str">
        <f t="shared" si="49"/>
        <v>Apr</v>
      </c>
      <c r="X480">
        <f t="shared" si="50"/>
        <v>4</v>
      </c>
      <c r="Y480" t="str">
        <f t="shared" si="51"/>
        <v>Q2</v>
      </c>
      <c r="Z480">
        <f t="shared" si="52"/>
        <v>2026</v>
      </c>
      <c r="AA480" t="str">
        <f t="shared" si="53"/>
        <v>Friday</v>
      </c>
      <c r="AB480">
        <f t="shared" si="54"/>
        <v>-36</v>
      </c>
      <c r="AC480" t="str">
        <f>IF(OR(D480="Heart Disease",D480="Cancer",D480="Stroke"),"High",IF(OR(D480="Diabetes",D480="Asthma"),"Medium","Low"))</f>
        <v>Low</v>
      </c>
      <c r="AD480" t="str">
        <f t="shared" si="55"/>
        <v>No</v>
      </c>
      <c r="AE480" t="str">
        <f>IF(G480&lt;=2,"Short Stay", IF(G480&lt;=7,"Normal Stay", "Long Stay"))</f>
        <v>Long Stay</v>
      </c>
      <c r="AF480" t="str">
        <f>IF(F480&gt;60000,"Expensive",IF(F480&gt;30000,"Moderate","Affordable"))</f>
        <v>Affordable</v>
      </c>
      <c r="AG480" t="str">
        <f>IF(J480&gt;=4.5,"Excellent",IF(J480&gt;=3.5,"Good",IF(J480&gt;=2.5,"Average","Poor")))</f>
        <v>Average</v>
      </c>
      <c r="AH480" t="str">
        <f>IF(OR(TEXT(N480,"dddd")="Saturday",TEXT(N480,"dddd")="Sunday"),"Weekend","Weekday")</f>
        <v>Weekday</v>
      </c>
    </row>
    <row r="481" spans="1:34" x14ac:dyDescent="0.3">
      <c r="A481">
        <v>488</v>
      </c>
      <c r="B481">
        <v>40</v>
      </c>
      <c r="C481" t="s">
        <v>35</v>
      </c>
      <c r="D481" t="s">
        <v>79</v>
      </c>
      <c r="E481" t="s">
        <v>80</v>
      </c>
      <c r="F481">
        <v>3000</v>
      </c>
      <c r="G481">
        <v>38</v>
      </c>
      <c r="H481" t="s">
        <v>24</v>
      </c>
      <c r="I481" t="s">
        <v>25</v>
      </c>
      <c r="J481">
        <v>4</v>
      </c>
      <c r="K481" t="s">
        <v>154</v>
      </c>
      <c r="L481" t="s">
        <v>1085</v>
      </c>
      <c r="M481" t="s">
        <v>1086</v>
      </c>
      <c r="N481" s="2">
        <v>46137</v>
      </c>
      <c r="O481" s="2">
        <v>46175</v>
      </c>
      <c r="P481" t="s">
        <v>29</v>
      </c>
      <c r="Q481" t="s">
        <v>30</v>
      </c>
      <c r="R481" t="s">
        <v>45</v>
      </c>
      <c r="S481" t="s">
        <v>77</v>
      </c>
      <c r="T481" t="s">
        <v>33</v>
      </c>
      <c r="U481" t="s">
        <v>78</v>
      </c>
      <c r="V481" t="str">
        <f>IF(B481&lt;=18,"Children",IF(B481&lt;=35,"Young adult",IF(B481&lt;=60,"Adult", "Senior Citizen")))</f>
        <v>Adult</v>
      </c>
      <c r="W481" t="str">
        <f t="shared" si="49"/>
        <v>Apr</v>
      </c>
      <c r="X481">
        <f t="shared" si="50"/>
        <v>4</v>
      </c>
      <c r="Y481" t="str">
        <f t="shared" si="51"/>
        <v>Q2</v>
      </c>
      <c r="Z481">
        <f t="shared" si="52"/>
        <v>2026</v>
      </c>
      <c r="AA481" t="str">
        <f t="shared" si="53"/>
        <v>Saturday</v>
      </c>
      <c r="AB481">
        <f t="shared" si="54"/>
        <v>-38</v>
      </c>
      <c r="AC481" t="str">
        <f>IF(OR(D481="Heart Disease",D481="Cancer",D481="Stroke"),"High",IF(OR(D481="Diabetes",D481="Asthma"),"Medium","Low"))</f>
        <v>Low</v>
      </c>
      <c r="AD481" t="str">
        <f t="shared" si="55"/>
        <v>No</v>
      </c>
      <c r="AE481" t="str">
        <f>IF(G481&lt;=2,"Short Stay", IF(G481&lt;=7,"Normal Stay", "Long Stay"))</f>
        <v>Long Stay</v>
      </c>
      <c r="AF481" t="str">
        <f>IF(F481&gt;60000,"Expensive",IF(F481&gt;30000,"Moderate","Affordable"))</f>
        <v>Affordable</v>
      </c>
      <c r="AG481" t="str">
        <f>IF(J481&gt;=4.5,"Excellent",IF(J481&gt;=3.5,"Good",IF(J481&gt;=2.5,"Average","Poor")))</f>
        <v>Good</v>
      </c>
      <c r="AH481" t="str">
        <f>IF(OR(TEXT(N481,"dddd")="Saturday",TEXT(N481,"dddd")="Sunday"),"Weekend","Weekday")</f>
        <v>Weekend</v>
      </c>
    </row>
    <row r="482" spans="1:34" x14ac:dyDescent="0.3">
      <c r="A482">
        <v>489</v>
      </c>
      <c r="B482">
        <v>78</v>
      </c>
      <c r="C482" t="s">
        <v>21</v>
      </c>
      <c r="D482" t="s">
        <v>85</v>
      </c>
      <c r="E482" t="s">
        <v>86</v>
      </c>
      <c r="F482">
        <v>18000</v>
      </c>
      <c r="G482">
        <v>40</v>
      </c>
      <c r="H482" t="s">
        <v>38</v>
      </c>
      <c r="I482" t="s">
        <v>39</v>
      </c>
      <c r="J482">
        <v>2</v>
      </c>
      <c r="K482" t="s">
        <v>178</v>
      </c>
      <c r="L482" t="s">
        <v>1087</v>
      </c>
      <c r="M482" t="s">
        <v>1088</v>
      </c>
      <c r="N482" s="2">
        <v>46138</v>
      </c>
      <c r="O482" s="2">
        <v>46178</v>
      </c>
      <c r="P482" t="s">
        <v>29</v>
      </c>
      <c r="Q482" t="s">
        <v>139</v>
      </c>
      <c r="R482" t="s">
        <v>45</v>
      </c>
      <c r="S482" t="s">
        <v>110</v>
      </c>
      <c r="T482" t="s">
        <v>33</v>
      </c>
      <c r="U482" t="s">
        <v>78</v>
      </c>
      <c r="V482" t="str">
        <f>IF(B482&lt;=18,"Children",IF(B482&lt;=35,"Young adult",IF(B482&lt;=60,"Adult", "Senior Citizen")))</f>
        <v>Senior Citizen</v>
      </c>
      <c r="W482" t="str">
        <f t="shared" si="49"/>
        <v>Apr</v>
      </c>
      <c r="X482">
        <f t="shared" si="50"/>
        <v>4</v>
      </c>
      <c r="Y482" t="str">
        <f t="shared" si="51"/>
        <v>Q2</v>
      </c>
      <c r="Z482">
        <f t="shared" si="52"/>
        <v>2026</v>
      </c>
      <c r="AA482" t="str">
        <f t="shared" si="53"/>
        <v>Sunday</v>
      </c>
      <c r="AB482">
        <f t="shared" si="54"/>
        <v>-40</v>
      </c>
      <c r="AC482" t="str">
        <f>IF(OR(D482="Heart Disease",D482="Cancer",D482="Stroke"),"High",IF(OR(D482="Diabetes",D482="Asthma"),"Medium","Low"))</f>
        <v>Low</v>
      </c>
      <c r="AD482" t="str">
        <f t="shared" si="55"/>
        <v>No</v>
      </c>
      <c r="AE482" t="str">
        <f>IF(G482&lt;=2,"Short Stay", IF(G482&lt;=7,"Normal Stay", "Long Stay"))</f>
        <v>Long Stay</v>
      </c>
      <c r="AF482" t="str">
        <f>IF(F482&gt;60000,"Expensive",IF(F482&gt;30000,"Moderate","Affordable"))</f>
        <v>Affordable</v>
      </c>
      <c r="AG482" t="str">
        <f>IF(J482&gt;=4.5,"Excellent",IF(J482&gt;=3.5,"Good",IF(J482&gt;=2.5,"Average","Poor")))</f>
        <v>Poor</v>
      </c>
      <c r="AH482" t="str">
        <f>IF(OR(TEXT(N482,"dddd")="Saturday",TEXT(N482,"dddd")="Sunday"),"Weekend","Weekday")</f>
        <v>Weekend</v>
      </c>
    </row>
    <row r="483" spans="1:34" x14ac:dyDescent="0.3">
      <c r="A483">
        <v>490</v>
      </c>
      <c r="B483">
        <v>25</v>
      </c>
      <c r="C483" t="s">
        <v>35</v>
      </c>
      <c r="D483" t="s">
        <v>89</v>
      </c>
      <c r="E483" t="s">
        <v>90</v>
      </c>
      <c r="F483">
        <v>100</v>
      </c>
      <c r="G483">
        <v>33</v>
      </c>
      <c r="H483" t="s">
        <v>24</v>
      </c>
      <c r="I483" t="s">
        <v>25</v>
      </c>
      <c r="J483">
        <v>5</v>
      </c>
      <c r="K483" t="s">
        <v>317</v>
      </c>
      <c r="L483" t="s">
        <v>1089</v>
      </c>
      <c r="M483" t="s">
        <v>1090</v>
      </c>
      <c r="N483" s="2">
        <v>46139</v>
      </c>
      <c r="O483" s="2">
        <v>46172</v>
      </c>
      <c r="P483" t="s">
        <v>29</v>
      </c>
      <c r="Q483" t="s">
        <v>139</v>
      </c>
      <c r="R483" t="s">
        <v>45</v>
      </c>
      <c r="S483" t="s">
        <v>84</v>
      </c>
      <c r="T483" t="s">
        <v>33</v>
      </c>
      <c r="U483" t="s">
        <v>104</v>
      </c>
      <c r="V483" t="str">
        <f>IF(B483&lt;=18,"Children",IF(B483&lt;=35,"Young adult",IF(B483&lt;=60,"Adult", "Senior Citizen")))</f>
        <v>Young adult</v>
      </c>
      <c r="W483" t="str">
        <f t="shared" si="49"/>
        <v>Apr</v>
      </c>
      <c r="X483">
        <f t="shared" si="50"/>
        <v>4</v>
      </c>
      <c r="Y483" t="str">
        <f t="shared" si="51"/>
        <v>Q2</v>
      </c>
      <c r="Z483">
        <f t="shared" si="52"/>
        <v>2026</v>
      </c>
      <c r="AA483" t="str">
        <f t="shared" si="53"/>
        <v>Monday</v>
      </c>
      <c r="AB483">
        <f t="shared" si="54"/>
        <v>-33</v>
      </c>
      <c r="AC483" t="str">
        <f>IF(OR(D483="Heart Disease",D483="Cancer",D483="Stroke"),"High",IF(OR(D483="Diabetes",D483="Asthma"),"Medium","Low"))</f>
        <v>Low</v>
      </c>
      <c r="AD483" t="str">
        <f t="shared" si="55"/>
        <v>No</v>
      </c>
      <c r="AE483" t="str">
        <f>IF(G483&lt;=2,"Short Stay", IF(G483&lt;=7,"Normal Stay", "Long Stay"))</f>
        <v>Long Stay</v>
      </c>
      <c r="AF483" t="str">
        <f>IF(F483&gt;60000,"Expensive",IF(F483&gt;30000,"Moderate","Affordable"))</f>
        <v>Affordable</v>
      </c>
      <c r="AG483" t="str">
        <f>IF(J483&gt;=4.5,"Excellent",IF(J483&gt;=3.5,"Good",IF(J483&gt;=2.5,"Average","Poor")))</f>
        <v>Excellent</v>
      </c>
      <c r="AH483" t="str">
        <f>IF(OR(TEXT(N483,"dddd")="Saturday",TEXT(N483,"dddd")="Sunday"),"Weekend","Weekday")</f>
        <v>Weekday</v>
      </c>
    </row>
    <row r="484" spans="1:34" x14ac:dyDescent="0.3">
      <c r="A484">
        <v>491</v>
      </c>
      <c r="B484">
        <v>52</v>
      </c>
      <c r="C484" t="s">
        <v>21</v>
      </c>
      <c r="D484" t="s">
        <v>94</v>
      </c>
      <c r="E484" t="s">
        <v>95</v>
      </c>
      <c r="F484">
        <v>800</v>
      </c>
      <c r="G484">
        <v>34</v>
      </c>
      <c r="H484" t="s">
        <v>24</v>
      </c>
      <c r="I484" t="s">
        <v>39</v>
      </c>
      <c r="J484">
        <v>4</v>
      </c>
      <c r="K484" t="s">
        <v>482</v>
      </c>
      <c r="L484" t="s">
        <v>1091</v>
      </c>
      <c r="M484" t="s">
        <v>1092</v>
      </c>
      <c r="N484" s="2">
        <v>46140</v>
      </c>
      <c r="O484" s="2">
        <v>46174</v>
      </c>
      <c r="P484" t="s">
        <v>43</v>
      </c>
      <c r="Q484" t="s">
        <v>139</v>
      </c>
      <c r="R484" t="s">
        <v>45</v>
      </c>
      <c r="S484" t="s">
        <v>77</v>
      </c>
      <c r="T484" t="s">
        <v>33</v>
      </c>
      <c r="U484" t="s">
        <v>104</v>
      </c>
      <c r="V484" t="str">
        <f>IF(B484&lt;=18,"Children",IF(B484&lt;=35,"Young adult",IF(B484&lt;=60,"Adult", "Senior Citizen")))</f>
        <v>Adult</v>
      </c>
      <c r="W484" t="str">
        <f t="shared" si="49"/>
        <v>Apr</v>
      </c>
      <c r="X484">
        <f t="shared" si="50"/>
        <v>4</v>
      </c>
      <c r="Y484" t="str">
        <f t="shared" si="51"/>
        <v>Q2</v>
      </c>
      <c r="Z484">
        <f t="shared" si="52"/>
        <v>2026</v>
      </c>
      <c r="AA484" t="str">
        <f t="shared" si="53"/>
        <v>Tuesday</v>
      </c>
      <c r="AB484">
        <f t="shared" si="54"/>
        <v>-34</v>
      </c>
      <c r="AC484" t="str">
        <f>IF(OR(D484="Heart Disease",D484="Cancer",D484="Stroke"),"High",IF(OR(D484="Diabetes",D484="Asthma"),"Medium","Low"))</f>
        <v>Low</v>
      </c>
      <c r="AD484" t="str">
        <f t="shared" si="55"/>
        <v>No</v>
      </c>
      <c r="AE484" t="str">
        <f>IF(G484&lt;=2,"Short Stay", IF(G484&lt;=7,"Normal Stay", "Long Stay"))</f>
        <v>Long Stay</v>
      </c>
      <c r="AF484" t="str">
        <f>IF(F484&gt;60000,"Expensive",IF(F484&gt;30000,"Moderate","Affordable"))</f>
        <v>Affordable</v>
      </c>
      <c r="AG484" t="str">
        <f>IF(J484&gt;=4.5,"Excellent",IF(J484&gt;=3.5,"Good",IF(J484&gt;=2.5,"Average","Poor")))</f>
        <v>Good</v>
      </c>
      <c r="AH484" t="str">
        <f>IF(OR(TEXT(N484,"dddd")="Saturday",TEXT(N484,"dddd")="Sunday"),"Weekend","Weekday")</f>
        <v>Weekday</v>
      </c>
    </row>
    <row r="485" spans="1:34" x14ac:dyDescent="0.3">
      <c r="A485">
        <v>492</v>
      </c>
      <c r="B485">
        <v>58</v>
      </c>
      <c r="C485" t="s">
        <v>35</v>
      </c>
      <c r="D485" t="s">
        <v>99</v>
      </c>
      <c r="E485" t="s">
        <v>100</v>
      </c>
      <c r="F485">
        <v>20000</v>
      </c>
      <c r="G485">
        <v>41</v>
      </c>
      <c r="H485" t="s">
        <v>24</v>
      </c>
      <c r="I485" t="s">
        <v>25</v>
      </c>
      <c r="J485">
        <v>3</v>
      </c>
      <c r="K485" t="s">
        <v>223</v>
      </c>
      <c r="L485" t="s">
        <v>1093</v>
      </c>
      <c r="M485" t="s">
        <v>1094</v>
      </c>
      <c r="N485" s="2">
        <v>46141</v>
      </c>
      <c r="O485" s="2">
        <v>46182</v>
      </c>
      <c r="P485" t="s">
        <v>29</v>
      </c>
      <c r="Q485" t="s">
        <v>71</v>
      </c>
      <c r="R485" t="s">
        <v>45</v>
      </c>
      <c r="S485" t="s">
        <v>72</v>
      </c>
      <c r="T485" t="s">
        <v>33</v>
      </c>
      <c r="U485" t="s">
        <v>46</v>
      </c>
      <c r="V485" t="str">
        <f>IF(B485&lt;=18,"Children",IF(B485&lt;=35,"Young adult",IF(B485&lt;=60,"Adult", "Senior Citizen")))</f>
        <v>Adult</v>
      </c>
      <c r="W485" t="str">
        <f t="shared" si="49"/>
        <v>Apr</v>
      </c>
      <c r="X485">
        <f t="shared" si="50"/>
        <v>4</v>
      </c>
      <c r="Y485" t="str">
        <f t="shared" si="51"/>
        <v>Q2</v>
      </c>
      <c r="Z485">
        <f t="shared" si="52"/>
        <v>2026</v>
      </c>
      <c r="AA485" t="str">
        <f t="shared" si="53"/>
        <v>Wednesday</v>
      </c>
      <c r="AB485">
        <f t="shared" si="54"/>
        <v>-41</v>
      </c>
      <c r="AC485" t="str">
        <f>IF(OR(D485="Heart Disease",D485="Cancer",D485="Stroke"),"High",IF(OR(D485="Diabetes",D485="Asthma"),"Medium","Low"))</f>
        <v>Low</v>
      </c>
      <c r="AD485" t="str">
        <f t="shared" si="55"/>
        <v>No</v>
      </c>
      <c r="AE485" t="str">
        <f>IF(G485&lt;=2,"Short Stay", IF(G485&lt;=7,"Normal Stay", "Long Stay"))</f>
        <v>Long Stay</v>
      </c>
      <c r="AF485" t="str">
        <f>IF(F485&gt;60000,"Expensive",IF(F485&gt;30000,"Moderate","Affordable"))</f>
        <v>Affordable</v>
      </c>
      <c r="AG485" t="str">
        <f>IF(J485&gt;=4.5,"Excellent",IF(J485&gt;=3.5,"Good",IF(J485&gt;=2.5,"Average","Poor")))</f>
        <v>Average</v>
      </c>
      <c r="AH485" t="str">
        <f>IF(OR(TEXT(N485,"dddd")="Saturday",TEXT(N485,"dddd")="Sunday"),"Weekend","Weekday")</f>
        <v>Weekday</v>
      </c>
    </row>
    <row r="486" spans="1:34" x14ac:dyDescent="0.3">
      <c r="A486">
        <v>493</v>
      </c>
      <c r="B486">
        <v>32</v>
      </c>
      <c r="C486" t="s">
        <v>21</v>
      </c>
      <c r="D486" t="s">
        <v>105</v>
      </c>
      <c r="E486" t="s">
        <v>106</v>
      </c>
      <c r="F486">
        <v>12000</v>
      </c>
      <c r="G486">
        <v>35</v>
      </c>
      <c r="H486" t="s">
        <v>24</v>
      </c>
      <c r="I486" t="s">
        <v>25</v>
      </c>
      <c r="J486">
        <v>4</v>
      </c>
      <c r="K486" t="s">
        <v>197</v>
      </c>
      <c r="L486" t="s">
        <v>1095</v>
      </c>
      <c r="M486" t="s">
        <v>1096</v>
      </c>
      <c r="N486" s="2">
        <v>46142</v>
      </c>
      <c r="O486" s="2">
        <v>46177</v>
      </c>
      <c r="P486" t="s">
        <v>29</v>
      </c>
      <c r="Q486" t="s">
        <v>139</v>
      </c>
      <c r="R486" t="s">
        <v>45</v>
      </c>
      <c r="S486" t="s">
        <v>53</v>
      </c>
      <c r="T486" t="s">
        <v>33</v>
      </c>
      <c r="U486" t="s">
        <v>78</v>
      </c>
      <c r="V486" t="str">
        <f>IF(B486&lt;=18,"Children",IF(B486&lt;=35,"Young adult",IF(B486&lt;=60,"Adult", "Senior Citizen")))</f>
        <v>Young adult</v>
      </c>
      <c r="W486" t="str">
        <f t="shared" si="49"/>
        <v>Apr</v>
      </c>
      <c r="X486">
        <f t="shared" si="50"/>
        <v>4</v>
      </c>
      <c r="Y486" t="str">
        <f t="shared" si="51"/>
        <v>Q2</v>
      </c>
      <c r="Z486">
        <f t="shared" si="52"/>
        <v>2026</v>
      </c>
      <c r="AA486" t="str">
        <f t="shared" si="53"/>
        <v>Thursday</v>
      </c>
      <c r="AB486">
        <f t="shared" si="54"/>
        <v>-35</v>
      </c>
      <c r="AC486" t="str">
        <f>IF(OR(D486="Heart Disease",D486="Cancer",D486="Stroke"),"High",IF(OR(D486="Diabetes",D486="Asthma"),"Medium","Low"))</f>
        <v>Low</v>
      </c>
      <c r="AD486" t="str">
        <f t="shared" si="55"/>
        <v>No</v>
      </c>
      <c r="AE486" t="str">
        <f>IF(G486&lt;=2,"Short Stay", IF(G486&lt;=7,"Normal Stay", "Long Stay"))</f>
        <v>Long Stay</v>
      </c>
      <c r="AF486" t="str">
        <f>IF(F486&gt;60000,"Expensive",IF(F486&gt;30000,"Moderate","Affordable"))</f>
        <v>Affordable</v>
      </c>
      <c r="AG486" t="str">
        <f>IF(J486&gt;=4.5,"Excellent",IF(J486&gt;=3.5,"Good",IF(J486&gt;=2.5,"Average","Poor")))</f>
        <v>Good</v>
      </c>
      <c r="AH486" t="str">
        <f>IF(OR(TEXT(N486,"dddd")="Saturday",TEXT(N486,"dddd")="Sunday"),"Weekend","Weekday")</f>
        <v>Weekday</v>
      </c>
    </row>
    <row r="487" spans="1:34" x14ac:dyDescent="0.3">
      <c r="A487">
        <v>494</v>
      </c>
      <c r="B487">
        <v>55</v>
      </c>
      <c r="C487" t="s">
        <v>35</v>
      </c>
      <c r="D487" t="s">
        <v>111</v>
      </c>
      <c r="E487" t="s">
        <v>112</v>
      </c>
      <c r="F487">
        <v>6000</v>
      </c>
      <c r="G487">
        <v>36</v>
      </c>
      <c r="H487" t="s">
        <v>24</v>
      </c>
      <c r="I487" t="s">
        <v>25</v>
      </c>
      <c r="J487">
        <v>3</v>
      </c>
      <c r="K487" t="s">
        <v>187</v>
      </c>
      <c r="L487" t="s">
        <v>1097</v>
      </c>
      <c r="M487" t="s">
        <v>1098</v>
      </c>
      <c r="N487" s="2">
        <v>46143</v>
      </c>
      <c r="O487" s="2">
        <v>46179</v>
      </c>
      <c r="P487" t="s">
        <v>43</v>
      </c>
      <c r="Q487" t="s">
        <v>52</v>
      </c>
      <c r="R487" t="s">
        <v>45</v>
      </c>
      <c r="S487" t="s">
        <v>77</v>
      </c>
      <c r="T487" t="s">
        <v>33</v>
      </c>
      <c r="U487" t="s">
        <v>78</v>
      </c>
      <c r="V487" t="str">
        <f>IF(B487&lt;=18,"Children",IF(B487&lt;=35,"Young adult",IF(B487&lt;=60,"Adult", "Senior Citizen")))</f>
        <v>Adult</v>
      </c>
      <c r="W487" t="str">
        <f t="shared" si="49"/>
        <v>May</v>
      </c>
      <c r="X487">
        <f t="shared" si="50"/>
        <v>5</v>
      </c>
      <c r="Y487" t="str">
        <f t="shared" si="51"/>
        <v>Q2</v>
      </c>
      <c r="Z487">
        <f t="shared" si="52"/>
        <v>2026</v>
      </c>
      <c r="AA487" t="str">
        <f t="shared" si="53"/>
        <v>Friday</v>
      </c>
      <c r="AB487">
        <f t="shared" si="54"/>
        <v>-36</v>
      </c>
      <c r="AC487" t="str">
        <f>IF(OR(D487="Heart Disease",D487="Cancer",D487="Stroke"),"High",IF(OR(D487="Diabetes",D487="Asthma"),"Medium","Low"))</f>
        <v>Low</v>
      </c>
      <c r="AD487" t="str">
        <f t="shared" si="55"/>
        <v>No</v>
      </c>
      <c r="AE487" t="str">
        <f>IF(G487&lt;=2,"Short Stay", IF(G487&lt;=7,"Normal Stay", "Long Stay"))</f>
        <v>Long Stay</v>
      </c>
      <c r="AF487" t="str">
        <f>IF(F487&gt;60000,"Expensive",IF(F487&gt;30000,"Moderate","Affordable"))</f>
        <v>Affordable</v>
      </c>
      <c r="AG487" t="str">
        <f>IF(J487&gt;=4.5,"Excellent",IF(J487&gt;=3.5,"Good",IF(J487&gt;=2.5,"Average","Poor")))</f>
        <v>Average</v>
      </c>
      <c r="AH487" t="str">
        <f>IF(OR(TEXT(N487,"dddd")="Saturday",TEXT(N487,"dddd")="Sunday"),"Weekend","Weekday")</f>
        <v>Weekday</v>
      </c>
    </row>
    <row r="488" spans="1:34" x14ac:dyDescent="0.3">
      <c r="A488">
        <v>495</v>
      </c>
      <c r="B488">
        <v>65</v>
      </c>
      <c r="C488" t="s">
        <v>21</v>
      </c>
      <c r="D488" t="s">
        <v>116</v>
      </c>
      <c r="E488" t="s">
        <v>117</v>
      </c>
      <c r="F488">
        <v>4000</v>
      </c>
      <c r="G488">
        <v>37</v>
      </c>
      <c r="H488" t="s">
        <v>24</v>
      </c>
      <c r="I488" t="s">
        <v>39</v>
      </c>
      <c r="J488">
        <v>4</v>
      </c>
      <c r="K488" t="s">
        <v>242</v>
      </c>
      <c r="L488" t="s">
        <v>1099</v>
      </c>
      <c r="M488" t="s">
        <v>1100</v>
      </c>
      <c r="N488" s="2">
        <v>46144</v>
      </c>
      <c r="O488" s="2">
        <v>46181</v>
      </c>
      <c r="P488" t="s">
        <v>43</v>
      </c>
      <c r="Q488" t="s">
        <v>71</v>
      </c>
      <c r="R488" t="s">
        <v>45</v>
      </c>
      <c r="S488" t="s">
        <v>32</v>
      </c>
      <c r="T488" t="s">
        <v>33</v>
      </c>
      <c r="U488" t="s">
        <v>104</v>
      </c>
      <c r="V488" t="str">
        <f>IF(B488&lt;=18,"Children",IF(B488&lt;=35,"Young adult",IF(B488&lt;=60,"Adult", "Senior Citizen")))</f>
        <v>Senior Citizen</v>
      </c>
      <c r="W488" t="str">
        <f t="shared" si="49"/>
        <v>May</v>
      </c>
      <c r="X488">
        <f t="shared" si="50"/>
        <v>5</v>
      </c>
      <c r="Y488" t="str">
        <f t="shared" si="51"/>
        <v>Q2</v>
      </c>
      <c r="Z488">
        <f t="shared" si="52"/>
        <v>2026</v>
      </c>
      <c r="AA488" t="str">
        <f t="shared" si="53"/>
        <v>Saturday</v>
      </c>
      <c r="AB488">
        <f t="shared" si="54"/>
        <v>-37</v>
      </c>
      <c r="AC488" t="str">
        <f>IF(OR(D488="Heart Disease",D488="Cancer",D488="Stroke"),"High",IF(OR(D488="Diabetes",D488="Asthma"),"Medium","Low"))</f>
        <v>Low</v>
      </c>
      <c r="AD488" t="str">
        <f t="shared" si="55"/>
        <v>No</v>
      </c>
      <c r="AE488" t="str">
        <f>IF(G488&lt;=2,"Short Stay", IF(G488&lt;=7,"Normal Stay", "Long Stay"))</f>
        <v>Long Stay</v>
      </c>
      <c r="AF488" t="str">
        <f>IF(F488&gt;60000,"Expensive",IF(F488&gt;30000,"Moderate","Affordable"))</f>
        <v>Affordable</v>
      </c>
      <c r="AG488" t="str">
        <f>IF(J488&gt;=4.5,"Excellent",IF(J488&gt;=3.5,"Good",IF(J488&gt;=2.5,"Average","Poor")))</f>
        <v>Good</v>
      </c>
      <c r="AH488" t="str">
        <f>IF(OR(TEXT(N488,"dddd")="Saturday",TEXT(N488,"dddd")="Sunday"),"Weekend","Weekday")</f>
        <v>Weekend</v>
      </c>
    </row>
    <row r="489" spans="1:34" x14ac:dyDescent="0.3">
      <c r="A489">
        <v>496</v>
      </c>
      <c r="B489">
        <v>55</v>
      </c>
      <c r="C489" t="s">
        <v>21</v>
      </c>
      <c r="D489" t="s">
        <v>22</v>
      </c>
      <c r="E489" t="s">
        <v>23</v>
      </c>
      <c r="F489">
        <v>15000</v>
      </c>
      <c r="G489">
        <v>38</v>
      </c>
      <c r="H489" t="s">
        <v>38</v>
      </c>
      <c r="I489" t="s">
        <v>25</v>
      </c>
      <c r="J489">
        <v>3</v>
      </c>
      <c r="K489" t="s">
        <v>380</v>
      </c>
      <c r="L489" t="s">
        <v>1101</v>
      </c>
      <c r="M489" t="s">
        <v>1102</v>
      </c>
      <c r="N489" s="2">
        <v>46145</v>
      </c>
      <c r="O489" s="2">
        <v>46183</v>
      </c>
      <c r="P489" t="s">
        <v>29</v>
      </c>
      <c r="Q489" t="s">
        <v>30</v>
      </c>
      <c r="R489" t="s">
        <v>31</v>
      </c>
      <c r="S489" t="s">
        <v>110</v>
      </c>
      <c r="T489" t="s">
        <v>33</v>
      </c>
      <c r="U489" t="s">
        <v>34</v>
      </c>
      <c r="V489" t="str">
        <f>IF(B489&lt;=18,"Children",IF(B489&lt;=35,"Young adult",IF(B489&lt;=60,"Adult", "Senior Citizen")))</f>
        <v>Adult</v>
      </c>
      <c r="W489" t="str">
        <f t="shared" si="49"/>
        <v>May</v>
      </c>
      <c r="X489">
        <f t="shared" si="50"/>
        <v>5</v>
      </c>
      <c r="Y489" t="str">
        <f t="shared" si="51"/>
        <v>Q2</v>
      </c>
      <c r="Z489">
        <f t="shared" si="52"/>
        <v>2026</v>
      </c>
      <c r="AA489" t="str">
        <f t="shared" si="53"/>
        <v>Sunday</v>
      </c>
      <c r="AB489">
        <f t="shared" si="54"/>
        <v>-38</v>
      </c>
      <c r="AC489" t="str">
        <f>IF(OR(D489="Heart Disease",D489="Cancer",D489="Stroke"),"High",IF(OR(D489="Diabetes",D489="Asthma"),"Medium","Low"))</f>
        <v>High</v>
      </c>
      <c r="AD489" t="str">
        <f t="shared" si="55"/>
        <v>Yes</v>
      </c>
      <c r="AE489" t="str">
        <f>IF(G489&lt;=2,"Short Stay", IF(G489&lt;=7,"Normal Stay", "Long Stay"))</f>
        <v>Long Stay</v>
      </c>
      <c r="AF489" t="str">
        <f>IF(F489&gt;60000,"Expensive",IF(F489&gt;30000,"Moderate","Affordable"))</f>
        <v>Affordable</v>
      </c>
      <c r="AG489" t="str">
        <f>IF(J489&gt;=4.5,"Excellent",IF(J489&gt;=3.5,"Good",IF(J489&gt;=2.5,"Average","Poor")))</f>
        <v>Average</v>
      </c>
      <c r="AH489" t="str">
        <f>IF(OR(TEXT(N489,"dddd")="Saturday",TEXT(N489,"dddd")="Sunday"),"Weekend","Weekday")</f>
        <v>Weekend</v>
      </c>
    </row>
    <row r="490" spans="1:34" x14ac:dyDescent="0.3">
      <c r="A490">
        <v>497</v>
      </c>
      <c r="B490">
        <v>62</v>
      </c>
      <c r="C490" t="s">
        <v>35</v>
      </c>
      <c r="D490" t="s">
        <v>36</v>
      </c>
      <c r="E490" t="s">
        <v>37</v>
      </c>
      <c r="F490">
        <v>2000</v>
      </c>
      <c r="G490">
        <v>36</v>
      </c>
      <c r="H490" t="s">
        <v>24</v>
      </c>
      <c r="I490" t="s">
        <v>39</v>
      </c>
      <c r="J490">
        <v>4</v>
      </c>
      <c r="K490" t="s">
        <v>157</v>
      </c>
      <c r="L490" t="s">
        <v>1103</v>
      </c>
      <c r="M490" t="s">
        <v>1104</v>
      </c>
      <c r="N490" s="2">
        <v>46146</v>
      </c>
      <c r="O490" s="2">
        <v>46182</v>
      </c>
      <c r="P490" t="s">
        <v>43</v>
      </c>
      <c r="Q490" t="s">
        <v>44</v>
      </c>
      <c r="R490" t="s">
        <v>45</v>
      </c>
      <c r="S490" t="s">
        <v>110</v>
      </c>
      <c r="T490" t="s">
        <v>33</v>
      </c>
      <c r="U490" t="s">
        <v>46</v>
      </c>
      <c r="V490" t="str">
        <f>IF(B490&lt;=18,"Children",IF(B490&lt;=35,"Young adult",IF(B490&lt;=60,"Adult", "Senior Citizen")))</f>
        <v>Senior Citizen</v>
      </c>
      <c r="W490" t="str">
        <f t="shared" si="49"/>
        <v>May</v>
      </c>
      <c r="X490">
        <f t="shared" si="50"/>
        <v>5</v>
      </c>
      <c r="Y490" t="str">
        <f t="shared" si="51"/>
        <v>Q2</v>
      </c>
      <c r="Z490">
        <f t="shared" si="52"/>
        <v>2026</v>
      </c>
      <c r="AA490" t="str">
        <f t="shared" si="53"/>
        <v>Monday</v>
      </c>
      <c r="AB490">
        <f t="shared" si="54"/>
        <v>-36</v>
      </c>
      <c r="AC490" t="str">
        <f>IF(OR(D490="Heart Disease",D490="Cancer",D490="Stroke"),"High",IF(OR(D490="Diabetes",D490="Asthma"),"Medium","Low"))</f>
        <v>Medium</v>
      </c>
      <c r="AD490" t="str">
        <f t="shared" si="55"/>
        <v>No</v>
      </c>
      <c r="AE490" t="str">
        <f>IF(G490&lt;=2,"Short Stay", IF(G490&lt;=7,"Normal Stay", "Long Stay"))</f>
        <v>Long Stay</v>
      </c>
      <c r="AF490" t="str">
        <f>IF(F490&gt;60000,"Expensive",IF(F490&gt;30000,"Moderate","Affordable"))</f>
        <v>Affordable</v>
      </c>
      <c r="AG490" t="str">
        <f>IF(J490&gt;=4.5,"Excellent",IF(J490&gt;=3.5,"Good",IF(J490&gt;=2.5,"Average","Poor")))</f>
        <v>Good</v>
      </c>
      <c r="AH490" t="str">
        <f>IF(OR(TEXT(N490,"dddd")="Saturday",TEXT(N490,"dddd")="Sunday"),"Weekend","Weekday")</f>
        <v>Weekday</v>
      </c>
    </row>
    <row r="491" spans="1:34" x14ac:dyDescent="0.3">
      <c r="A491">
        <v>498</v>
      </c>
      <c r="B491">
        <v>35</v>
      </c>
      <c r="C491" t="s">
        <v>21</v>
      </c>
      <c r="D491" t="s">
        <v>47</v>
      </c>
      <c r="E491" t="s">
        <v>48</v>
      </c>
      <c r="F491">
        <v>500</v>
      </c>
      <c r="G491">
        <v>34</v>
      </c>
      <c r="H491" t="s">
        <v>38</v>
      </c>
      <c r="I491" t="s">
        <v>25</v>
      </c>
      <c r="J491">
        <v>5</v>
      </c>
      <c r="K491" t="s">
        <v>49</v>
      </c>
      <c r="L491" t="s">
        <v>1105</v>
      </c>
      <c r="M491" t="s">
        <v>1106</v>
      </c>
      <c r="N491" s="2">
        <v>46147</v>
      </c>
      <c r="O491" s="2">
        <v>46181</v>
      </c>
      <c r="P491" t="s">
        <v>29</v>
      </c>
      <c r="Q491" t="s">
        <v>30</v>
      </c>
      <c r="R491" t="s">
        <v>45</v>
      </c>
      <c r="S491" t="s">
        <v>84</v>
      </c>
      <c r="T491" t="s">
        <v>33</v>
      </c>
      <c r="U491" t="s">
        <v>34</v>
      </c>
      <c r="V491" t="str">
        <f>IF(B491&lt;=18,"Children",IF(B491&lt;=35,"Young adult",IF(B491&lt;=60,"Adult", "Senior Citizen")))</f>
        <v>Young adult</v>
      </c>
      <c r="W491" t="str">
        <f t="shared" si="49"/>
        <v>May</v>
      </c>
      <c r="X491">
        <f t="shared" si="50"/>
        <v>5</v>
      </c>
      <c r="Y491" t="str">
        <f t="shared" si="51"/>
        <v>Q2</v>
      </c>
      <c r="Z491">
        <f t="shared" si="52"/>
        <v>2026</v>
      </c>
      <c r="AA491" t="str">
        <f t="shared" si="53"/>
        <v>Tuesday</v>
      </c>
      <c r="AB491">
        <f t="shared" si="54"/>
        <v>-34</v>
      </c>
      <c r="AC491" t="str">
        <f>IF(OR(D491="Heart Disease",D491="Cancer",D491="Stroke"),"High",IF(OR(D491="Diabetes",D491="Asthma"),"Medium","Low"))</f>
        <v>Low</v>
      </c>
      <c r="AD491" t="str">
        <f t="shared" si="55"/>
        <v>No</v>
      </c>
      <c r="AE491" t="str">
        <f>IF(G491&lt;=2,"Short Stay", IF(G491&lt;=7,"Normal Stay", "Long Stay"))</f>
        <v>Long Stay</v>
      </c>
      <c r="AF491" t="str">
        <f>IF(F491&gt;60000,"Expensive",IF(F491&gt;30000,"Moderate","Affordable"))</f>
        <v>Affordable</v>
      </c>
      <c r="AG491" t="str">
        <f>IF(J491&gt;=4.5,"Excellent",IF(J491&gt;=3.5,"Good",IF(J491&gt;=2.5,"Average","Poor")))</f>
        <v>Excellent</v>
      </c>
      <c r="AH491" t="str">
        <f>IF(OR(TEXT(N491,"dddd")="Saturday",TEXT(N491,"dddd")="Sunday"),"Weekend","Weekday")</f>
        <v>Weekday</v>
      </c>
    </row>
    <row r="492" spans="1:34" x14ac:dyDescent="0.3">
      <c r="A492">
        <v>499</v>
      </c>
      <c r="B492">
        <v>78</v>
      </c>
      <c r="C492" t="s">
        <v>35</v>
      </c>
      <c r="D492" t="s">
        <v>54</v>
      </c>
      <c r="E492" t="s">
        <v>55</v>
      </c>
      <c r="F492">
        <v>10000</v>
      </c>
      <c r="G492">
        <v>41</v>
      </c>
      <c r="H492" t="s">
        <v>24</v>
      </c>
      <c r="I492" t="s">
        <v>39</v>
      </c>
      <c r="J492">
        <v>2</v>
      </c>
      <c r="K492" t="s">
        <v>101</v>
      </c>
      <c r="L492" t="s">
        <v>1107</v>
      </c>
      <c r="M492" t="s">
        <v>1108</v>
      </c>
      <c r="N492" s="2">
        <v>46148</v>
      </c>
      <c r="O492" s="2">
        <v>46189</v>
      </c>
      <c r="P492" t="s">
        <v>29</v>
      </c>
      <c r="Q492" t="s">
        <v>139</v>
      </c>
      <c r="R492" t="s">
        <v>59</v>
      </c>
      <c r="S492" t="s">
        <v>77</v>
      </c>
      <c r="T492" t="s">
        <v>33</v>
      </c>
      <c r="U492" t="s">
        <v>104</v>
      </c>
      <c r="V492" t="str">
        <f>IF(B492&lt;=18,"Children",IF(B492&lt;=35,"Young adult",IF(B492&lt;=60,"Adult", "Senior Citizen")))</f>
        <v>Senior Citizen</v>
      </c>
      <c r="W492" t="str">
        <f t="shared" si="49"/>
        <v>May</v>
      </c>
      <c r="X492">
        <f t="shared" si="50"/>
        <v>5</v>
      </c>
      <c r="Y492" t="str">
        <f t="shared" si="51"/>
        <v>Q2</v>
      </c>
      <c r="Z492">
        <f t="shared" si="52"/>
        <v>2026</v>
      </c>
      <c r="AA492" t="str">
        <f t="shared" si="53"/>
        <v>Wednesday</v>
      </c>
      <c r="AB492">
        <f t="shared" si="54"/>
        <v>-41</v>
      </c>
      <c r="AC492" t="str">
        <f>IF(OR(D492="Heart Disease",D492="Cancer",D492="Stroke"),"High",IF(OR(D492="Diabetes",D492="Asthma"),"Medium","Low"))</f>
        <v>High</v>
      </c>
      <c r="AD492" t="str">
        <f t="shared" si="55"/>
        <v>Yes</v>
      </c>
      <c r="AE492" t="str">
        <f>IF(G492&lt;=2,"Short Stay", IF(G492&lt;=7,"Normal Stay", "Long Stay"))</f>
        <v>Long Stay</v>
      </c>
      <c r="AF492" t="str">
        <f>IF(F492&gt;60000,"Expensive",IF(F492&gt;30000,"Moderate","Affordable"))</f>
        <v>Affordable</v>
      </c>
      <c r="AG492" t="str">
        <f>IF(J492&gt;=4.5,"Excellent",IF(J492&gt;=3.5,"Good",IF(J492&gt;=2.5,"Average","Poor")))</f>
        <v>Poor</v>
      </c>
      <c r="AH492" t="str">
        <f>IF(OR(TEXT(N492,"dddd")="Saturday",TEXT(N492,"dddd")="Sunday"),"Weekend","Weekday")</f>
        <v>Weekday</v>
      </c>
    </row>
    <row r="493" spans="1:34" x14ac:dyDescent="0.3">
      <c r="A493">
        <v>500</v>
      </c>
      <c r="B493">
        <v>53</v>
      </c>
      <c r="C493" t="s">
        <v>21</v>
      </c>
      <c r="D493" t="s">
        <v>60</v>
      </c>
      <c r="E493" t="s">
        <v>61</v>
      </c>
      <c r="F493">
        <v>25000</v>
      </c>
      <c r="G493">
        <v>43</v>
      </c>
      <c r="H493" t="s">
        <v>38</v>
      </c>
      <c r="I493" t="s">
        <v>25</v>
      </c>
      <c r="J493">
        <v>4</v>
      </c>
      <c r="K493" t="s">
        <v>197</v>
      </c>
      <c r="L493" t="s">
        <v>1109</v>
      </c>
      <c r="M493" t="s">
        <v>1110</v>
      </c>
      <c r="N493" s="2">
        <v>46149</v>
      </c>
      <c r="O493" s="2">
        <v>46192</v>
      </c>
      <c r="P493" t="s">
        <v>29</v>
      </c>
      <c r="Q493" t="s">
        <v>71</v>
      </c>
      <c r="R493" t="s">
        <v>65</v>
      </c>
      <c r="S493" t="s">
        <v>84</v>
      </c>
      <c r="T493" t="s">
        <v>33</v>
      </c>
      <c r="U493" t="s">
        <v>104</v>
      </c>
      <c r="V493" t="str">
        <f>IF(B493&lt;=18,"Children",IF(B493&lt;=35,"Young adult",IF(B493&lt;=60,"Adult", "Senior Citizen")))</f>
        <v>Adult</v>
      </c>
      <c r="W493" t="str">
        <f t="shared" si="49"/>
        <v>May</v>
      </c>
      <c r="X493">
        <f t="shared" si="50"/>
        <v>5</v>
      </c>
      <c r="Y493" t="str">
        <f t="shared" si="51"/>
        <v>Q2</v>
      </c>
      <c r="Z493">
        <f t="shared" si="52"/>
        <v>2026</v>
      </c>
      <c r="AA493" t="str">
        <f t="shared" si="53"/>
        <v>Thursday</v>
      </c>
      <c r="AB493">
        <f t="shared" si="54"/>
        <v>-43</v>
      </c>
      <c r="AC493" t="str">
        <f>IF(OR(D493="Heart Disease",D493="Cancer",D493="Stroke"),"High",IF(OR(D493="Diabetes",D493="Asthma"),"Medium","Low"))</f>
        <v>High</v>
      </c>
      <c r="AD493" t="str">
        <f t="shared" si="55"/>
        <v>Yes</v>
      </c>
      <c r="AE493" t="str">
        <f>IF(G493&lt;=2,"Short Stay", IF(G493&lt;=7,"Normal Stay", "Long Stay"))</f>
        <v>Long Stay</v>
      </c>
      <c r="AF493" t="str">
        <f>IF(F493&gt;60000,"Expensive",IF(F493&gt;30000,"Moderate","Affordable"))</f>
        <v>Affordable</v>
      </c>
      <c r="AG493" t="str">
        <f>IF(J493&gt;=4.5,"Excellent",IF(J493&gt;=3.5,"Good",IF(J493&gt;=2.5,"Average","Poor")))</f>
        <v>Good</v>
      </c>
      <c r="AH493" t="str">
        <f>IF(OR(TEXT(N493,"dddd")="Saturday",TEXT(N493,"dddd")="Sunday"),"Weekend","Weekday")</f>
        <v>Weekday</v>
      </c>
    </row>
    <row r="494" spans="1:34" x14ac:dyDescent="0.3">
      <c r="A494">
        <v>501</v>
      </c>
      <c r="B494">
        <v>72</v>
      </c>
      <c r="C494" t="s">
        <v>35</v>
      </c>
      <c r="D494" t="s">
        <v>66</v>
      </c>
      <c r="E494" t="s">
        <v>67</v>
      </c>
      <c r="F494">
        <v>1000</v>
      </c>
      <c r="G494">
        <v>35</v>
      </c>
      <c r="H494" t="s">
        <v>24</v>
      </c>
      <c r="I494" t="s">
        <v>39</v>
      </c>
      <c r="J494">
        <v>4</v>
      </c>
      <c r="K494" t="s">
        <v>178</v>
      </c>
      <c r="L494" t="s">
        <v>1111</v>
      </c>
      <c r="M494" t="s">
        <v>1112</v>
      </c>
      <c r="N494" s="2">
        <v>46150</v>
      </c>
      <c r="O494" s="2">
        <v>46185</v>
      </c>
      <c r="P494" t="s">
        <v>29</v>
      </c>
      <c r="Q494" t="s">
        <v>30</v>
      </c>
      <c r="R494" t="s">
        <v>45</v>
      </c>
      <c r="S494" t="s">
        <v>110</v>
      </c>
      <c r="T494" t="s">
        <v>33</v>
      </c>
      <c r="U494" t="s">
        <v>78</v>
      </c>
      <c r="V494" t="str">
        <f>IF(B494&lt;=18,"Children",IF(B494&lt;=35,"Young adult",IF(B494&lt;=60,"Adult", "Senior Citizen")))</f>
        <v>Senior Citizen</v>
      </c>
      <c r="W494" t="str">
        <f t="shared" si="49"/>
        <v>May</v>
      </c>
      <c r="X494">
        <f t="shared" si="50"/>
        <v>5</v>
      </c>
      <c r="Y494" t="str">
        <f t="shared" si="51"/>
        <v>Q2</v>
      </c>
      <c r="Z494">
        <f t="shared" si="52"/>
        <v>2026</v>
      </c>
      <c r="AA494" t="str">
        <f t="shared" si="53"/>
        <v>Friday</v>
      </c>
      <c r="AB494">
        <f t="shared" si="54"/>
        <v>-35</v>
      </c>
      <c r="AC494" t="str">
        <f>IF(OR(D494="Heart Disease",D494="Cancer",D494="Stroke"),"High",IF(OR(D494="Diabetes",D494="Asthma"),"Medium","Low"))</f>
        <v>Low</v>
      </c>
      <c r="AD494" t="str">
        <f t="shared" si="55"/>
        <v>No</v>
      </c>
      <c r="AE494" t="str">
        <f>IF(G494&lt;=2,"Short Stay", IF(G494&lt;=7,"Normal Stay", "Long Stay"))</f>
        <v>Long Stay</v>
      </c>
      <c r="AF494" t="str">
        <f>IF(F494&gt;60000,"Expensive",IF(F494&gt;30000,"Moderate","Affordable"))</f>
        <v>Affordable</v>
      </c>
      <c r="AG494" t="str">
        <f>IF(J494&gt;=4.5,"Excellent",IF(J494&gt;=3.5,"Good",IF(J494&gt;=2.5,"Average","Poor")))</f>
        <v>Good</v>
      </c>
      <c r="AH494" t="str">
        <f>IF(OR(TEXT(N494,"dddd")="Saturday",TEXT(N494,"dddd")="Sunday"),"Weekend","Weekday")</f>
        <v>Weekday</v>
      </c>
    </row>
    <row r="495" spans="1:34" x14ac:dyDescent="0.3">
      <c r="A495">
        <v>502</v>
      </c>
      <c r="B495">
        <v>60</v>
      </c>
      <c r="C495" t="s">
        <v>21</v>
      </c>
      <c r="D495" t="s">
        <v>73</v>
      </c>
      <c r="E495" t="s">
        <v>74</v>
      </c>
      <c r="F495">
        <v>8000</v>
      </c>
      <c r="G495">
        <v>37</v>
      </c>
      <c r="H495" t="s">
        <v>38</v>
      </c>
      <c r="I495" t="s">
        <v>25</v>
      </c>
      <c r="J495">
        <v>3</v>
      </c>
      <c r="K495" t="s">
        <v>172</v>
      </c>
      <c r="L495" t="s">
        <v>1113</v>
      </c>
      <c r="M495" t="s">
        <v>1114</v>
      </c>
      <c r="N495" s="2">
        <v>46151</v>
      </c>
      <c r="O495" s="2">
        <v>46188</v>
      </c>
      <c r="P495" t="s">
        <v>43</v>
      </c>
      <c r="Q495" t="s">
        <v>44</v>
      </c>
      <c r="R495" t="s">
        <v>45</v>
      </c>
      <c r="S495" t="s">
        <v>77</v>
      </c>
      <c r="T495" t="s">
        <v>33</v>
      </c>
      <c r="U495" t="s">
        <v>34</v>
      </c>
      <c r="V495" t="str">
        <f>IF(B495&lt;=18,"Children",IF(B495&lt;=35,"Young adult",IF(B495&lt;=60,"Adult", "Senior Citizen")))</f>
        <v>Adult</v>
      </c>
      <c r="W495" t="str">
        <f t="shared" si="49"/>
        <v>May</v>
      </c>
      <c r="X495">
        <f t="shared" si="50"/>
        <v>5</v>
      </c>
      <c r="Y495" t="str">
        <f t="shared" si="51"/>
        <v>Q2</v>
      </c>
      <c r="Z495">
        <f t="shared" si="52"/>
        <v>2026</v>
      </c>
      <c r="AA495" t="str">
        <f t="shared" si="53"/>
        <v>Saturday</v>
      </c>
      <c r="AB495">
        <f t="shared" si="54"/>
        <v>-37</v>
      </c>
      <c r="AC495" t="str">
        <f>IF(OR(D495="Heart Disease",D495="Cancer",D495="Stroke"),"High",IF(OR(D495="Diabetes",D495="Asthma"),"Medium","Low"))</f>
        <v>Low</v>
      </c>
      <c r="AD495" t="str">
        <f t="shared" si="55"/>
        <v>No</v>
      </c>
      <c r="AE495" t="str">
        <f>IF(G495&lt;=2,"Short Stay", IF(G495&lt;=7,"Normal Stay", "Long Stay"))</f>
        <v>Long Stay</v>
      </c>
      <c r="AF495" t="str">
        <f>IF(F495&gt;60000,"Expensive",IF(F495&gt;30000,"Moderate","Affordable"))</f>
        <v>Affordable</v>
      </c>
      <c r="AG495" t="str">
        <f>IF(J495&gt;=4.5,"Excellent",IF(J495&gt;=3.5,"Good",IF(J495&gt;=2.5,"Average","Poor")))</f>
        <v>Average</v>
      </c>
      <c r="AH495" t="str">
        <f>IF(OR(TEXT(N495,"dddd")="Saturday",TEXT(N495,"dddd")="Sunday"),"Weekend","Weekday")</f>
        <v>Weekend</v>
      </c>
    </row>
    <row r="496" spans="1:34" x14ac:dyDescent="0.3">
      <c r="A496">
        <v>503</v>
      </c>
      <c r="B496">
        <v>45</v>
      </c>
      <c r="C496" t="s">
        <v>35</v>
      </c>
      <c r="D496" t="s">
        <v>79</v>
      </c>
      <c r="E496" t="s">
        <v>80</v>
      </c>
      <c r="F496">
        <v>3000</v>
      </c>
      <c r="G496">
        <v>39</v>
      </c>
      <c r="H496" t="s">
        <v>24</v>
      </c>
      <c r="I496" t="s">
        <v>25</v>
      </c>
      <c r="J496">
        <v>4</v>
      </c>
      <c r="K496" t="s">
        <v>242</v>
      </c>
      <c r="L496" t="s">
        <v>1115</v>
      </c>
      <c r="M496" t="s">
        <v>1116</v>
      </c>
      <c r="N496" s="2">
        <v>46152</v>
      </c>
      <c r="O496" s="2">
        <v>46191</v>
      </c>
      <c r="P496" t="s">
        <v>43</v>
      </c>
      <c r="Q496" t="s">
        <v>71</v>
      </c>
      <c r="R496" t="s">
        <v>45</v>
      </c>
      <c r="S496" t="s">
        <v>32</v>
      </c>
      <c r="T496" t="s">
        <v>33</v>
      </c>
      <c r="U496" t="s">
        <v>34</v>
      </c>
      <c r="V496" t="str">
        <f>IF(B496&lt;=18,"Children",IF(B496&lt;=35,"Young adult",IF(B496&lt;=60,"Adult", "Senior Citizen")))</f>
        <v>Adult</v>
      </c>
      <c r="W496" t="str">
        <f t="shared" si="49"/>
        <v>May</v>
      </c>
      <c r="X496">
        <f t="shared" si="50"/>
        <v>5</v>
      </c>
      <c r="Y496" t="str">
        <f t="shared" si="51"/>
        <v>Q2</v>
      </c>
      <c r="Z496">
        <f t="shared" si="52"/>
        <v>2026</v>
      </c>
      <c r="AA496" t="str">
        <f t="shared" si="53"/>
        <v>Sunday</v>
      </c>
      <c r="AB496">
        <f t="shared" si="54"/>
        <v>-39</v>
      </c>
      <c r="AC496" t="str">
        <f>IF(OR(D496="Heart Disease",D496="Cancer",D496="Stroke"),"High",IF(OR(D496="Diabetes",D496="Asthma"),"Medium","Low"))</f>
        <v>Low</v>
      </c>
      <c r="AD496" t="str">
        <f t="shared" si="55"/>
        <v>No</v>
      </c>
      <c r="AE496" t="str">
        <f>IF(G496&lt;=2,"Short Stay", IF(G496&lt;=7,"Normal Stay", "Long Stay"))</f>
        <v>Long Stay</v>
      </c>
      <c r="AF496" t="str">
        <f>IF(F496&gt;60000,"Expensive",IF(F496&gt;30000,"Moderate","Affordable"))</f>
        <v>Affordable</v>
      </c>
      <c r="AG496" t="str">
        <f>IF(J496&gt;=4.5,"Excellent",IF(J496&gt;=3.5,"Good",IF(J496&gt;=2.5,"Average","Poor")))</f>
        <v>Good</v>
      </c>
      <c r="AH496" t="str">
        <f>IF(OR(TEXT(N496,"dddd")="Saturday",TEXT(N496,"dddd")="Sunday"),"Weekend","Weekday")</f>
        <v>Weekend</v>
      </c>
    </row>
    <row r="497" spans="1:34" x14ac:dyDescent="0.3">
      <c r="A497">
        <v>504</v>
      </c>
      <c r="B497">
        <v>75</v>
      </c>
      <c r="C497" t="s">
        <v>21</v>
      </c>
      <c r="D497" t="s">
        <v>85</v>
      </c>
      <c r="E497" t="s">
        <v>86</v>
      </c>
      <c r="F497">
        <v>18000</v>
      </c>
      <c r="G497">
        <v>41</v>
      </c>
      <c r="H497" t="s">
        <v>38</v>
      </c>
      <c r="I497" t="s">
        <v>39</v>
      </c>
      <c r="J497">
        <v>2</v>
      </c>
      <c r="K497" t="s">
        <v>482</v>
      </c>
      <c r="L497" t="s">
        <v>1117</v>
      </c>
      <c r="M497" t="s">
        <v>1118</v>
      </c>
      <c r="N497" s="2">
        <v>46153</v>
      </c>
      <c r="O497" s="2">
        <v>46194</v>
      </c>
      <c r="P497" t="s">
        <v>43</v>
      </c>
      <c r="Q497" t="s">
        <v>71</v>
      </c>
      <c r="R497" t="s">
        <v>45</v>
      </c>
      <c r="S497" t="s">
        <v>110</v>
      </c>
      <c r="T497" t="s">
        <v>33</v>
      </c>
      <c r="U497" t="s">
        <v>46</v>
      </c>
      <c r="V497" t="str">
        <f>IF(B497&lt;=18,"Children",IF(B497&lt;=35,"Young adult",IF(B497&lt;=60,"Adult", "Senior Citizen")))</f>
        <v>Senior Citizen</v>
      </c>
      <c r="W497" t="str">
        <f t="shared" si="49"/>
        <v>May</v>
      </c>
      <c r="X497">
        <f t="shared" si="50"/>
        <v>5</v>
      </c>
      <c r="Y497" t="str">
        <f t="shared" si="51"/>
        <v>Q2</v>
      </c>
      <c r="Z497">
        <f t="shared" si="52"/>
        <v>2026</v>
      </c>
      <c r="AA497" t="str">
        <f t="shared" si="53"/>
        <v>Monday</v>
      </c>
      <c r="AB497">
        <f t="shared" si="54"/>
        <v>-41</v>
      </c>
      <c r="AC497" t="str">
        <f>IF(OR(D497="Heart Disease",D497="Cancer",D497="Stroke"),"High",IF(OR(D497="Diabetes",D497="Asthma"),"Medium","Low"))</f>
        <v>Low</v>
      </c>
      <c r="AD497" t="str">
        <f t="shared" si="55"/>
        <v>No</v>
      </c>
      <c r="AE497" t="str">
        <f>IF(G497&lt;=2,"Short Stay", IF(G497&lt;=7,"Normal Stay", "Long Stay"))</f>
        <v>Long Stay</v>
      </c>
      <c r="AF497" t="str">
        <f>IF(F497&gt;60000,"Expensive",IF(F497&gt;30000,"Moderate","Affordable"))</f>
        <v>Affordable</v>
      </c>
      <c r="AG497" t="str">
        <f>IF(J497&gt;=4.5,"Excellent",IF(J497&gt;=3.5,"Good",IF(J497&gt;=2.5,"Average","Poor")))</f>
        <v>Poor</v>
      </c>
      <c r="AH497" t="str">
        <f>IF(OR(TEXT(N497,"dddd")="Saturday",TEXT(N497,"dddd")="Sunday"),"Weekend","Weekday")</f>
        <v>Weekday</v>
      </c>
    </row>
    <row r="498" spans="1:34" x14ac:dyDescent="0.3">
      <c r="A498">
        <v>505</v>
      </c>
      <c r="B498">
        <v>28</v>
      </c>
      <c r="C498" t="s">
        <v>35</v>
      </c>
      <c r="D498" t="s">
        <v>89</v>
      </c>
      <c r="E498" t="s">
        <v>90</v>
      </c>
      <c r="F498">
        <v>100</v>
      </c>
      <c r="G498">
        <v>34</v>
      </c>
      <c r="H498" t="s">
        <v>24</v>
      </c>
      <c r="I498" t="s">
        <v>25</v>
      </c>
      <c r="J498">
        <v>5</v>
      </c>
      <c r="K498" t="s">
        <v>160</v>
      </c>
      <c r="L498" t="s">
        <v>1119</v>
      </c>
      <c r="M498" t="s">
        <v>1120</v>
      </c>
      <c r="N498" s="2">
        <v>46154</v>
      </c>
      <c r="O498" s="2">
        <v>46188</v>
      </c>
      <c r="P498" t="s">
        <v>29</v>
      </c>
      <c r="Q498" t="s">
        <v>52</v>
      </c>
      <c r="R498" t="s">
        <v>45</v>
      </c>
      <c r="S498" t="s">
        <v>72</v>
      </c>
      <c r="T498" t="s">
        <v>33</v>
      </c>
      <c r="U498" t="s">
        <v>104</v>
      </c>
      <c r="V498" t="str">
        <f>IF(B498&lt;=18,"Children",IF(B498&lt;=35,"Young adult",IF(B498&lt;=60,"Adult", "Senior Citizen")))</f>
        <v>Young adult</v>
      </c>
      <c r="W498" t="str">
        <f t="shared" si="49"/>
        <v>May</v>
      </c>
      <c r="X498">
        <f t="shared" si="50"/>
        <v>5</v>
      </c>
      <c r="Y498" t="str">
        <f t="shared" si="51"/>
        <v>Q2</v>
      </c>
      <c r="Z498">
        <f t="shared" si="52"/>
        <v>2026</v>
      </c>
      <c r="AA498" t="str">
        <f t="shared" si="53"/>
        <v>Tuesday</v>
      </c>
      <c r="AB498">
        <f t="shared" si="54"/>
        <v>-34</v>
      </c>
      <c r="AC498" t="str">
        <f>IF(OR(D498="Heart Disease",D498="Cancer",D498="Stroke"),"High",IF(OR(D498="Diabetes",D498="Asthma"),"Medium","Low"))</f>
        <v>Low</v>
      </c>
      <c r="AD498" t="str">
        <f t="shared" si="55"/>
        <v>No</v>
      </c>
      <c r="AE498" t="str">
        <f>IF(G498&lt;=2,"Short Stay", IF(G498&lt;=7,"Normal Stay", "Long Stay"))</f>
        <v>Long Stay</v>
      </c>
      <c r="AF498" t="str">
        <f>IF(F498&gt;60000,"Expensive",IF(F498&gt;30000,"Moderate","Affordable"))</f>
        <v>Affordable</v>
      </c>
      <c r="AG498" t="str">
        <f>IF(J498&gt;=4.5,"Excellent",IF(J498&gt;=3.5,"Good",IF(J498&gt;=2.5,"Average","Poor")))</f>
        <v>Excellent</v>
      </c>
      <c r="AH498" t="str">
        <f>IF(OR(TEXT(N498,"dddd")="Saturday",TEXT(N498,"dddd")="Sunday"),"Weekend","Weekday")</f>
        <v>Weekday</v>
      </c>
    </row>
    <row r="499" spans="1:34" x14ac:dyDescent="0.3">
      <c r="A499">
        <v>506</v>
      </c>
      <c r="B499">
        <v>52</v>
      </c>
      <c r="C499" t="s">
        <v>21</v>
      </c>
      <c r="D499" t="s">
        <v>94</v>
      </c>
      <c r="E499" t="s">
        <v>95</v>
      </c>
      <c r="F499">
        <v>800</v>
      </c>
      <c r="G499">
        <v>35</v>
      </c>
      <c r="H499" t="s">
        <v>24</v>
      </c>
      <c r="I499" t="s">
        <v>39</v>
      </c>
      <c r="J499">
        <v>4</v>
      </c>
      <c r="K499" t="s">
        <v>429</v>
      </c>
      <c r="L499" t="s">
        <v>1121</v>
      </c>
      <c r="M499" t="s">
        <v>1122</v>
      </c>
      <c r="N499" s="2">
        <v>46155</v>
      </c>
      <c r="O499" s="2">
        <v>46190</v>
      </c>
      <c r="P499" t="s">
        <v>43</v>
      </c>
      <c r="Q499" t="s">
        <v>44</v>
      </c>
      <c r="R499" t="s">
        <v>45</v>
      </c>
      <c r="S499" t="s">
        <v>110</v>
      </c>
      <c r="T499" t="s">
        <v>33</v>
      </c>
      <c r="U499" t="s">
        <v>34</v>
      </c>
      <c r="V499" t="str">
        <f>IF(B499&lt;=18,"Children",IF(B499&lt;=35,"Young adult",IF(B499&lt;=60,"Adult", "Senior Citizen")))</f>
        <v>Adult</v>
      </c>
      <c r="W499" t="str">
        <f t="shared" si="49"/>
        <v>May</v>
      </c>
      <c r="X499">
        <f t="shared" si="50"/>
        <v>5</v>
      </c>
      <c r="Y499" t="str">
        <f t="shared" si="51"/>
        <v>Q2</v>
      </c>
      <c r="Z499">
        <f t="shared" si="52"/>
        <v>2026</v>
      </c>
      <c r="AA499" t="str">
        <f t="shared" si="53"/>
        <v>Wednesday</v>
      </c>
      <c r="AB499">
        <f t="shared" si="54"/>
        <v>-35</v>
      </c>
      <c r="AC499" t="str">
        <f>IF(OR(D499="Heart Disease",D499="Cancer",D499="Stroke"),"High",IF(OR(D499="Diabetes",D499="Asthma"),"Medium","Low"))</f>
        <v>Low</v>
      </c>
      <c r="AD499" t="str">
        <f t="shared" si="55"/>
        <v>No</v>
      </c>
      <c r="AE499" t="str">
        <f>IF(G499&lt;=2,"Short Stay", IF(G499&lt;=7,"Normal Stay", "Long Stay"))</f>
        <v>Long Stay</v>
      </c>
      <c r="AF499" t="str">
        <f>IF(F499&gt;60000,"Expensive",IF(F499&gt;30000,"Moderate","Affordable"))</f>
        <v>Affordable</v>
      </c>
      <c r="AG499" t="str">
        <f>IF(J499&gt;=4.5,"Excellent",IF(J499&gt;=3.5,"Good",IF(J499&gt;=2.5,"Average","Poor")))</f>
        <v>Good</v>
      </c>
      <c r="AH499" t="str">
        <f>IF(OR(TEXT(N499,"dddd")="Saturday",TEXT(N499,"dddd")="Sunday"),"Weekend","Weekday")</f>
        <v>Weekday</v>
      </c>
    </row>
    <row r="500" spans="1:34" x14ac:dyDescent="0.3">
      <c r="A500">
        <v>507</v>
      </c>
      <c r="B500">
        <v>67</v>
      </c>
      <c r="C500" t="s">
        <v>35</v>
      </c>
      <c r="D500" t="s">
        <v>99</v>
      </c>
      <c r="E500" t="s">
        <v>100</v>
      </c>
      <c r="F500">
        <v>20000</v>
      </c>
      <c r="G500">
        <v>42</v>
      </c>
      <c r="H500" t="s">
        <v>24</v>
      </c>
      <c r="I500" t="s">
        <v>25</v>
      </c>
      <c r="J500">
        <v>3</v>
      </c>
      <c r="K500" t="s">
        <v>223</v>
      </c>
      <c r="L500" t="s">
        <v>1123</v>
      </c>
      <c r="M500" t="s">
        <v>1124</v>
      </c>
      <c r="N500" s="2">
        <v>46156</v>
      </c>
      <c r="O500" s="2">
        <v>46198</v>
      </c>
      <c r="P500" t="s">
        <v>43</v>
      </c>
      <c r="Q500" t="s">
        <v>44</v>
      </c>
      <c r="R500" t="s">
        <v>45</v>
      </c>
      <c r="S500" t="s">
        <v>32</v>
      </c>
      <c r="T500" t="s">
        <v>33</v>
      </c>
      <c r="U500" t="s">
        <v>34</v>
      </c>
      <c r="V500" t="str">
        <f>IF(B500&lt;=18,"Children",IF(B500&lt;=35,"Young adult",IF(B500&lt;=60,"Adult", "Senior Citizen")))</f>
        <v>Senior Citizen</v>
      </c>
      <c r="W500" t="str">
        <f t="shared" si="49"/>
        <v>May</v>
      </c>
      <c r="X500">
        <f t="shared" si="50"/>
        <v>5</v>
      </c>
      <c r="Y500" t="str">
        <f t="shared" si="51"/>
        <v>Q2</v>
      </c>
      <c r="Z500">
        <f t="shared" si="52"/>
        <v>2026</v>
      </c>
      <c r="AA500" t="str">
        <f t="shared" si="53"/>
        <v>Thursday</v>
      </c>
      <c r="AB500">
        <f t="shared" si="54"/>
        <v>-42</v>
      </c>
      <c r="AC500" t="str">
        <f>IF(OR(D500="Heart Disease",D500="Cancer",D500="Stroke"),"High",IF(OR(D500="Diabetes",D500="Asthma"),"Medium","Low"))</f>
        <v>Low</v>
      </c>
      <c r="AD500" t="str">
        <f t="shared" si="55"/>
        <v>No</v>
      </c>
      <c r="AE500" t="str">
        <f>IF(G500&lt;=2,"Short Stay", IF(G500&lt;=7,"Normal Stay", "Long Stay"))</f>
        <v>Long Stay</v>
      </c>
      <c r="AF500" t="str">
        <f>IF(F500&gt;60000,"Expensive",IF(F500&gt;30000,"Moderate","Affordable"))</f>
        <v>Affordable</v>
      </c>
      <c r="AG500" t="str">
        <f>IF(J500&gt;=4.5,"Excellent",IF(J500&gt;=3.5,"Good",IF(J500&gt;=2.5,"Average","Poor")))</f>
        <v>Average</v>
      </c>
      <c r="AH500" t="str">
        <f>IF(OR(TEXT(N500,"dddd")="Saturday",TEXT(N500,"dddd")="Sunday"),"Weekend","Weekday")</f>
        <v>Weekday</v>
      </c>
    </row>
    <row r="501" spans="1:34" x14ac:dyDescent="0.3">
      <c r="A501">
        <v>508</v>
      </c>
      <c r="B501">
        <v>35</v>
      </c>
      <c r="C501" t="s">
        <v>21</v>
      </c>
      <c r="D501" t="s">
        <v>105</v>
      </c>
      <c r="E501" t="s">
        <v>106</v>
      </c>
      <c r="F501">
        <v>12000</v>
      </c>
      <c r="G501">
        <v>36</v>
      </c>
      <c r="H501" t="s">
        <v>24</v>
      </c>
      <c r="I501" t="s">
        <v>25</v>
      </c>
      <c r="J501">
        <v>4</v>
      </c>
      <c r="K501" t="s">
        <v>178</v>
      </c>
      <c r="L501" t="s">
        <v>1125</v>
      </c>
      <c r="M501" t="s">
        <v>1126</v>
      </c>
      <c r="N501" s="2">
        <v>46157</v>
      </c>
      <c r="O501" s="2">
        <v>46193</v>
      </c>
      <c r="P501" t="s">
        <v>29</v>
      </c>
      <c r="Q501" t="s">
        <v>44</v>
      </c>
      <c r="R501" t="s">
        <v>45</v>
      </c>
      <c r="S501" t="s">
        <v>110</v>
      </c>
      <c r="T501" t="s">
        <v>33</v>
      </c>
      <c r="U501" t="s">
        <v>34</v>
      </c>
      <c r="V501" t="str">
        <f>IF(B501&lt;=18,"Children",IF(B501&lt;=35,"Young adult",IF(B501&lt;=60,"Adult", "Senior Citizen")))</f>
        <v>Young adult</v>
      </c>
      <c r="W501" t="str">
        <f t="shared" si="49"/>
        <v>May</v>
      </c>
      <c r="X501">
        <f t="shared" si="50"/>
        <v>5</v>
      </c>
      <c r="Y501" t="str">
        <f t="shared" si="51"/>
        <v>Q2</v>
      </c>
      <c r="Z501">
        <f t="shared" si="52"/>
        <v>2026</v>
      </c>
      <c r="AA501" t="str">
        <f t="shared" si="53"/>
        <v>Friday</v>
      </c>
      <c r="AB501">
        <f t="shared" si="54"/>
        <v>-36</v>
      </c>
      <c r="AC501" t="str">
        <f>IF(OR(D501="Heart Disease",D501="Cancer",D501="Stroke"),"High",IF(OR(D501="Diabetes",D501="Asthma"),"Medium","Low"))</f>
        <v>Low</v>
      </c>
      <c r="AD501" t="str">
        <f t="shared" si="55"/>
        <v>No</v>
      </c>
      <c r="AE501" t="str">
        <f>IF(G501&lt;=2,"Short Stay", IF(G501&lt;=7,"Normal Stay", "Long Stay"))</f>
        <v>Long Stay</v>
      </c>
      <c r="AF501" t="str">
        <f>IF(F501&gt;60000,"Expensive",IF(F501&gt;30000,"Moderate","Affordable"))</f>
        <v>Affordable</v>
      </c>
      <c r="AG501" t="str">
        <f>IF(J501&gt;=4.5,"Excellent",IF(J501&gt;=3.5,"Good",IF(J501&gt;=2.5,"Average","Poor")))</f>
        <v>Good</v>
      </c>
      <c r="AH501" t="str">
        <f>IF(OR(TEXT(N501,"dddd")="Saturday",TEXT(N501,"dddd")="Sunday"),"Weekend","Weekday")</f>
        <v>Weekday</v>
      </c>
    </row>
    <row r="502" spans="1:34" x14ac:dyDescent="0.3">
      <c r="A502">
        <v>509</v>
      </c>
      <c r="B502">
        <v>50</v>
      </c>
      <c r="C502" t="s">
        <v>35</v>
      </c>
      <c r="D502" t="s">
        <v>111</v>
      </c>
      <c r="E502" t="s">
        <v>112</v>
      </c>
      <c r="F502">
        <v>6000</v>
      </c>
      <c r="G502">
        <v>37</v>
      </c>
      <c r="H502" t="s">
        <v>24</v>
      </c>
      <c r="I502" t="s">
        <v>25</v>
      </c>
      <c r="J502">
        <v>3</v>
      </c>
      <c r="K502" t="s">
        <v>210</v>
      </c>
      <c r="L502" t="s">
        <v>1127</v>
      </c>
      <c r="M502" t="s">
        <v>1128</v>
      </c>
      <c r="N502" s="2">
        <v>46158</v>
      </c>
      <c r="O502" s="2">
        <v>46195</v>
      </c>
      <c r="P502" t="s">
        <v>29</v>
      </c>
      <c r="Q502" t="s">
        <v>44</v>
      </c>
      <c r="R502" t="s">
        <v>45</v>
      </c>
      <c r="S502" t="s">
        <v>84</v>
      </c>
      <c r="T502" t="s">
        <v>33</v>
      </c>
      <c r="U502" t="s">
        <v>34</v>
      </c>
      <c r="V502" t="str">
        <f>IF(B502&lt;=18,"Children",IF(B502&lt;=35,"Young adult",IF(B502&lt;=60,"Adult", "Senior Citizen")))</f>
        <v>Adult</v>
      </c>
      <c r="W502" t="str">
        <f t="shared" si="49"/>
        <v>May</v>
      </c>
      <c r="X502">
        <f t="shared" si="50"/>
        <v>5</v>
      </c>
      <c r="Y502" t="str">
        <f t="shared" si="51"/>
        <v>Q2</v>
      </c>
      <c r="Z502">
        <f t="shared" si="52"/>
        <v>2026</v>
      </c>
      <c r="AA502" t="str">
        <f t="shared" si="53"/>
        <v>Saturday</v>
      </c>
      <c r="AB502">
        <f t="shared" si="54"/>
        <v>-37</v>
      </c>
      <c r="AC502" t="str">
        <f>IF(OR(D502="Heart Disease",D502="Cancer",D502="Stroke"),"High",IF(OR(D502="Diabetes",D502="Asthma"),"Medium","Low"))</f>
        <v>Low</v>
      </c>
      <c r="AD502" t="str">
        <f t="shared" si="55"/>
        <v>No</v>
      </c>
      <c r="AE502" t="str">
        <f>IF(G502&lt;=2,"Short Stay", IF(G502&lt;=7,"Normal Stay", "Long Stay"))</f>
        <v>Long Stay</v>
      </c>
      <c r="AF502" t="str">
        <f>IF(F502&gt;60000,"Expensive",IF(F502&gt;30000,"Moderate","Affordable"))</f>
        <v>Affordable</v>
      </c>
      <c r="AG502" t="str">
        <f>IF(J502&gt;=4.5,"Excellent",IF(J502&gt;=3.5,"Good",IF(J502&gt;=2.5,"Average","Poor")))</f>
        <v>Average</v>
      </c>
      <c r="AH502" t="str">
        <f>IF(OR(TEXT(N502,"dddd")="Saturday",TEXT(N502,"dddd")="Sunday"),"Weekend","Weekday")</f>
        <v>Weekend</v>
      </c>
    </row>
    <row r="503" spans="1:34" x14ac:dyDescent="0.3">
      <c r="A503">
        <v>510</v>
      </c>
      <c r="B503">
        <v>60</v>
      </c>
      <c r="C503" t="s">
        <v>21</v>
      </c>
      <c r="D503" t="s">
        <v>116</v>
      </c>
      <c r="E503" t="s">
        <v>117</v>
      </c>
      <c r="F503">
        <v>4000</v>
      </c>
      <c r="G503">
        <v>38</v>
      </c>
      <c r="H503" t="s">
        <v>24</v>
      </c>
      <c r="I503" t="s">
        <v>39</v>
      </c>
      <c r="J503">
        <v>4</v>
      </c>
      <c r="K503" t="s">
        <v>345</v>
      </c>
      <c r="L503" t="s">
        <v>1129</v>
      </c>
      <c r="M503" t="s">
        <v>1130</v>
      </c>
      <c r="N503" s="2">
        <v>46159</v>
      </c>
      <c r="O503" s="2">
        <v>46197</v>
      </c>
      <c r="P503" t="s">
        <v>43</v>
      </c>
      <c r="Q503" t="s">
        <v>44</v>
      </c>
      <c r="R503" t="s">
        <v>45</v>
      </c>
      <c r="S503" t="s">
        <v>110</v>
      </c>
      <c r="T503" t="s">
        <v>33</v>
      </c>
      <c r="U503" t="s">
        <v>34</v>
      </c>
      <c r="V503" t="str">
        <f>IF(B503&lt;=18,"Children",IF(B503&lt;=35,"Young adult",IF(B503&lt;=60,"Adult", "Senior Citizen")))</f>
        <v>Adult</v>
      </c>
      <c r="W503" t="str">
        <f t="shared" si="49"/>
        <v>May</v>
      </c>
      <c r="X503">
        <f t="shared" si="50"/>
        <v>5</v>
      </c>
      <c r="Y503" t="str">
        <f t="shared" si="51"/>
        <v>Q2</v>
      </c>
      <c r="Z503">
        <f t="shared" si="52"/>
        <v>2026</v>
      </c>
      <c r="AA503" t="str">
        <f t="shared" si="53"/>
        <v>Sunday</v>
      </c>
      <c r="AB503">
        <f t="shared" si="54"/>
        <v>-38</v>
      </c>
      <c r="AC503" t="str">
        <f>IF(OR(D503="Heart Disease",D503="Cancer",D503="Stroke"),"High",IF(OR(D503="Diabetes",D503="Asthma"),"Medium","Low"))</f>
        <v>Low</v>
      </c>
      <c r="AD503" t="str">
        <f t="shared" si="55"/>
        <v>No</v>
      </c>
      <c r="AE503" t="str">
        <f>IF(G503&lt;=2,"Short Stay", IF(G503&lt;=7,"Normal Stay", "Long Stay"))</f>
        <v>Long Stay</v>
      </c>
      <c r="AF503" t="str">
        <f>IF(F503&gt;60000,"Expensive",IF(F503&gt;30000,"Moderate","Affordable"))</f>
        <v>Affordable</v>
      </c>
      <c r="AG503" t="str">
        <f>IF(J503&gt;=4.5,"Excellent",IF(J503&gt;=3.5,"Good",IF(J503&gt;=2.5,"Average","Poor")))</f>
        <v>Good</v>
      </c>
      <c r="AH503" t="str">
        <f>IF(OR(TEXT(N503,"dddd")="Saturday",TEXT(N503,"dddd")="Sunday"),"Weekend","Weekday")</f>
        <v>Weekend</v>
      </c>
    </row>
    <row r="504" spans="1:34" x14ac:dyDescent="0.3">
      <c r="A504">
        <v>511</v>
      </c>
      <c r="B504">
        <v>48</v>
      </c>
      <c r="C504" t="s">
        <v>21</v>
      </c>
      <c r="D504" t="s">
        <v>22</v>
      </c>
      <c r="E504" t="s">
        <v>23</v>
      </c>
      <c r="F504">
        <v>15000</v>
      </c>
      <c r="G504">
        <v>39</v>
      </c>
      <c r="H504" t="s">
        <v>38</v>
      </c>
      <c r="I504" t="s">
        <v>25</v>
      </c>
      <c r="J504">
        <v>4</v>
      </c>
      <c r="K504" t="s">
        <v>81</v>
      </c>
      <c r="L504" t="s">
        <v>1131</v>
      </c>
      <c r="M504" t="s">
        <v>1132</v>
      </c>
      <c r="N504" s="2">
        <v>46160</v>
      </c>
      <c r="O504" s="2">
        <v>46199</v>
      </c>
      <c r="P504" t="s">
        <v>29</v>
      </c>
      <c r="Q504" t="s">
        <v>44</v>
      </c>
      <c r="R504" t="s">
        <v>31</v>
      </c>
      <c r="S504" t="s">
        <v>84</v>
      </c>
      <c r="T504" t="s">
        <v>33</v>
      </c>
      <c r="U504" t="s">
        <v>34</v>
      </c>
      <c r="V504" t="str">
        <f>IF(B504&lt;=18,"Children",IF(B504&lt;=35,"Young adult",IF(B504&lt;=60,"Adult", "Senior Citizen")))</f>
        <v>Adult</v>
      </c>
      <c r="W504" t="str">
        <f t="shared" si="49"/>
        <v>May</v>
      </c>
      <c r="X504">
        <f t="shared" si="50"/>
        <v>5</v>
      </c>
      <c r="Y504" t="str">
        <f t="shared" si="51"/>
        <v>Q2</v>
      </c>
      <c r="Z504">
        <f t="shared" si="52"/>
        <v>2026</v>
      </c>
      <c r="AA504" t="str">
        <f t="shared" si="53"/>
        <v>Monday</v>
      </c>
      <c r="AB504">
        <f t="shared" si="54"/>
        <v>-39</v>
      </c>
      <c r="AC504" t="str">
        <f>IF(OR(D504="Heart Disease",D504="Cancer",D504="Stroke"),"High",IF(OR(D504="Diabetes",D504="Asthma"),"Medium","Low"))</f>
        <v>High</v>
      </c>
      <c r="AD504" t="str">
        <f t="shared" si="55"/>
        <v>Yes</v>
      </c>
      <c r="AE504" t="str">
        <f>IF(G504&lt;=2,"Short Stay", IF(G504&lt;=7,"Normal Stay", "Long Stay"))</f>
        <v>Long Stay</v>
      </c>
      <c r="AF504" t="str">
        <f>IF(F504&gt;60000,"Expensive",IF(F504&gt;30000,"Moderate","Affordable"))</f>
        <v>Affordable</v>
      </c>
      <c r="AG504" t="str">
        <f>IF(J504&gt;=4.5,"Excellent",IF(J504&gt;=3.5,"Good",IF(J504&gt;=2.5,"Average","Poor")))</f>
        <v>Good</v>
      </c>
      <c r="AH504" t="str">
        <f>IF(OR(TEXT(N504,"dddd")="Saturday",TEXT(N504,"dddd")="Sunday"),"Weekend","Weekday")</f>
        <v>Weekday</v>
      </c>
    </row>
    <row r="505" spans="1:34" x14ac:dyDescent="0.3">
      <c r="A505">
        <v>512</v>
      </c>
      <c r="B505">
        <v>65</v>
      </c>
      <c r="C505" t="s">
        <v>35</v>
      </c>
      <c r="D505" t="s">
        <v>36</v>
      </c>
      <c r="E505" t="s">
        <v>37</v>
      </c>
      <c r="F505">
        <v>2000</v>
      </c>
      <c r="G505">
        <v>37</v>
      </c>
      <c r="H505" t="s">
        <v>24</v>
      </c>
      <c r="I505" t="s">
        <v>39</v>
      </c>
      <c r="J505">
        <v>3</v>
      </c>
      <c r="K505" t="s">
        <v>218</v>
      </c>
      <c r="L505" t="s">
        <v>1133</v>
      </c>
      <c r="M505" t="s">
        <v>1134</v>
      </c>
      <c r="N505" s="2">
        <v>46161</v>
      </c>
      <c r="O505" s="2">
        <v>46198</v>
      </c>
      <c r="P505" t="s">
        <v>43</v>
      </c>
      <c r="Q505" t="s">
        <v>44</v>
      </c>
      <c r="R505" t="s">
        <v>45</v>
      </c>
      <c r="S505" t="s">
        <v>53</v>
      </c>
      <c r="T505" t="s">
        <v>33</v>
      </c>
      <c r="U505" t="s">
        <v>46</v>
      </c>
      <c r="V505" t="str">
        <f>IF(B505&lt;=18,"Children",IF(B505&lt;=35,"Young adult",IF(B505&lt;=60,"Adult", "Senior Citizen")))</f>
        <v>Senior Citizen</v>
      </c>
      <c r="W505" t="str">
        <f t="shared" si="49"/>
        <v>May</v>
      </c>
      <c r="X505">
        <f t="shared" si="50"/>
        <v>5</v>
      </c>
      <c r="Y505" t="str">
        <f t="shared" si="51"/>
        <v>Q2</v>
      </c>
      <c r="Z505">
        <f t="shared" si="52"/>
        <v>2026</v>
      </c>
      <c r="AA505" t="str">
        <f t="shared" si="53"/>
        <v>Tuesday</v>
      </c>
      <c r="AB505">
        <f t="shared" si="54"/>
        <v>-37</v>
      </c>
      <c r="AC505" t="str">
        <f>IF(OR(D505="Heart Disease",D505="Cancer",D505="Stroke"),"High",IF(OR(D505="Diabetes",D505="Asthma"),"Medium","Low"))</f>
        <v>Medium</v>
      </c>
      <c r="AD505" t="str">
        <f t="shared" si="55"/>
        <v>No</v>
      </c>
      <c r="AE505" t="str">
        <f>IF(G505&lt;=2,"Short Stay", IF(G505&lt;=7,"Normal Stay", "Long Stay"))</f>
        <v>Long Stay</v>
      </c>
      <c r="AF505" t="str">
        <f>IF(F505&gt;60000,"Expensive",IF(F505&gt;30000,"Moderate","Affordable"))</f>
        <v>Affordable</v>
      </c>
      <c r="AG505" t="str">
        <f>IF(J505&gt;=4.5,"Excellent",IF(J505&gt;=3.5,"Good",IF(J505&gt;=2.5,"Average","Poor")))</f>
        <v>Average</v>
      </c>
      <c r="AH505" t="str">
        <f>IF(OR(TEXT(N505,"dddd")="Saturday",TEXT(N505,"dddd")="Sunday"),"Weekend","Weekday")</f>
        <v>Weekday</v>
      </c>
    </row>
    <row r="506" spans="1:34" x14ac:dyDescent="0.3">
      <c r="A506">
        <v>513</v>
      </c>
      <c r="B506">
        <v>30</v>
      </c>
      <c r="C506" t="s">
        <v>21</v>
      </c>
      <c r="D506" t="s">
        <v>47</v>
      </c>
      <c r="E506" t="s">
        <v>48</v>
      </c>
      <c r="F506">
        <v>500</v>
      </c>
      <c r="G506">
        <v>35</v>
      </c>
      <c r="H506" t="s">
        <v>24</v>
      </c>
      <c r="I506" t="s">
        <v>25</v>
      </c>
      <c r="J506">
        <v>5</v>
      </c>
      <c r="K506" t="s">
        <v>149</v>
      </c>
      <c r="L506" t="s">
        <v>1135</v>
      </c>
      <c r="M506" t="s">
        <v>1136</v>
      </c>
      <c r="N506" s="2">
        <v>46162</v>
      </c>
      <c r="O506" s="2">
        <v>46197</v>
      </c>
      <c r="P506" t="s">
        <v>29</v>
      </c>
      <c r="Q506" t="s">
        <v>52</v>
      </c>
      <c r="R506" t="s">
        <v>45</v>
      </c>
      <c r="S506" t="s">
        <v>110</v>
      </c>
      <c r="T506" t="s">
        <v>33</v>
      </c>
      <c r="U506" t="s">
        <v>46</v>
      </c>
      <c r="V506" t="str">
        <f>IF(B506&lt;=18,"Children",IF(B506&lt;=35,"Young adult",IF(B506&lt;=60,"Adult", "Senior Citizen")))</f>
        <v>Young adult</v>
      </c>
      <c r="W506" t="str">
        <f t="shared" si="49"/>
        <v>May</v>
      </c>
      <c r="X506">
        <f t="shared" si="50"/>
        <v>5</v>
      </c>
      <c r="Y506" t="str">
        <f t="shared" si="51"/>
        <v>Q2</v>
      </c>
      <c r="Z506">
        <f t="shared" si="52"/>
        <v>2026</v>
      </c>
      <c r="AA506" t="str">
        <f t="shared" si="53"/>
        <v>Wednesday</v>
      </c>
      <c r="AB506">
        <f t="shared" si="54"/>
        <v>-35</v>
      </c>
      <c r="AC506" t="str">
        <f>IF(OR(D506="Heart Disease",D506="Cancer",D506="Stroke"),"High",IF(OR(D506="Diabetes",D506="Asthma"),"Medium","Low"))</f>
        <v>Low</v>
      </c>
      <c r="AD506" t="str">
        <f t="shared" si="55"/>
        <v>No</v>
      </c>
      <c r="AE506" t="str">
        <f>IF(G506&lt;=2,"Short Stay", IF(G506&lt;=7,"Normal Stay", "Long Stay"))</f>
        <v>Long Stay</v>
      </c>
      <c r="AF506" t="str">
        <f>IF(F506&gt;60000,"Expensive",IF(F506&gt;30000,"Moderate","Affordable"))</f>
        <v>Affordable</v>
      </c>
      <c r="AG506" t="str">
        <f>IF(J506&gt;=4.5,"Excellent",IF(J506&gt;=3.5,"Good",IF(J506&gt;=2.5,"Average","Poor")))</f>
        <v>Excellent</v>
      </c>
      <c r="AH506" t="str">
        <f>IF(OR(TEXT(N506,"dddd")="Saturday",TEXT(N506,"dddd")="Sunday"),"Weekend","Weekday")</f>
        <v>Weekday</v>
      </c>
    </row>
    <row r="507" spans="1:34" x14ac:dyDescent="0.3">
      <c r="A507">
        <v>514</v>
      </c>
      <c r="B507">
        <v>70</v>
      </c>
      <c r="C507" t="s">
        <v>35</v>
      </c>
      <c r="D507" t="s">
        <v>54</v>
      </c>
      <c r="E507" t="s">
        <v>55</v>
      </c>
      <c r="F507">
        <v>10000</v>
      </c>
      <c r="G507">
        <v>42</v>
      </c>
      <c r="H507" t="s">
        <v>38</v>
      </c>
      <c r="I507" t="s">
        <v>39</v>
      </c>
      <c r="J507">
        <v>2</v>
      </c>
      <c r="K507" t="s">
        <v>324</v>
      </c>
      <c r="L507" t="s">
        <v>1137</v>
      </c>
      <c r="M507" t="s">
        <v>1138</v>
      </c>
      <c r="N507" s="2">
        <v>46163</v>
      </c>
      <c r="O507" s="2">
        <v>46205</v>
      </c>
      <c r="P507" t="s">
        <v>43</v>
      </c>
      <c r="Q507" t="s">
        <v>71</v>
      </c>
      <c r="R507" t="s">
        <v>59</v>
      </c>
      <c r="S507" t="s">
        <v>53</v>
      </c>
      <c r="T507" t="s">
        <v>33</v>
      </c>
      <c r="U507" t="s">
        <v>78</v>
      </c>
      <c r="V507" t="str">
        <f>IF(B507&lt;=18,"Children",IF(B507&lt;=35,"Young adult",IF(B507&lt;=60,"Adult", "Senior Citizen")))</f>
        <v>Senior Citizen</v>
      </c>
      <c r="W507" t="str">
        <f t="shared" si="49"/>
        <v>May</v>
      </c>
      <c r="X507">
        <f t="shared" si="50"/>
        <v>5</v>
      </c>
      <c r="Y507" t="str">
        <f t="shared" si="51"/>
        <v>Q2</v>
      </c>
      <c r="Z507">
        <f t="shared" si="52"/>
        <v>2026</v>
      </c>
      <c r="AA507" t="str">
        <f t="shared" si="53"/>
        <v>Thursday</v>
      </c>
      <c r="AB507">
        <f t="shared" si="54"/>
        <v>-42</v>
      </c>
      <c r="AC507" t="str">
        <f>IF(OR(D507="Heart Disease",D507="Cancer",D507="Stroke"),"High",IF(OR(D507="Diabetes",D507="Asthma"),"Medium","Low"))</f>
        <v>High</v>
      </c>
      <c r="AD507" t="str">
        <f t="shared" si="55"/>
        <v>Yes</v>
      </c>
      <c r="AE507" t="str">
        <f>IF(G507&lt;=2,"Short Stay", IF(G507&lt;=7,"Normal Stay", "Long Stay"))</f>
        <v>Long Stay</v>
      </c>
      <c r="AF507" t="str">
        <f>IF(F507&gt;60000,"Expensive",IF(F507&gt;30000,"Moderate","Affordable"))</f>
        <v>Affordable</v>
      </c>
      <c r="AG507" t="str">
        <f>IF(J507&gt;=4.5,"Excellent",IF(J507&gt;=3.5,"Good",IF(J507&gt;=2.5,"Average","Poor")))</f>
        <v>Poor</v>
      </c>
      <c r="AH507" t="str">
        <f>IF(OR(TEXT(N507,"dddd")="Saturday",TEXT(N507,"dddd")="Sunday"),"Weekend","Weekday")</f>
        <v>Weekday</v>
      </c>
    </row>
    <row r="508" spans="1:34" x14ac:dyDescent="0.3">
      <c r="A508">
        <v>515</v>
      </c>
      <c r="B508">
        <v>55</v>
      </c>
      <c r="C508" t="s">
        <v>21</v>
      </c>
      <c r="D508" t="s">
        <v>60</v>
      </c>
      <c r="E508" t="s">
        <v>61</v>
      </c>
      <c r="F508">
        <v>25000</v>
      </c>
      <c r="G508">
        <v>44</v>
      </c>
      <c r="H508" t="s">
        <v>24</v>
      </c>
      <c r="I508" t="s">
        <v>25</v>
      </c>
      <c r="J508">
        <v>4</v>
      </c>
      <c r="K508" t="s">
        <v>218</v>
      </c>
      <c r="L508" t="s">
        <v>1139</v>
      </c>
      <c r="M508" t="s">
        <v>1140</v>
      </c>
      <c r="N508" s="2">
        <v>46164</v>
      </c>
      <c r="O508" s="2">
        <v>46208</v>
      </c>
      <c r="P508" t="s">
        <v>43</v>
      </c>
      <c r="Q508" t="s">
        <v>44</v>
      </c>
      <c r="R508" t="s">
        <v>65</v>
      </c>
      <c r="S508" t="s">
        <v>32</v>
      </c>
      <c r="T508" t="s">
        <v>33</v>
      </c>
      <c r="U508" t="s">
        <v>78</v>
      </c>
      <c r="V508" t="str">
        <f>IF(B508&lt;=18,"Children",IF(B508&lt;=35,"Young adult",IF(B508&lt;=60,"Adult", "Senior Citizen")))</f>
        <v>Adult</v>
      </c>
      <c r="W508" t="str">
        <f t="shared" si="49"/>
        <v>May</v>
      </c>
      <c r="X508">
        <f t="shared" si="50"/>
        <v>5</v>
      </c>
      <c r="Y508" t="str">
        <f t="shared" si="51"/>
        <v>Q2</v>
      </c>
      <c r="Z508">
        <f t="shared" si="52"/>
        <v>2026</v>
      </c>
      <c r="AA508" t="str">
        <f t="shared" si="53"/>
        <v>Friday</v>
      </c>
      <c r="AB508">
        <f t="shared" si="54"/>
        <v>-44</v>
      </c>
      <c r="AC508" t="str">
        <f>IF(OR(D508="Heart Disease",D508="Cancer",D508="Stroke"),"High",IF(OR(D508="Diabetes",D508="Asthma"),"Medium","Low"))</f>
        <v>High</v>
      </c>
      <c r="AD508" t="str">
        <f t="shared" si="55"/>
        <v>Yes</v>
      </c>
      <c r="AE508" t="str">
        <f>IF(G508&lt;=2,"Short Stay", IF(G508&lt;=7,"Normal Stay", "Long Stay"))</f>
        <v>Long Stay</v>
      </c>
      <c r="AF508" t="str">
        <f>IF(F508&gt;60000,"Expensive",IF(F508&gt;30000,"Moderate","Affordable"))</f>
        <v>Affordable</v>
      </c>
      <c r="AG508" t="str">
        <f>IF(J508&gt;=4.5,"Excellent",IF(J508&gt;=3.5,"Good",IF(J508&gt;=2.5,"Average","Poor")))</f>
        <v>Good</v>
      </c>
      <c r="AH508" t="str">
        <f>IF(OR(TEXT(N508,"dddd")="Saturday",TEXT(N508,"dddd")="Sunday"),"Weekend","Weekday")</f>
        <v>Weekday</v>
      </c>
    </row>
    <row r="509" spans="1:34" x14ac:dyDescent="0.3">
      <c r="A509">
        <v>516</v>
      </c>
      <c r="B509">
        <v>68</v>
      </c>
      <c r="C509" t="s">
        <v>35</v>
      </c>
      <c r="D509" t="s">
        <v>66</v>
      </c>
      <c r="E509" t="s">
        <v>67</v>
      </c>
      <c r="F509">
        <v>1000</v>
      </c>
      <c r="G509">
        <v>36</v>
      </c>
      <c r="H509" t="s">
        <v>24</v>
      </c>
      <c r="I509" t="s">
        <v>39</v>
      </c>
      <c r="J509">
        <v>4</v>
      </c>
      <c r="K509" t="s">
        <v>197</v>
      </c>
      <c r="L509" t="s">
        <v>1141</v>
      </c>
      <c r="M509" t="s">
        <v>1142</v>
      </c>
      <c r="N509" s="2">
        <v>46165</v>
      </c>
      <c r="O509" s="2">
        <v>46201</v>
      </c>
      <c r="P509" t="s">
        <v>29</v>
      </c>
      <c r="Q509" t="s">
        <v>139</v>
      </c>
      <c r="R509" t="s">
        <v>45</v>
      </c>
      <c r="S509" t="s">
        <v>32</v>
      </c>
      <c r="T509" t="s">
        <v>33</v>
      </c>
      <c r="U509" t="s">
        <v>34</v>
      </c>
      <c r="V509" t="str">
        <f>IF(B509&lt;=18,"Children",IF(B509&lt;=35,"Young adult",IF(B509&lt;=60,"Adult", "Senior Citizen")))</f>
        <v>Senior Citizen</v>
      </c>
      <c r="W509" t="str">
        <f t="shared" si="49"/>
        <v>May</v>
      </c>
      <c r="X509">
        <f t="shared" si="50"/>
        <v>5</v>
      </c>
      <c r="Y509" t="str">
        <f t="shared" si="51"/>
        <v>Q2</v>
      </c>
      <c r="Z509">
        <f t="shared" si="52"/>
        <v>2026</v>
      </c>
      <c r="AA509" t="str">
        <f t="shared" si="53"/>
        <v>Saturday</v>
      </c>
      <c r="AB509">
        <f t="shared" si="54"/>
        <v>-36</v>
      </c>
      <c r="AC509" t="str">
        <f>IF(OR(D509="Heart Disease",D509="Cancer",D509="Stroke"),"High",IF(OR(D509="Diabetes",D509="Asthma"),"Medium","Low"))</f>
        <v>Low</v>
      </c>
      <c r="AD509" t="str">
        <f t="shared" si="55"/>
        <v>No</v>
      </c>
      <c r="AE509" t="str">
        <f>IF(G509&lt;=2,"Short Stay", IF(G509&lt;=7,"Normal Stay", "Long Stay"))</f>
        <v>Long Stay</v>
      </c>
      <c r="AF509" t="str">
        <f>IF(F509&gt;60000,"Expensive",IF(F509&gt;30000,"Moderate","Affordable"))</f>
        <v>Affordable</v>
      </c>
      <c r="AG509" t="str">
        <f>IF(J509&gt;=4.5,"Excellent",IF(J509&gt;=3.5,"Good",IF(J509&gt;=2.5,"Average","Poor")))</f>
        <v>Good</v>
      </c>
      <c r="AH509" t="str">
        <f>IF(OR(TEXT(N509,"dddd")="Saturday",TEXT(N509,"dddd")="Sunday"),"Weekend","Weekday")</f>
        <v>Weekend</v>
      </c>
    </row>
    <row r="510" spans="1:34" x14ac:dyDescent="0.3">
      <c r="A510">
        <v>517</v>
      </c>
      <c r="B510">
        <v>45</v>
      </c>
      <c r="C510" t="s">
        <v>21</v>
      </c>
      <c r="D510" t="s">
        <v>73</v>
      </c>
      <c r="E510" t="s">
        <v>74</v>
      </c>
      <c r="F510">
        <v>8000</v>
      </c>
      <c r="G510">
        <v>38</v>
      </c>
      <c r="H510" t="s">
        <v>24</v>
      </c>
      <c r="I510" t="s">
        <v>25</v>
      </c>
      <c r="J510">
        <v>3</v>
      </c>
      <c r="K510" t="s">
        <v>120</v>
      </c>
      <c r="L510" t="s">
        <v>1143</v>
      </c>
      <c r="M510" t="s">
        <v>1144</v>
      </c>
      <c r="N510" s="2">
        <v>46166</v>
      </c>
      <c r="O510" s="2">
        <v>46204</v>
      </c>
      <c r="P510" t="s">
        <v>43</v>
      </c>
      <c r="Q510" t="s">
        <v>139</v>
      </c>
      <c r="R510" t="s">
        <v>45</v>
      </c>
      <c r="S510" t="s">
        <v>32</v>
      </c>
      <c r="T510" t="s">
        <v>33</v>
      </c>
      <c r="U510" t="s">
        <v>104</v>
      </c>
      <c r="V510" t="str">
        <f>IF(B510&lt;=18,"Children",IF(B510&lt;=35,"Young adult",IF(B510&lt;=60,"Adult", "Senior Citizen")))</f>
        <v>Adult</v>
      </c>
      <c r="W510" t="str">
        <f t="shared" si="49"/>
        <v>May</v>
      </c>
      <c r="X510">
        <f t="shared" si="50"/>
        <v>5</v>
      </c>
      <c r="Y510" t="str">
        <f t="shared" si="51"/>
        <v>Q2</v>
      </c>
      <c r="Z510">
        <f t="shared" si="52"/>
        <v>2026</v>
      </c>
      <c r="AA510" t="str">
        <f t="shared" si="53"/>
        <v>Sunday</v>
      </c>
      <c r="AB510">
        <f t="shared" si="54"/>
        <v>-38</v>
      </c>
      <c r="AC510" t="str">
        <f>IF(OR(D510="Heart Disease",D510="Cancer",D510="Stroke"),"High",IF(OR(D510="Diabetes",D510="Asthma"),"Medium","Low"))</f>
        <v>Low</v>
      </c>
      <c r="AD510" t="str">
        <f t="shared" si="55"/>
        <v>No</v>
      </c>
      <c r="AE510" t="str">
        <f>IF(G510&lt;=2,"Short Stay", IF(G510&lt;=7,"Normal Stay", "Long Stay"))</f>
        <v>Long Stay</v>
      </c>
      <c r="AF510" t="str">
        <f>IF(F510&gt;60000,"Expensive",IF(F510&gt;30000,"Moderate","Affordable"))</f>
        <v>Affordable</v>
      </c>
      <c r="AG510" t="str">
        <f>IF(J510&gt;=4.5,"Excellent",IF(J510&gt;=3.5,"Good",IF(J510&gt;=2.5,"Average","Poor")))</f>
        <v>Average</v>
      </c>
      <c r="AH510" t="str">
        <f>IF(OR(TEXT(N510,"dddd")="Saturday",TEXT(N510,"dddd")="Sunday"),"Weekend","Weekday")</f>
        <v>Weekend</v>
      </c>
    </row>
    <row r="511" spans="1:34" x14ac:dyDescent="0.3">
      <c r="A511">
        <v>518</v>
      </c>
      <c r="B511">
        <v>40</v>
      </c>
      <c r="C511" t="s">
        <v>35</v>
      </c>
      <c r="D511" t="s">
        <v>79</v>
      </c>
      <c r="E511" t="s">
        <v>80</v>
      </c>
      <c r="F511">
        <v>3000</v>
      </c>
      <c r="G511">
        <v>40</v>
      </c>
      <c r="H511" t="s">
        <v>24</v>
      </c>
      <c r="I511" t="s">
        <v>25</v>
      </c>
      <c r="J511">
        <v>4</v>
      </c>
      <c r="K511" t="s">
        <v>107</v>
      </c>
      <c r="L511" t="s">
        <v>1145</v>
      </c>
      <c r="M511" t="s">
        <v>1146</v>
      </c>
      <c r="N511" s="2">
        <v>46167</v>
      </c>
      <c r="O511" s="2">
        <v>46207</v>
      </c>
      <c r="P511" t="s">
        <v>29</v>
      </c>
      <c r="Q511" t="s">
        <v>52</v>
      </c>
      <c r="R511" t="s">
        <v>45</v>
      </c>
      <c r="S511" t="s">
        <v>84</v>
      </c>
      <c r="T511" t="s">
        <v>33</v>
      </c>
      <c r="U511" t="s">
        <v>34</v>
      </c>
      <c r="V511" t="str">
        <f>IF(B511&lt;=18,"Children",IF(B511&lt;=35,"Young adult",IF(B511&lt;=60,"Adult", "Senior Citizen")))</f>
        <v>Adult</v>
      </c>
      <c r="W511" t="str">
        <f t="shared" si="49"/>
        <v>May</v>
      </c>
      <c r="X511">
        <f t="shared" si="50"/>
        <v>5</v>
      </c>
      <c r="Y511" t="str">
        <f t="shared" si="51"/>
        <v>Q2</v>
      </c>
      <c r="Z511">
        <f t="shared" si="52"/>
        <v>2026</v>
      </c>
      <c r="AA511" t="str">
        <f t="shared" si="53"/>
        <v>Monday</v>
      </c>
      <c r="AB511">
        <f t="shared" si="54"/>
        <v>-40</v>
      </c>
      <c r="AC511" t="str">
        <f>IF(OR(D511="Heart Disease",D511="Cancer",D511="Stroke"),"High",IF(OR(D511="Diabetes",D511="Asthma"),"Medium","Low"))</f>
        <v>Low</v>
      </c>
      <c r="AD511" t="str">
        <f t="shared" si="55"/>
        <v>No</v>
      </c>
      <c r="AE511" t="str">
        <f>IF(G511&lt;=2,"Short Stay", IF(G511&lt;=7,"Normal Stay", "Long Stay"))</f>
        <v>Long Stay</v>
      </c>
      <c r="AF511" t="str">
        <f>IF(F511&gt;60000,"Expensive",IF(F511&gt;30000,"Moderate","Affordable"))</f>
        <v>Affordable</v>
      </c>
      <c r="AG511" t="str">
        <f>IF(J511&gt;=4.5,"Excellent",IF(J511&gt;=3.5,"Good",IF(J511&gt;=2.5,"Average","Poor")))</f>
        <v>Good</v>
      </c>
      <c r="AH511" t="str">
        <f>IF(OR(TEXT(N511,"dddd")="Saturday",TEXT(N511,"dddd")="Sunday"),"Weekend","Weekday")</f>
        <v>Weekday</v>
      </c>
    </row>
    <row r="512" spans="1:34" x14ac:dyDescent="0.3">
      <c r="A512">
        <v>519</v>
      </c>
      <c r="B512">
        <v>78</v>
      </c>
      <c r="C512" t="s">
        <v>21</v>
      </c>
      <c r="D512" t="s">
        <v>85</v>
      </c>
      <c r="E512" t="s">
        <v>86</v>
      </c>
      <c r="F512">
        <v>18000</v>
      </c>
      <c r="G512">
        <v>42</v>
      </c>
      <c r="H512" t="s">
        <v>38</v>
      </c>
      <c r="I512" t="s">
        <v>39</v>
      </c>
      <c r="J512">
        <v>2</v>
      </c>
      <c r="K512" t="s">
        <v>178</v>
      </c>
      <c r="L512" t="s">
        <v>1147</v>
      </c>
      <c r="M512" t="s">
        <v>1148</v>
      </c>
      <c r="N512" s="2">
        <v>46168</v>
      </c>
      <c r="O512" s="2">
        <v>46210</v>
      </c>
      <c r="P512" t="s">
        <v>29</v>
      </c>
      <c r="Q512" t="s">
        <v>30</v>
      </c>
      <c r="R512" t="s">
        <v>45</v>
      </c>
      <c r="S512" t="s">
        <v>77</v>
      </c>
      <c r="T512" t="s">
        <v>33</v>
      </c>
      <c r="U512" t="s">
        <v>46</v>
      </c>
      <c r="V512" t="str">
        <f>IF(B512&lt;=18,"Children",IF(B512&lt;=35,"Young adult",IF(B512&lt;=60,"Adult", "Senior Citizen")))</f>
        <v>Senior Citizen</v>
      </c>
      <c r="W512" t="str">
        <f t="shared" si="49"/>
        <v>May</v>
      </c>
      <c r="X512">
        <f t="shared" si="50"/>
        <v>5</v>
      </c>
      <c r="Y512" t="str">
        <f t="shared" si="51"/>
        <v>Q2</v>
      </c>
      <c r="Z512">
        <f t="shared" si="52"/>
        <v>2026</v>
      </c>
      <c r="AA512" t="str">
        <f t="shared" si="53"/>
        <v>Tuesday</v>
      </c>
      <c r="AB512">
        <f t="shared" si="54"/>
        <v>-42</v>
      </c>
      <c r="AC512" t="str">
        <f>IF(OR(D512="Heart Disease",D512="Cancer",D512="Stroke"),"High",IF(OR(D512="Diabetes",D512="Asthma"),"Medium","Low"))</f>
        <v>Low</v>
      </c>
      <c r="AD512" t="str">
        <f t="shared" si="55"/>
        <v>No</v>
      </c>
      <c r="AE512" t="str">
        <f>IF(G512&lt;=2,"Short Stay", IF(G512&lt;=7,"Normal Stay", "Long Stay"))</f>
        <v>Long Stay</v>
      </c>
      <c r="AF512" t="str">
        <f>IF(F512&gt;60000,"Expensive",IF(F512&gt;30000,"Moderate","Affordable"))</f>
        <v>Affordable</v>
      </c>
      <c r="AG512" t="str">
        <f>IF(J512&gt;=4.5,"Excellent",IF(J512&gt;=3.5,"Good",IF(J512&gt;=2.5,"Average","Poor")))</f>
        <v>Poor</v>
      </c>
      <c r="AH512" t="str">
        <f>IF(OR(TEXT(N512,"dddd")="Saturday",TEXT(N512,"dddd")="Sunday"),"Weekend","Weekday")</f>
        <v>Weekday</v>
      </c>
    </row>
    <row r="513" spans="1:34" x14ac:dyDescent="0.3">
      <c r="A513">
        <v>520</v>
      </c>
      <c r="B513">
        <v>25</v>
      </c>
      <c r="C513" t="s">
        <v>35</v>
      </c>
      <c r="D513" t="s">
        <v>89</v>
      </c>
      <c r="E513" t="s">
        <v>90</v>
      </c>
      <c r="F513">
        <v>100</v>
      </c>
      <c r="G513">
        <v>35</v>
      </c>
      <c r="H513" t="s">
        <v>24</v>
      </c>
      <c r="I513" t="s">
        <v>25</v>
      </c>
      <c r="J513">
        <v>5</v>
      </c>
      <c r="K513" t="s">
        <v>281</v>
      </c>
      <c r="L513" t="s">
        <v>1149</v>
      </c>
      <c r="M513" t="s">
        <v>1150</v>
      </c>
      <c r="N513" s="2">
        <v>46169</v>
      </c>
      <c r="O513" s="2">
        <v>46204</v>
      </c>
      <c r="P513" t="s">
        <v>29</v>
      </c>
      <c r="Q513" t="s">
        <v>44</v>
      </c>
      <c r="R513" t="s">
        <v>45</v>
      </c>
      <c r="S513" t="s">
        <v>77</v>
      </c>
      <c r="T513" t="s">
        <v>33</v>
      </c>
      <c r="U513" t="s">
        <v>46</v>
      </c>
      <c r="V513" t="str">
        <f>IF(B513&lt;=18,"Children",IF(B513&lt;=35,"Young adult",IF(B513&lt;=60,"Adult", "Senior Citizen")))</f>
        <v>Young adult</v>
      </c>
      <c r="W513" t="str">
        <f t="shared" si="49"/>
        <v>May</v>
      </c>
      <c r="X513">
        <f t="shared" si="50"/>
        <v>5</v>
      </c>
      <c r="Y513" t="str">
        <f t="shared" si="51"/>
        <v>Q2</v>
      </c>
      <c r="Z513">
        <f t="shared" si="52"/>
        <v>2026</v>
      </c>
      <c r="AA513" t="str">
        <f t="shared" si="53"/>
        <v>Wednesday</v>
      </c>
      <c r="AB513">
        <f t="shared" si="54"/>
        <v>-35</v>
      </c>
      <c r="AC513" t="str">
        <f>IF(OR(D513="Heart Disease",D513="Cancer",D513="Stroke"),"High",IF(OR(D513="Diabetes",D513="Asthma"),"Medium","Low"))</f>
        <v>Low</v>
      </c>
      <c r="AD513" t="str">
        <f t="shared" si="55"/>
        <v>No</v>
      </c>
      <c r="AE513" t="str">
        <f>IF(G513&lt;=2,"Short Stay", IF(G513&lt;=7,"Normal Stay", "Long Stay"))</f>
        <v>Long Stay</v>
      </c>
      <c r="AF513" t="str">
        <f>IF(F513&gt;60000,"Expensive",IF(F513&gt;30000,"Moderate","Affordable"))</f>
        <v>Affordable</v>
      </c>
      <c r="AG513" t="str">
        <f>IF(J513&gt;=4.5,"Excellent",IF(J513&gt;=3.5,"Good",IF(J513&gt;=2.5,"Average","Poor")))</f>
        <v>Excellent</v>
      </c>
      <c r="AH513" t="str">
        <f>IF(OR(TEXT(N513,"dddd")="Saturday",TEXT(N513,"dddd")="Sunday"),"Weekend","Weekday")</f>
        <v>Weekday</v>
      </c>
    </row>
    <row r="514" spans="1:34" x14ac:dyDescent="0.3">
      <c r="A514">
        <v>521</v>
      </c>
      <c r="B514">
        <v>52</v>
      </c>
      <c r="C514" t="s">
        <v>21</v>
      </c>
      <c r="D514" t="s">
        <v>94</v>
      </c>
      <c r="E514" t="s">
        <v>95</v>
      </c>
      <c r="F514">
        <v>800</v>
      </c>
      <c r="G514">
        <v>36</v>
      </c>
      <c r="H514" t="s">
        <v>24</v>
      </c>
      <c r="I514" t="s">
        <v>39</v>
      </c>
      <c r="J514">
        <v>4</v>
      </c>
      <c r="K514" t="s">
        <v>125</v>
      </c>
      <c r="L514" t="s">
        <v>1151</v>
      </c>
      <c r="M514" t="s">
        <v>1152</v>
      </c>
      <c r="N514" s="2">
        <v>46170</v>
      </c>
      <c r="O514" s="2">
        <v>46206</v>
      </c>
      <c r="P514" t="s">
        <v>29</v>
      </c>
      <c r="Q514" t="s">
        <v>52</v>
      </c>
      <c r="R514" t="s">
        <v>45</v>
      </c>
      <c r="S514" t="s">
        <v>72</v>
      </c>
      <c r="T514" t="s">
        <v>33</v>
      </c>
      <c r="U514" t="s">
        <v>46</v>
      </c>
      <c r="V514" t="str">
        <f>IF(B514&lt;=18,"Children",IF(B514&lt;=35,"Young adult",IF(B514&lt;=60,"Adult", "Senior Citizen")))</f>
        <v>Adult</v>
      </c>
      <c r="W514" t="str">
        <f t="shared" si="49"/>
        <v>May</v>
      </c>
      <c r="X514">
        <f t="shared" si="50"/>
        <v>5</v>
      </c>
      <c r="Y514" t="str">
        <f t="shared" si="51"/>
        <v>Q2</v>
      </c>
      <c r="Z514">
        <f t="shared" si="52"/>
        <v>2026</v>
      </c>
      <c r="AA514" t="str">
        <f t="shared" si="53"/>
        <v>Thursday</v>
      </c>
      <c r="AB514">
        <f t="shared" si="54"/>
        <v>-36</v>
      </c>
      <c r="AC514" t="str">
        <f>IF(OR(D514="Heart Disease",D514="Cancer",D514="Stroke"),"High",IF(OR(D514="Diabetes",D514="Asthma"),"Medium","Low"))</f>
        <v>Low</v>
      </c>
      <c r="AD514" t="str">
        <f t="shared" si="55"/>
        <v>No</v>
      </c>
      <c r="AE514" t="str">
        <f>IF(G514&lt;=2,"Short Stay", IF(G514&lt;=7,"Normal Stay", "Long Stay"))</f>
        <v>Long Stay</v>
      </c>
      <c r="AF514" t="str">
        <f>IF(F514&gt;60000,"Expensive",IF(F514&gt;30000,"Moderate","Affordable"))</f>
        <v>Affordable</v>
      </c>
      <c r="AG514" t="str">
        <f>IF(J514&gt;=4.5,"Excellent",IF(J514&gt;=3.5,"Good",IF(J514&gt;=2.5,"Average","Poor")))</f>
        <v>Good</v>
      </c>
      <c r="AH514" t="str">
        <f>IF(OR(TEXT(N514,"dddd")="Saturday",TEXT(N514,"dddd")="Sunday"),"Weekend","Weekday")</f>
        <v>Weekday</v>
      </c>
    </row>
    <row r="515" spans="1:34" x14ac:dyDescent="0.3">
      <c r="A515">
        <v>522</v>
      </c>
      <c r="B515">
        <v>58</v>
      </c>
      <c r="C515" t="s">
        <v>35</v>
      </c>
      <c r="D515" t="s">
        <v>99</v>
      </c>
      <c r="E515" t="s">
        <v>100</v>
      </c>
      <c r="F515">
        <v>20000</v>
      </c>
      <c r="G515">
        <v>43</v>
      </c>
      <c r="H515" t="s">
        <v>24</v>
      </c>
      <c r="I515" t="s">
        <v>25</v>
      </c>
      <c r="J515">
        <v>3</v>
      </c>
      <c r="K515" t="s">
        <v>194</v>
      </c>
      <c r="L515" t="s">
        <v>1153</v>
      </c>
      <c r="M515" t="s">
        <v>1154</v>
      </c>
      <c r="N515" s="2">
        <v>46171</v>
      </c>
      <c r="O515" s="2">
        <v>46214</v>
      </c>
      <c r="P515" t="s">
        <v>43</v>
      </c>
      <c r="Q515" t="s">
        <v>52</v>
      </c>
      <c r="R515" t="s">
        <v>45</v>
      </c>
      <c r="S515" t="s">
        <v>53</v>
      </c>
      <c r="T515" t="s">
        <v>33</v>
      </c>
      <c r="U515" t="s">
        <v>104</v>
      </c>
      <c r="V515" t="str">
        <f>IF(B515&lt;=18,"Children",IF(B515&lt;=35,"Young adult",IF(B515&lt;=60,"Adult", "Senior Citizen")))</f>
        <v>Adult</v>
      </c>
      <c r="W515" t="str">
        <f t="shared" ref="W515:W578" si="56">TEXT(N515,"MMM")</f>
        <v>May</v>
      </c>
      <c r="X515">
        <f t="shared" ref="X515:X578" si="57">MONTH(N515)</f>
        <v>5</v>
      </c>
      <c r="Y515" t="str">
        <f t="shared" ref="Y515:Y578" si="58">"Q"&amp;ROUNDUP(MONTH(N515)/3,0)</f>
        <v>Q2</v>
      </c>
      <c r="Z515">
        <f t="shared" ref="Z515:Z578" si="59">YEAR(N515)</f>
        <v>2026</v>
      </c>
      <c r="AA515" t="str">
        <f t="shared" ref="AA515:AA578" si="60">TEXT(N515, "dddd")</f>
        <v>Friday</v>
      </c>
      <c r="AB515">
        <f t="shared" ref="AB515:AB578" si="61">N515-O515</f>
        <v>-43</v>
      </c>
      <c r="AC515" t="str">
        <f>IF(OR(D515="Heart Disease",D515="Cancer",D515="Stroke"),"High",IF(OR(D515="Diabetes",D515="Asthma"),"Medium","Low"))</f>
        <v>Low</v>
      </c>
      <c r="AD515" t="str">
        <f t="shared" ref="AD515:AD578" si="62">IF(AC515="High","Yes","No")</f>
        <v>No</v>
      </c>
      <c r="AE515" t="str">
        <f>IF(G515&lt;=2,"Short Stay", IF(G515&lt;=7,"Normal Stay", "Long Stay"))</f>
        <v>Long Stay</v>
      </c>
      <c r="AF515" t="str">
        <f>IF(F515&gt;60000,"Expensive",IF(F515&gt;30000,"Moderate","Affordable"))</f>
        <v>Affordable</v>
      </c>
      <c r="AG515" t="str">
        <f>IF(J515&gt;=4.5,"Excellent",IF(J515&gt;=3.5,"Good",IF(J515&gt;=2.5,"Average","Poor")))</f>
        <v>Average</v>
      </c>
      <c r="AH515" t="str">
        <f>IF(OR(TEXT(N515,"dddd")="Saturday",TEXT(N515,"dddd")="Sunday"),"Weekend","Weekday")</f>
        <v>Weekday</v>
      </c>
    </row>
    <row r="516" spans="1:34" x14ac:dyDescent="0.3">
      <c r="A516">
        <v>523</v>
      </c>
      <c r="B516">
        <v>32</v>
      </c>
      <c r="C516" t="s">
        <v>21</v>
      </c>
      <c r="D516" t="s">
        <v>105</v>
      </c>
      <c r="E516" t="s">
        <v>106</v>
      </c>
      <c r="F516">
        <v>12000</v>
      </c>
      <c r="G516">
        <v>37</v>
      </c>
      <c r="H516" t="s">
        <v>24</v>
      </c>
      <c r="I516" t="s">
        <v>25</v>
      </c>
      <c r="J516">
        <v>4</v>
      </c>
      <c r="K516" t="s">
        <v>429</v>
      </c>
      <c r="L516" t="s">
        <v>1155</v>
      </c>
      <c r="M516" t="s">
        <v>1156</v>
      </c>
      <c r="N516" s="2">
        <v>46172</v>
      </c>
      <c r="O516" s="2">
        <v>46209</v>
      </c>
      <c r="P516" t="s">
        <v>43</v>
      </c>
      <c r="Q516" t="s">
        <v>71</v>
      </c>
      <c r="R516" t="s">
        <v>45</v>
      </c>
      <c r="S516" t="s">
        <v>53</v>
      </c>
      <c r="T516" t="s">
        <v>33</v>
      </c>
      <c r="U516" t="s">
        <v>46</v>
      </c>
      <c r="V516" t="str">
        <f>IF(B516&lt;=18,"Children",IF(B516&lt;=35,"Young adult",IF(B516&lt;=60,"Adult", "Senior Citizen")))</f>
        <v>Young adult</v>
      </c>
      <c r="W516" t="str">
        <f t="shared" si="56"/>
        <v>May</v>
      </c>
      <c r="X516">
        <f t="shared" si="57"/>
        <v>5</v>
      </c>
      <c r="Y516" t="str">
        <f t="shared" si="58"/>
        <v>Q2</v>
      </c>
      <c r="Z516">
        <f t="shared" si="59"/>
        <v>2026</v>
      </c>
      <c r="AA516" t="str">
        <f t="shared" si="60"/>
        <v>Saturday</v>
      </c>
      <c r="AB516">
        <f t="shared" si="61"/>
        <v>-37</v>
      </c>
      <c r="AC516" t="str">
        <f>IF(OR(D516="Heart Disease",D516="Cancer",D516="Stroke"),"High",IF(OR(D516="Diabetes",D516="Asthma"),"Medium","Low"))</f>
        <v>Low</v>
      </c>
      <c r="AD516" t="str">
        <f t="shared" si="62"/>
        <v>No</v>
      </c>
      <c r="AE516" t="str">
        <f>IF(G516&lt;=2,"Short Stay", IF(G516&lt;=7,"Normal Stay", "Long Stay"))</f>
        <v>Long Stay</v>
      </c>
      <c r="AF516" t="str">
        <f>IF(F516&gt;60000,"Expensive",IF(F516&gt;30000,"Moderate","Affordable"))</f>
        <v>Affordable</v>
      </c>
      <c r="AG516" t="str">
        <f>IF(J516&gt;=4.5,"Excellent",IF(J516&gt;=3.5,"Good",IF(J516&gt;=2.5,"Average","Poor")))</f>
        <v>Good</v>
      </c>
      <c r="AH516" t="str">
        <f>IF(OR(TEXT(N516,"dddd")="Saturday",TEXT(N516,"dddd")="Sunday"),"Weekend","Weekday")</f>
        <v>Weekend</v>
      </c>
    </row>
    <row r="517" spans="1:34" x14ac:dyDescent="0.3">
      <c r="A517">
        <v>524</v>
      </c>
      <c r="B517">
        <v>55</v>
      </c>
      <c r="C517" t="s">
        <v>35</v>
      </c>
      <c r="D517" t="s">
        <v>111</v>
      </c>
      <c r="E517" t="s">
        <v>112</v>
      </c>
      <c r="F517">
        <v>6000</v>
      </c>
      <c r="G517">
        <v>38</v>
      </c>
      <c r="H517" t="s">
        <v>24</v>
      </c>
      <c r="I517" t="s">
        <v>25</v>
      </c>
      <c r="J517">
        <v>3</v>
      </c>
      <c r="K517" t="s">
        <v>200</v>
      </c>
      <c r="L517" t="s">
        <v>1157</v>
      </c>
      <c r="M517" t="s">
        <v>1158</v>
      </c>
      <c r="N517" s="2">
        <v>46173</v>
      </c>
      <c r="O517" s="2">
        <v>46211</v>
      </c>
      <c r="P517" t="s">
        <v>29</v>
      </c>
      <c r="Q517" t="s">
        <v>139</v>
      </c>
      <c r="R517" t="s">
        <v>45</v>
      </c>
      <c r="S517" t="s">
        <v>77</v>
      </c>
      <c r="T517" t="s">
        <v>33</v>
      </c>
      <c r="U517" t="s">
        <v>34</v>
      </c>
      <c r="V517" t="str">
        <f>IF(B517&lt;=18,"Children",IF(B517&lt;=35,"Young adult",IF(B517&lt;=60,"Adult", "Senior Citizen")))</f>
        <v>Adult</v>
      </c>
      <c r="W517" t="str">
        <f t="shared" si="56"/>
        <v>May</v>
      </c>
      <c r="X517">
        <f t="shared" si="57"/>
        <v>5</v>
      </c>
      <c r="Y517" t="str">
        <f t="shared" si="58"/>
        <v>Q2</v>
      </c>
      <c r="Z517">
        <f t="shared" si="59"/>
        <v>2026</v>
      </c>
      <c r="AA517" t="str">
        <f t="shared" si="60"/>
        <v>Sunday</v>
      </c>
      <c r="AB517">
        <f t="shared" si="61"/>
        <v>-38</v>
      </c>
      <c r="AC517" t="str">
        <f>IF(OR(D517="Heart Disease",D517="Cancer",D517="Stroke"),"High",IF(OR(D517="Diabetes",D517="Asthma"),"Medium","Low"))</f>
        <v>Low</v>
      </c>
      <c r="AD517" t="str">
        <f t="shared" si="62"/>
        <v>No</v>
      </c>
      <c r="AE517" t="str">
        <f>IF(G517&lt;=2,"Short Stay", IF(G517&lt;=7,"Normal Stay", "Long Stay"))</f>
        <v>Long Stay</v>
      </c>
      <c r="AF517" t="str">
        <f>IF(F517&gt;60000,"Expensive",IF(F517&gt;30000,"Moderate","Affordable"))</f>
        <v>Affordable</v>
      </c>
      <c r="AG517" t="str">
        <f>IF(J517&gt;=4.5,"Excellent",IF(J517&gt;=3.5,"Good",IF(J517&gt;=2.5,"Average","Poor")))</f>
        <v>Average</v>
      </c>
      <c r="AH517" t="str">
        <f>IF(OR(TEXT(N517,"dddd")="Saturday",TEXT(N517,"dddd")="Sunday"),"Weekend","Weekday")</f>
        <v>Weekend</v>
      </c>
    </row>
    <row r="518" spans="1:34" x14ac:dyDescent="0.3">
      <c r="A518">
        <v>525</v>
      </c>
      <c r="B518">
        <v>65</v>
      </c>
      <c r="C518" t="s">
        <v>21</v>
      </c>
      <c r="D518" t="s">
        <v>116</v>
      </c>
      <c r="E518" t="s">
        <v>117</v>
      </c>
      <c r="F518">
        <v>4000</v>
      </c>
      <c r="G518">
        <v>39</v>
      </c>
      <c r="H518" t="s">
        <v>24</v>
      </c>
      <c r="I518" t="s">
        <v>39</v>
      </c>
      <c r="J518">
        <v>4</v>
      </c>
      <c r="K518" t="s">
        <v>281</v>
      </c>
      <c r="L518" t="s">
        <v>1159</v>
      </c>
      <c r="M518" t="s">
        <v>1160</v>
      </c>
      <c r="N518" s="2">
        <v>46174</v>
      </c>
      <c r="O518" s="2">
        <v>46213</v>
      </c>
      <c r="P518" t="s">
        <v>43</v>
      </c>
      <c r="Q518" t="s">
        <v>52</v>
      </c>
      <c r="R518" t="s">
        <v>45</v>
      </c>
      <c r="S518" t="s">
        <v>72</v>
      </c>
      <c r="T518" t="s">
        <v>33</v>
      </c>
      <c r="U518" t="s">
        <v>78</v>
      </c>
      <c r="V518" t="str">
        <f>IF(B518&lt;=18,"Children",IF(B518&lt;=35,"Young adult",IF(B518&lt;=60,"Adult", "Senior Citizen")))</f>
        <v>Senior Citizen</v>
      </c>
      <c r="W518" t="str">
        <f t="shared" si="56"/>
        <v>Jun</v>
      </c>
      <c r="X518">
        <f t="shared" si="57"/>
        <v>6</v>
      </c>
      <c r="Y518" t="str">
        <f t="shared" si="58"/>
        <v>Q2</v>
      </c>
      <c r="Z518">
        <f t="shared" si="59"/>
        <v>2026</v>
      </c>
      <c r="AA518" t="str">
        <f t="shared" si="60"/>
        <v>Monday</v>
      </c>
      <c r="AB518">
        <f t="shared" si="61"/>
        <v>-39</v>
      </c>
      <c r="AC518" t="str">
        <f>IF(OR(D518="Heart Disease",D518="Cancer",D518="Stroke"),"High",IF(OR(D518="Diabetes",D518="Asthma"),"Medium","Low"))</f>
        <v>Low</v>
      </c>
      <c r="AD518" t="str">
        <f t="shared" si="62"/>
        <v>No</v>
      </c>
      <c r="AE518" t="str">
        <f>IF(G518&lt;=2,"Short Stay", IF(G518&lt;=7,"Normal Stay", "Long Stay"))</f>
        <v>Long Stay</v>
      </c>
      <c r="AF518" t="str">
        <f>IF(F518&gt;60000,"Expensive",IF(F518&gt;30000,"Moderate","Affordable"))</f>
        <v>Affordable</v>
      </c>
      <c r="AG518" t="str">
        <f>IF(J518&gt;=4.5,"Excellent",IF(J518&gt;=3.5,"Good",IF(J518&gt;=2.5,"Average","Poor")))</f>
        <v>Good</v>
      </c>
      <c r="AH518" t="str">
        <f>IF(OR(TEXT(N518,"dddd")="Saturday",TEXT(N518,"dddd")="Sunday"),"Weekend","Weekday")</f>
        <v>Weekday</v>
      </c>
    </row>
    <row r="519" spans="1:34" x14ac:dyDescent="0.3">
      <c r="A519">
        <v>526</v>
      </c>
      <c r="B519">
        <v>55</v>
      </c>
      <c r="C519" t="s">
        <v>21</v>
      </c>
      <c r="D519" t="s">
        <v>22</v>
      </c>
      <c r="E519" t="s">
        <v>23</v>
      </c>
      <c r="F519">
        <v>15000</v>
      </c>
      <c r="G519">
        <v>40</v>
      </c>
      <c r="H519" t="s">
        <v>38</v>
      </c>
      <c r="I519" t="s">
        <v>25</v>
      </c>
      <c r="J519">
        <v>3</v>
      </c>
      <c r="K519" t="s">
        <v>157</v>
      </c>
      <c r="L519" t="s">
        <v>1161</v>
      </c>
      <c r="M519" t="s">
        <v>1162</v>
      </c>
      <c r="N519" s="2">
        <v>46175</v>
      </c>
      <c r="O519" s="2">
        <v>46215</v>
      </c>
      <c r="P519" t="s">
        <v>43</v>
      </c>
      <c r="Q519" t="s">
        <v>71</v>
      </c>
      <c r="R519" t="s">
        <v>31</v>
      </c>
      <c r="S519" t="s">
        <v>53</v>
      </c>
      <c r="T519" t="s">
        <v>33</v>
      </c>
      <c r="U519" t="s">
        <v>46</v>
      </c>
      <c r="V519" t="str">
        <f>IF(B519&lt;=18,"Children",IF(B519&lt;=35,"Young adult",IF(B519&lt;=60,"Adult", "Senior Citizen")))</f>
        <v>Adult</v>
      </c>
      <c r="W519" t="str">
        <f t="shared" si="56"/>
        <v>Jun</v>
      </c>
      <c r="X519">
        <f t="shared" si="57"/>
        <v>6</v>
      </c>
      <c r="Y519" t="str">
        <f t="shared" si="58"/>
        <v>Q2</v>
      </c>
      <c r="Z519">
        <f t="shared" si="59"/>
        <v>2026</v>
      </c>
      <c r="AA519" t="str">
        <f t="shared" si="60"/>
        <v>Tuesday</v>
      </c>
      <c r="AB519">
        <f t="shared" si="61"/>
        <v>-40</v>
      </c>
      <c r="AC519" t="str">
        <f>IF(OR(D519="Heart Disease",D519="Cancer",D519="Stroke"),"High",IF(OR(D519="Diabetes",D519="Asthma"),"Medium","Low"))</f>
        <v>High</v>
      </c>
      <c r="AD519" t="str">
        <f t="shared" si="62"/>
        <v>Yes</v>
      </c>
      <c r="AE519" t="str">
        <f>IF(G519&lt;=2,"Short Stay", IF(G519&lt;=7,"Normal Stay", "Long Stay"))</f>
        <v>Long Stay</v>
      </c>
      <c r="AF519" t="str">
        <f>IF(F519&gt;60000,"Expensive",IF(F519&gt;30000,"Moderate","Affordable"))</f>
        <v>Affordable</v>
      </c>
      <c r="AG519" t="str">
        <f>IF(J519&gt;=4.5,"Excellent",IF(J519&gt;=3.5,"Good",IF(J519&gt;=2.5,"Average","Poor")))</f>
        <v>Average</v>
      </c>
      <c r="AH519" t="str">
        <f>IF(OR(TEXT(N519,"dddd")="Saturday",TEXT(N519,"dddd")="Sunday"),"Weekend","Weekday")</f>
        <v>Weekday</v>
      </c>
    </row>
    <row r="520" spans="1:34" x14ac:dyDescent="0.3">
      <c r="A520">
        <v>527</v>
      </c>
      <c r="B520">
        <v>62</v>
      </c>
      <c r="C520" t="s">
        <v>35</v>
      </c>
      <c r="D520" t="s">
        <v>36</v>
      </c>
      <c r="E520" t="s">
        <v>37</v>
      </c>
      <c r="F520">
        <v>2000</v>
      </c>
      <c r="G520">
        <v>38</v>
      </c>
      <c r="H520" t="s">
        <v>24</v>
      </c>
      <c r="I520" t="s">
        <v>39</v>
      </c>
      <c r="J520">
        <v>4</v>
      </c>
      <c r="K520" t="s">
        <v>345</v>
      </c>
      <c r="L520" t="s">
        <v>1163</v>
      </c>
      <c r="M520" t="s">
        <v>1164</v>
      </c>
      <c r="N520" s="2">
        <v>46176</v>
      </c>
      <c r="O520" s="2">
        <v>46214</v>
      </c>
      <c r="P520" t="s">
        <v>43</v>
      </c>
      <c r="Q520" t="s">
        <v>139</v>
      </c>
      <c r="R520" t="s">
        <v>45</v>
      </c>
      <c r="S520" t="s">
        <v>77</v>
      </c>
      <c r="T520" t="s">
        <v>33</v>
      </c>
      <c r="U520" t="s">
        <v>78</v>
      </c>
      <c r="V520" t="str">
        <f>IF(B520&lt;=18,"Children",IF(B520&lt;=35,"Young adult",IF(B520&lt;=60,"Adult", "Senior Citizen")))</f>
        <v>Senior Citizen</v>
      </c>
      <c r="W520" t="str">
        <f t="shared" si="56"/>
        <v>Jun</v>
      </c>
      <c r="X520">
        <f t="shared" si="57"/>
        <v>6</v>
      </c>
      <c r="Y520" t="str">
        <f t="shared" si="58"/>
        <v>Q2</v>
      </c>
      <c r="Z520">
        <f t="shared" si="59"/>
        <v>2026</v>
      </c>
      <c r="AA520" t="str">
        <f t="shared" si="60"/>
        <v>Wednesday</v>
      </c>
      <c r="AB520">
        <f t="shared" si="61"/>
        <v>-38</v>
      </c>
      <c r="AC520" t="str">
        <f>IF(OR(D520="Heart Disease",D520="Cancer",D520="Stroke"),"High",IF(OR(D520="Diabetes",D520="Asthma"),"Medium","Low"))</f>
        <v>Medium</v>
      </c>
      <c r="AD520" t="str">
        <f t="shared" si="62"/>
        <v>No</v>
      </c>
      <c r="AE520" t="str">
        <f>IF(G520&lt;=2,"Short Stay", IF(G520&lt;=7,"Normal Stay", "Long Stay"))</f>
        <v>Long Stay</v>
      </c>
      <c r="AF520" t="str">
        <f>IF(F520&gt;60000,"Expensive",IF(F520&gt;30000,"Moderate","Affordable"))</f>
        <v>Affordable</v>
      </c>
      <c r="AG520" t="str">
        <f>IF(J520&gt;=4.5,"Excellent",IF(J520&gt;=3.5,"Good",IF(J520&gt;=2.5,"Average","Poor")))</f>
        <v>Good</v>
      </c>
      <c r="AH520" t="str">
        <f>IF(OR(TEXT(N520,"dddd")="Saturday",TEXT(N520,"dddd")="Sunday"),"Weekend","Weekday")</f>
        <v>Weekday</v>
      </c>
    </row>
    <row r="521" spans="1:34" x14ac:dyDescent="0.3">
      <c r="A521">
        <v>528</v>
      </c>
      <c r="B521">
        <v>35</v>
      </c>
      <c r="C521" t="s">
        <v>21</v>
      </c>
      <c r="D521" t="s">
        <v>47</v>
      </c>
      <c r="E521" t="s">
        <v>48</v>
      </c>
      <c r="F521">
        <v>500</v>
      </c>
      <c r="G521">
        <v>36</v>
      </c>
      <c r="H521" t="s">
        <v>38</v>
      </c>
      <c r="I521" t="s">
        <v>25</v>
      </c>
      <c r="J521">
        <v>5</v>
      </c>
      <c r="K521" t="s">
        <v>194</v>
      </c>
      <c r="L521" t="s">
        <v>1165</v>
      </c>
      <c r="M521" t="s">
        <v>1166</v>
      </c>
      <c r="N521" s="2">
        <v>46177</v>
      </c>
      <c r="O521" s="2">
        <v>46213</v>
      </c>
      <c r="P521" t="s">
        <v>29</v>
      </c>
      <c r="Q521" t="s">
        <v>30</v>
      </c>
      <c r="R521" t="s">
        <v>45</v>
      </c>
      <c r="S521" t="s">
        <v>110</v>
      </c>
      <c r="T521" t="s">
        <v>33</v>
      </c>
      <c r="U521" t="s">
        <v>104</v>
      </c>
      <c r="V521" t="str">
        <f>IF(B521&lt;=18,"Children",IF(B521&lt;=35,"Young adult",IF(B521&lt;=60,"Adult", "Senior Citizen")))</f>
        <v>Young adult</v>
      </c>
      <c r="W521" t="str">
        <f t="shared" si="56"/>
        <v>Jun</v>
      </c>
      <c r="X521">
        <f t="shared" si="57"/>
        <v>6</v>
      </c>
      <c r="Y521" t="str">
        <f t="shared" si="58"/>
        <v>Q2</v>
      </c>
      <c r="Z521">
        <f t="shared" si="59"/>
        <v>2026</v>
      </c>
      <c r="AA521" t="str">
        <f t="shared" si="60"/>
        <v>Thursday</v>
      </c>
      <c r="AB521">
        <f t="shared" si="61"/>
        <v>-36</v>
      </c>
      <c r="AC521" t="str">
        <f>IF(OR(D521="Heart Disease",D521="Cancer",D521="Stroke"),"High",IF(OR(D521="Diabetes",D521="Asthma"),"Medium","Low"))</f>
        <v>Low</v>
      </c>
      <c r="AD521" t="str">
        <f t="shared" si="62"/>
        <v>No</v>
      </c>
      <c r="AE521" t="str">
        <f>IF(G521&lt;=2,"Short Stay", IF(G521&lt;=7,"Normal Stay", "Long Stay"))</f>
        <v>Long Stay</v>
      </c>
      <c r="AF521" t="str">
        <f>IF(F521&gt;60000,"Expensive",IF(F521&gt;30000,"Moderate","Affordable"))</f>
        <v>Affordable</v>
      </c>
      <c r="AG521" t="str">
        <f>IF(J521&gt;=4.5,"Excellent",IF(J521&gt;=3.5,"Good",IF(J521&gt;=2.5,"Average","Poor")))</f>
        <v>Excellent</v>
      </c>
      <c r="AH521" t="str">
        <f>IF(OR(TEXT(N521,"dddd")="Saturday",TEXT(N521,"dddd")="Sunday"),"Weekend","Weekday")</f>
        <v>Weekday</v>
      </c>
    </row>
    <row r="522" spans="1:34" x14ac:dyDescent="0.3">
      <c r="A522">
        <v>529</v>
      </c>
      <c r="B522">
        <v>78</v>
      </c>
      <c r="C522" t="s">
        <v>35</v>
      </c>
      <c r="D522" t="s">
        <v>54</v>
      </c>
      <c r="E522" t="s">
        <v>55</v>
      </c>
      <c r="F522">
        <v>10000</v>
      </c>
      <c r="G522">
        <v>43</v>
      </c>
      <c r="H522" t="s">
        <v>24</v>
      </c>
      <c r="I522" t="s">
        <v>39</v>
      </c>
      <c r="J522">
        <v>2</v>
      </c>
      <c r="K522" t="s">
        <v>336</v>
      </c>
      <c r="L522" t="s">
        <v>1167</v>
      </c>
      <c r="M522" t="s">
        <v>1168</v>
      </c>
      <c r="N522" s="2">
        <v>46178</v>
      </c>
      <c r="O522" s="2">
        <v>46221</v>
      </c>
      <c r="P522" t="s">
        <v>29</v>
      </c>
      <c r="Q522" t="s">
        <v>71</v>
      </c>
      <c r="R522" t="s">
        <v>59</v>
      </c>
      <c r="S522" t="s">
        <v>84</v>
      </c>
      <c r="T522" t="s">
        <v>33</v>
      </c>
      <c r="U522" t="s">
        <v>104</v>
      </c>
      <c r="V522" t="str">
        <f>IF(B522&lt;=18,"Children",IF(B522&lt;=35,"Young adult",IF(B522&lt;=60,"Adult", "Senior Citizen")))</f>
        <v>Senior Citizen</v>
      </c>
      <c r="W522" t="str">
        <f t="shared" si="56"/>
        <v>Jun</v>
      </c>
      <c r="X522">
        <f t="shared" si="57"/>
        <v>6</v>
      </c>
      <c r="Y522" t="str">
        <f t="shared" si="58"/>
        <v>Q2</v>
      </c>
      <c r="Z522">
        <f t="shared" si="59"/>
        <v>2026</v>
      </c>
      <c r="AA522" t="str">
        <f t="shared" si="60"/>
        <v>Friday</v>
      </c>
      <c r="AB522">
        <f t="shared" si="61"/>
        <v>-43</v>
      </c>
      <c r="AC522" t="str">
        <f>IF(OR(D522="Heart Disease",D522="Cancer",D522="Stroke"),"High",IF(OR(D522="Diabetes",D522="Asthma"),"Medium","Low"))</f>
        <v>High</v>
      </c>
      <c r="AD522" t="str">
        <f t="shared" si="62"/>
        <v>Yes</v>
      </c>
      <c r="AE522" t="str">
        <f>IF(G522&lt;=2,"Short Stay", IF(G522&lt;=7,"Normal Stay", "Long Stay"))</f>
        <v>Long Stay</v>
      </c>
      <c r="AF522" t="str">
        <f>IF(F522&gt;60000,"Expensive",IF(F522&gt;30000,"Moderate","Affordable"))</f>
        <v>Affordable</v>
      </c>
      <c r="AG522" t="str">
        <f>IF(J522&gt;=4.5,"Excellent",IF(J522&gt;=3.5,"Good",IF(J522&gt;=2.5,"Average","Poor")))</f>
        <v>Poor</v>
      </c>
      <c r="AH522" t="str">
        <f>IF(OR(TEXT(N522,"dddd")="Saturday",TEXT(N522,"dddd")="Sunday"),"Weekend","Weekday")</f>
        <v>Weekday</v>
      </c>
    </row>
    <row r="523" spans="1:34" x14ac:dyDescent="0.3">
      <c r="A523">
        <v>530</v>
      </c>
      <c r="B523">
        <v>53</v>
      </c>
      <c r="C523" t="s">
        <v>21</v>
      </c>
      <c r="D523" t="s">
        <v>60</v>
      </c>
      <c r="E523" t="s">
        <v>61</v>
      </c>
      <c r="F523">
        <v>25000</v>
      </c>
      <c r="G523">
        <v>45</v>
      </c>
      <c r="H523" t="s">
        <v>38</v>
      </c>
      <c r="I523" t="s">
        <v>25</v>
      </c>
      <c r="J523">
        <v>4</v>
      </c>
      <c r="K523" t="s">
        <v>157</v>
      </c>
      <c r="L523" t="s">
        <v>1169</v>
      </c>
      <c r="M523" t="s">
        <v>1170</v>
      </c>
      <c r="N523" s="2">
        <v>46179</v>
      </c>
      <c r="O523" s="2">
        <v>46224</v>
      </c>
      <c r="P523" t="s">
        <v>29</v>
      </c>
      <c r="Q523" t="s">
        <v>52</v>
      </c>
      <c r="R523" t="s">
        <v>65</v>
      </c>
      <c r="S523" t="s">
        <v>53</v>
      </c>
      <c r="T523" t="s">
        <v>33</v>
      </c>
      <c r="U523" t="s">
        <v>104</v>
      </c>
      <c r="V523" t="str">
        <f>IF(B523&lt;=18,"Children",IF(B523&lt;=35,"Young adult",IF(B523&lt;=60,"Adult", "Senior Citizen")))</f>
        <v>Adult</v>
      </c>
      <c r="W523" t="str">
        <f t="shared" si="56"/>
        <v>Jun</v>
      </c>
      <c r="X523">
        <f t="shared" si="57"/>
        <v>6</v>
      </c>
      <c r="Y523" t="str">
        <f t="shared" si="58"/>
        <v>Q2</v>
      </c>
      <c r="Z523">
        <f t="shared" si="59"/>
        <v>2026</v>
      </c>
      <c r="AA523" t="str">
        <f t="shared" si="60"/>
        <v>Saturday</v>
      </c>
      <c r="AB523">
        <f t="shared" si="61"/>
        <v>-45</v>
      </c>
      <c r="AC523" t="str">
        <f>IF(OR(D523="Heart Disease",D523="Cancer",D523="Stroke"),"High",IF(OR(D523="Diabetes",D523="Asthma"),"Medium","Low"))</f>
        <v>High</v>
      </c>
      <c r="AD523" t="str">
        <f t="shared" si="62"/>
        <v>Yes</v>
      </c>
      <c r="AE523" t="str">
        <f>IF(G523&lt;=2,"Short Stay", IF(G523&lt;=7,"Normal Stay", "Long Stay"))</f>
        <v>Long Stay</v>
      </c>
      <c r="AF523" t="str">
        <f>IF(F523&gt;60000,"Expensive",IF(F523&gt;30000,"Moderate","Affordable"))</f>
        <v>Affordable</v>
      </c>
      <c r="AG523" t="str">
        <f>IF(J523&gt;=4.5,"Excellent",IF(J523&gt;=3.5,"Good",IF(J523&gt;=2.5,"Average","Poor")))</f>
        <v>Good</v>
      </c>
      <c r="AH523" t="str">
        <f>IF(OR(TEXT(N523,"dddd")="Saturday",TEXT(N523,"dddd")="Sunday"),"Weekend","Weekday")</f>
        <v>Weekend</v>
      </c>
    </row>
    <row r="524" spans="1:34" x14ac:dyDescent="0.3">
      <c r="A524">
        <v>531</v>
      </c>
      <c r="B524">
        <v>72</v>
      </c>
      <c r="C524" t="s">
        <v>35</v>
      </c>
      <c r="D524" t="s">
        <v>66</v>
      </c>
      <c r="E524" t="s">
        <v>67</v>
      </c>
      <c r="F524">
        <v>1000</v>
      </c>
      <c r="G524">
        <v>38</v>
      </c>
      <c r="H524" t="s">
        <v>24</v>
      </c>
      <c r="I524" t="s">
        <v>39</v>
      </c>
      <c r="J524">
        <v>4</v>
      </c>
      <c r="K524" t="s">
        <v>215</v>
      </c>
      <c r="L524" t="s">
        <v>1171</v>
      </c>
      <c r="M524" t="s">
        <v>1172</v>
      </c>
      <c r="N524" s="2">
        <v>46180</v>
      </c>
      <c r="O524" s="2">
        <v>46218</v>
      </c>
      <c r="P524" t="s">
        <v>43</v>
      </c>
      <c r="Q524" t="s">
        <v>71</v>
      </c>
      <c r="R524" t="s">
        <v>45</v>
      </c>
      <c r="S524" t="s">
        <v>32</v>
      </c>
      <c r="T524" t="s">
        <v>33</v>
      </c>
      <c r="U524" t="s">
        <v>34</v>
      </c>
      <c r="V524" t="str">
        <f>IF(B524&lt;=18,"Children",IF(B524&lt;=35,"Young adult",IF(B524&lt;=60,"Adult", "Senior Citizen")))</f>
        <v>Senior Citizen</v>
      </c>
      <c r="W524" t="str">
        <f t="shared" si="56"/>
        <v>Jun</v>
      </c>
      <c r="X524">
        <f t="shared" si="57"/>
        <v>6</v>
      </c>
      <c r="Y524" t="str">
        <f t="shared" si="58"/>
        <v>Q2</v>
      </c>
      <c r="Z524">
        <f t="shared" si="59"/>
        <v>2026</v>
      </c>
      <c r="AA524" t="str">
        <f t="shared" si="60"/>
        <v>Sunday</v>
      </c>
      <c r="AB524">
        <f t="shared" si="61"/>
        <v>-38</v>
      </c>
      <c r="AC524" t="str">
        <f>IF(OR(D524="Heart Disease",D524="Cancer",D524="Stroke"),"High",IF(OR(D524="Diabetes",D524="Asthma"),"Medium","Low"))</f>
        <v>Low</v>
      </c>
      <c r="AD524" t="str">
        <f t="shared" si="62"/>
        <v>No</v>
      </c>
      <c r="AE524" t="str">
        <f>IF(G524&lt;=2,"Short Stay", IF(G524&lt;=7,"Normal Stay", "Long Stay"))</f>
        <v>Long Stay</v>
      </c>
      <c r="AF524" t="str">
        <f>IF(F524&gt;60000,"Expensive",IF(F524&gt;30000,"Moderate","Affordable"))</f>
        <v>Affordable</v>
      </c>
      <c r="AG524" t="str">
        <f>IF(J524&gt;=4.5,"Excellent",IF(J524&gt;=3.5,"Good",IF(J524&gt;=2.5,"Average","Poor")))</f>
        <v>Good</v>
      </c>
      <c r="AH524" t="str">
        <f>IF(OR(TEXT(N524,"dddd")="Saturday",TEXT(N524,"dddd")="Sunday"),"Weekend","Weekday")</f>
        <v>Weekend</v>
      </c>
    </row>
    <row r="525" spans="1:34" x14ac:dyDescent="0.3">
      <c r="A525">
        <v>532</v>
      </c>
      <c r="B525">
        <v>60</v>
      </c>
      <c r="C525" t="s">
        <v>21</v>
      </c>
      <c r="D525" t="s">
        <v>73</v>
      </c>
      <c r="E525" t="s">
        <v>74</v>
      </c>
      <c r="F525">
        <v>8000</v>
      </c>
      <c r="G525">
        <v>39</v>
      </c>
      <c r="H525" t="s">
        <v>38</v>
      </c>
      <c r="I525" t="s">
        <v>25</v>
      </c>
      <c r="J525">
        <v>3</v>
      </c>
      <c r="K525" t="s">
        <v>329</v>
      </c>
      <c r="L525" t="s">
        <v>1173</v>
      </c>
      <c r="M525" t="s">
        <v>1174</v>
      </c>
      <c r="N525" s="2">
        <v>46181</v>
      </c>
      <c r="O525" s="2">
        <v>46220</v>
      </c>
      <c r="P525" t="s">
        <v>43</v>
      </c>
      <c r="Q525" t="s">
        <v>52</v>
      </c>
      <c r="R525" t="s">
        <v>45</v>
      </c>
      <c r="S525" t="s">
        <v>53</v>
      </c>
      <c r="T525" t="s">
        <v>33</v>
      </c>
      <c r="U525" t="s">
        <v>104</v>
      </c>
      <c r="V525" t="str">
        <f>IF(B525&lt;=18,"Children",IF(B525&lt;=35,"Young adult",IF(B525&lt;=60,"Adult", "Senior Citizen")))</f>
        <v>Adult</v>
      </c>
      <c r="W525" t="str">
        <f t="shared" si="56"/>
        <v>Jun</v>
      </c>
      <c r="X525">
        <f t="shared" si="57"/>
        <v>6</v>
      </c>
      <c r="Y525" t="str">
        <f t="shared" si="58"/>
        <v>Q2</v>
      </c>
      <c r="Z525">
        <f t="shared" si="59"/>
        <v>2026</v>
      </c>
      <c r="AA525" t="str">
        <f t="shared" si="60"/>
        <v>Monday</v>
      </c>
      <c r="AB525">
        <f t="shared" si="61"/>
        <v>-39</v>
      </c>
      <c r="AC525" t="str">
        <f>IF(OR(D525="Heart Disease",D525="Cancer",D525="Stroke"),"High",IF(OR(D525="Diabetes",D525="Asthma"),"Medium","Low"))</f>
        <v>Low</v>
      </c>
      <c r="AD525" t="str">
        <f t="shared" si="62"/>
        <v>No</v>
      </c>
      <c r="AE525" t="str">
        <f>IF(G525&lt;=2,"Short Stay", IF(G525&lt;=7,"Normal Stay", "Long Stay"))</f>
        <v>Long Stay</v>
      </c>
      <c r="AF525" t="str">
        <f>IF(F525&gt;60000,"Expensive",IF(F525&gt;30000,"Moderate","Affordable"))</f>
        <v>Affordable</v>
      </c>
      <c r="AG525" t="str">
        <f>IF(J525&gt;=4.5,"Excellent",IF(J525&gt;=3.5,"Good",IF(J525&gt;=2.5,"Average","Poor")))</f>
        <v>Average</v>
      </c>
      <c r="AH525" t="str">
        <f>IF(OR(TEXT(N525,"dddd")="Saturday",TEXT(N525,"dddd")="Sunday"),"Weekend","Weekday")</f>
        <v>Weekday</v>
      </c>
    </row>
    <row r="526" spans="1:34" x14ac:dyDescent="0.3">
      <c r="A526">
        <v>533</v>
      </c>
      <c r="B526">
        <v>45</v>
      </c>
      <c r="C526" t="s">
        <v>35</v>
      </c>
      <c r="D526" t="s">
        <v>79</v>
      </c>
      <c r="E526" t="s">
        <v>80</v>
      </c>
      <c r="F526">
        <v>3000</v>
      </c>
      <c r="G526">
        <v>41</v>
      </c>
      <c r="H526" t="s">
        <v>24</v>
      </c>
      <c r="I526" t="s">
        <v>25</v>
      </c>
      <c r="J526">
        <v>4</v>
      </c>
      <c r="K526" t="s">
        <v>157</v>
      </c>
      <c r="L526" t="s">
        <v>1175</v>
      </c>
      <c r="M526" t="s">
        <v>1176</v>
      </c>
      <c r="N526" s="2">
        <v>46182</v>
      </c>
      <c r="O526" s="2">
        <v>46223</v>
      </c>
      <c r="P526" t="s">
        <v>43</v>
      </c>
      <c r="Q526" t="s">
        <v>52</v>
      </c>
      <c r="R526" t="s">
        <v>45</v>
      </c>
      <c r="S526" t="s">
        <v>32</v>
      </c>
      <c r="T526" t="s">
        <v>33</v>
      </c>
      <c r="U526" t="s">
        <v>104</v>
      </c>
      <c r="V526" t="str">
        <f>IF(B526&lt;=18,"Children",IF(B526&lt;=35,"Young adult",IF(B526&lt;=60,"Adult", "Senior Citizen")))</f>
        <v>Adult</v>
      </c>
      <c r="W526" t="str">
        <f t="shared" si="56"/>
        <v>Jun</v>
      </c>
      <c r="X526">
        <f t="shared" si="57"/>
        <v>6</v>
      </c>
      <c r="Y526" t="str">
        <f t="shared" si="58"/>
        <v>Q2</v>
      </c>
      <c r="Z526">
        <f t="shared" si="59"/>
        <v>2026</v>
      </c>
      <c r="AA526" t="str">
        <f t="shared" si="60"/>
        <v>Tuesday</v>
      </c>
      <c r="AB526">
        <f t="shared" si="61"/>
        <v>-41</v>
      </c>
      <c r="AC526" t="str">
        <f>IF(OR(D526="Heart Disease",D526="Cancer",D526="Stroke"),"High",IF(OR(D526="Diabetes",D526="Asthma"),"Medium","Low"))</f>
        <v>Low</v>
      </c>
      <c r="AD526" t="str">
        <f t="shared" si="62"/>
        <v>No</v>
      </c>
      <c r="AE526" t="str">
        <f>IF(G526&lt;=2,"Short Stay", IF(G526&lt;=7,"Normal Stay", "Long Stay"))</f>
        <v>Long Stay</v>
      </c>
      <c r="AF526" t="str">
        <f>IF(F526&gt;60000,"Expensive",IF(F526&gt;30000,"Moderate","Affordable"))</f>
        <v>Affordable</v>
      </c>
      <c r="AG526" t="str">
        <f>IF(J526&gt;=4.5,"Excellent",IF(J526&gt;=3.5,"Good",IF(J526&gt;=2.5,"Average","Poor")))</f>
        <v>Good</v>
      </c>
      <c r="AH526" t="str">
        <f>IF(OR(TEXT(N526,"dddd")="Saturday",TEXT(N526,"dddd")="Sunday"),"Weekend","Weekday")</f>
        <v>Weekday</v>
      </c>
    </row>
    <row r="527" spans="1:34" x14ac:dyDescent="0.3">
      <c r="A527">
        <v>534</v>
      </c>
      <c r="B527">
        <v>75</v>
      </c>
      <c r="C527" t="s">
        <v>21</v>
      </c>
      <c r="D527" t="s">
        <v>85</v>
      </c>
      <c r="E527" t="s">
        <v>86</v>
      </c>
      <c r="F527">
        <v>18000</v>
      </c>
      <c r="G527">
        <v>43</v>
      </c>
      <c r="H527" t="s">
        <v>38</v>
      </c>
      <c r="I527" t="s">
        <v>39</v>
      </c>
      <c r="J527">
        <v>2</v>
      </c>
      <c r="K527" t="s">
        <v>113</v>
      </c>
      <c r="L527" t="s">
        <v>1177</v>
      </c>
      <c r="M527" t="s">
        <v>1178</v>
      </c>
      <c r="N527" s="2">
        <v>46183</v>
      </c>
      <c r="O527" s="2">
        <v>46226</v>
      </c>
      <c r="P527" t="s">
        <v>29</v>
      </c>
      <c r="Q527" t="s">
        <v>139</v>
      </c>
      <c r="R527" t="s">
        <v>45</v>
      </c>
      <c r="S527" t="s">
        <v>77</v>
      </c>
      <c r="T527" t="s">
        <v>33</v>
      </c>
      <c r="U527" t="s">
        <v>34</v>
      </c>
      <c r="V527" t="str">
        <f>IF(B527&lt;=18,"Children",IF(B527&lt;=35,"Young adult",IF(B527&lt;=60,"Adult", "Senior Citizen")))</f>
        <v>Senior Citizen</v>
      </c>
      <c r="W527" t="str">
        <f t="shared" si="56"/>
        <v>Jun</v>
      </c>
      <c r="X527">
        <f t="shared" si="57"/>
        <v>6</v>
      </c>
      <c r="Y527" t="str">
        <f t="shared" si="58"/>
        <v>Q2</v>
      </c>
      <c r="Z527">
        <f t="shared" si="59"/>
        <v>2026</v>
      </c>
      <c r="AA527" t="str">
        <f t="shared" si="60"/>
        <v>Wednesday</v>
      </c>
      <c r="AB527">
        <f t="shared" si="61"/>
        <v>-43</v>
      </c>
      <c r="AC527" t="str">
        <f>IF(OR(D527="Heart Disease",D527="Cancer",D527="Stroke"),"High",IF(OR(D527="Diabetes",D527="Asthma"),"Medium","Low"))</f>
        <v>Low</v>
      </c>
      <c r="AD527" t="str">
        <f t="shared" si="62"/>
        <v>No</v>
      </c>
      <c r="AE527" t="str">
        <f>IF(G527&lt;=2,"Short Stay", IF(G527&lt;=7,"Normal Stay", "Long Stay"))</f>
        <v>Long Stay</v>
      </c>
      <c r="AF527" t="str">
        <f>IF(F527&gt;60000,"Expensive",IF(F527&gt;30000,"Moderate","Affordable"))</f>
        <v>Affordable</v>
      </c>
      <c r="AG527" t="str">
        <f>IF(J527&gt;=4.5,"Excellent",IF(J527&gt;=3.5,"Good",IF(J527&gt;=2.5,"Average","Poor")))</f>
        <v>Poor</v>
      </c>
      <c r="AH527" t="str">
        <f>IF(OR(TEXT(N527,"dddd")="Saturday",TEXT(N527,"dddd")="Sunday"),"Weekend","Weekday")</f>
        <v>Weekday</v>
      </c>
    </row>
    <row r="528" spans="1:34" x14ac:dyDescent="0.3">
      <c r="A528">
        <v>535</v>
      </c>
      <c r="B528">
        <v>28</v>
      </c>
      <c r="C528" t="s">
        <v>35</v>
      </c>
      <c r="D528" t="s">
        <v>89</v>
      </c>
      <c r="E528" t="s">
        <v>90</v>
      </c>
      <c r="F528">
        <v>100</v>
      </c>
      <c r="G528">
        <v>36</v>
      </c>
      <c r="H528" t="s">
        <v>24</v>
      </c>
      <c r="I528" t="s">
        <v>25</v>
      </c>
      <c r="J528">
        <v>5</v>
      </c>
      <c r="K528" t="s">
        <v>175</v>
      </c>
      <c r="L528" t="s">
        <v>1179</v>
      </c>
      <c r="M528" t="s">
        <v>1180</v>
      </c>
      <c r="N528" s="2">
        <v>46184</v>
      </c>
      <c r="O528" s="2">
        <v>46220</v>
      </c>
      <c r="P528" t="s">
        <v>29</v>
      </c>
      <c r="Q528" t="s">
        <v>139</v>
      </c>
      <c r="R528" t="s">
        <v>45</v>
      </c>
      <c r="S528" t="s">
        <v>110</v>
      </c>
      <c r="T528" t="s">
        <v>33</v>
      </c>
      <c r="U528" t="s">
        <v>78</v>
      </c>
      <c r="V528" t="str">
        <f>IF(B528&lt;=18,"Children",IF(B528&lt;=35,"Young adult",IF(B528&lt;=60,"Adult", "Senior Citizen")))</f>
        <v>Young adult</v>
      </c>
      <c r="W528" t="str">
        <f t="shared" si="56"/>
        <v>Jun</v>
      </c>
      <c r="X528">
        <f t="shared" si="57"/>
        <v>6</v>
      </c>
      <c r="Y528" t="str">
        <f t="shared" si="58"/>
        <v>Q2</v>
      </c>
      <c r="Z528">
        <f t="shared" si="59"/>
        <v>2026</v>
      </c>
      <c r="AA528" t="str">
        <f t="shared" si="60"/>
        <v>Thursday</v>
      </c>
      <c r="AB528">
        <f t="shared" si="61"/>
        <v>-36</v>
      </c>
      <c r="AC528" t="str">
        <f>IF(OR(D528="Heart Disease",D528="Cancer",D528="Stroke"),"High",IF(OR(D528="Diabetes",D528="Asthma"),"Medium","Low"))</f>
        <v>Low</v>
      </c>
      <c r="AD528" t="str">
        <f t="shared" si="62"/>
        <v>No</v>
      </c>
      <c r="AE528" t="str">
        <f>IF(G528&lt;=2,"Short Stay", IF(G528&lt;=7,"Normal Stay", "Long Stay"))</f>
        <v>Long Stay</v>
      </c>
      <c r="AF528" t="str">
        <f>IF(F528&gt;60000,"Expensive",IF(F528&gt;30000,"Moderate","Affordable"))</f>
        <v>Affordable</v>
      </c>
      <c r="AG528" t="str">
        <f>IF(J528&gt;=4.5,"Excellent",IF(J528&gt;=3.5,"Good",IF(J528&gt;=2.5,"Average","Poor")))</f>
        <v>Excellent</v>
      </c>
      <c r="AH528" t="str">
        <f>IF(OR(TEXT(N528,"dddd")="Saturday",TEXT(N528,"dddd")="Sunday"),"Weekend","Weekday")</f>
        <v>Weekday</v>
      </c>
    </row>
    <row r="529" spans="1:34" x14ac:dyDescent="0.3">
      <c r="A529">
        <v>536</v>
      </c>
      <c r="B529">
        <v>52</v>
      </c>
      <c r="C529" t="s">
        <v>21</v>
      </c>
      <c r="D529" t="s">
        <v>94</v>
      </c>
      <c r="E529" t="s">
        <v>95</v>
      </c>
      <c r="F529">
        <v>800</v>
      </c>
      <c r="G529">
        <v>37</v>
      </c>
      <c r="H529" t="s">
        <v>24</v>
      </c>
      <c r="I529" t="s">
        <v>39</v>
      </c>
      <c r="J529">
        <v>4</v>
      </c>
      <c r="K529" t="s">
        <v>144</v>
      </c>
      <c r="L529" t="s">
        <v>1181</v>
      </c>
      <c r="M529" t="s">
        <v>1182</v>
      </c>
      <c r="N529" s="2">
        <v>46185</v>
      </c>
      <c r="O529" s="2">
        <v>46222</v>
      </c>
      <c r="P529" t="s">
        <v>29</v>
      </c>
      <c r="Q529" t="s">
        <v>30</v>
      </c>
      <c r="R529" t="s">
        <v>45</v>
      </c>
      <c r="S529" t="s">
        <v>53</v>
      </c>
      <c r="T529" t="s">
        <v>33</v>
      </c>
      <c r="U529" t="s">
        <v>78</v>
      </c>
      <c r="V529" t="str">
        <f>IF(B529&lt;=18,"Children",IF(B529&lt;=35,"Young adult",IF(B529&lt;=60,"Adult", "Senior Citizen")))</f>
        <v>Adult</v>
      </c>
      <c r="W529" t="str">
        <f t="shared" si="56"/>
        <v>Jun</v>
      </c>
      <c r="X529">
        <f t="shared" si="57"/>
        <v>6</v>
      </c>
      <c r="Y529" t="str">
        <f t="shared" si="58"/>
        <v>Q2</v>
      </c>
      <c r="Z529">
        <f t="shared" si="59"/>
        <v>2026</v>
      </c>
      <c r="AA529" t="str">
        <f t="shared" si="60"/>
        <v>Friday</v>
      </c>
      <c r="AB529">
        <f t="shared" si="61"/>
        <v>-37</v>
      </c>
      <c r="AC529" t="str">
        <f>IF(OR(D529="Heart Disease",D529="Cancer",D529="Stroke"),"High",IF(OR(D529="Diabetes",D529="Asthma"),"Medium","Low"))</f>
        <v>Low</v>
      </c>
      <c r="AD529" t="str">
        <f t="shared" si="62"/>
        <v>No</v>
      </c>
      <c r="AE529" t="str">
        <f>IF(G529&lt;=2,"Short Stay", IF(G529&lt;=7,"Normal Stay", "Long Stay"))</f>
        <v>Long Stay</v>
      </c>
      <c r="AF529" t="str">
        <f>IF(F529&gt;60000,"Expensive",IF(F529&gt;30000,"Moderate","Affordable"))</f>
        <v>Affordable</v>
      </c>
      <c r="AG529" t="str">
        <f>IF(J529&gt;=4.5,"Excellent",IF(J529&gt;=3.5,"Good",IF(J529&gt;=2.5,"Average","Poor")))</f>
        <v>Good</v>
      </c>
      <c r="AH529" t="str">
        <f>IF(OR(TEXT(N529,"dddd")="Saturday",TEXT(N529,"dddd")="Sunday"),"Weekend","Weekday")</f>
        <v>Weekday</v>
      </c>
    </row>
    <row r="530" spans="1:34" x14ac:dyDescent="0.3">
      <c r="A530">
        <v>537</v>
      </c>
      <c r="B530">
        <v>67</v>
      </c>
      <c r="C530" t="s">
        <v>35</v>
      </c>
      <c r="D530" t="s">
        <v>99</v>
      </c>
      <c r="E530" t="s">
        <v>100</v>
      </c>
      <c r="F530">
        <v>20000</v>
      </c>
      <c r="G530">
        <v>44</v>
      </c>
      <c r="H530" t="s">
        <v>24</v>
      </c>
      <c r="I530" t="s">
        <v>25</v>
      </c>
      <c r="J530">
        <v>3</v>
      </c>
      <c r="K530" t="s">
        <v>125</v>
      </c>
      <c r="L530" t="s">
        <v>1183</v>
      </c>
      <c r="M530" t="s">
        <v>1184</v>
      </c>
      <c r="N530" s="2">
        <v>46186</v>
      </c>
      <c r="O530" s="2">
        <v>46230</v>
      </c>
      <c r="P530" t="s">
        <v>43</v>
      </c>
      <c r="Q530" t="s">
        <v>71</v>
      </c>
      <c r="R530" t="s">
        <v>45</v>
      </c>
      <c r="S530" t="s">
        <v>77</v>
      </c>
      <c r="T530" t="s">
        <v>33</v>
      </c>
      <c r="U530" t="s">
        <v>104</v>
      </c>
      <c r="V530" t="str">
        <f>IF(B530&lt;=18,"Children",IF(B530&lt;=35,"Young adult",IF(B530&lt;=60,"Adult", "Senior Citizen")))</f>
        <v>Senior Citizen</v>
      </c>
      <c r="W530" t="str">
        <f t="shared" si="56"/>
        <v>Jun</v>
      </c>
      <c r="X530">
        <f t="shared" si="57"/>
        <v>6</v>
      </c>
      <c r="Y530" t="str">
        <f t="shared" si="58"/>
        <v>Q2</v>
      </c>
      <c r="Z530">
        <f t="shared" si="59"/>
        <v>2026</v>
      </c>
      <c r="AA530" t="str">
        <f t="shared" si="60"/>
        <v>Saturday</v>
      </c>
      <c r="AB530">
        <f t="shared" si="61"/>
        <v>-44</v>
      </c>
      <c r="AC530" t="str">
        <f>IF(OR(D530="Heart Disease",D530="Cancer",D530="Stroke"),"High",IF(OR(D530="Diabetes",D530="Asthma"),"Medium","Low"))</f>
        <v>Low</v>
      </c>
      <c r="AD530" t="str">
        <f t="shared" si="62"/>
        <v>No</v>
      </c>
      <c r="AE530" t="str">
        <f>IF(G530&lt;=2,"Short Stay", IF(G530&lt;=7,"Normal Stay", "Long Stay"))</f>
        <v>Long Stay</v>
      </c>
      <c r="AF530" t="str">
        <f>IF(F530&gt;60000,"Expensive",IF(F530&gt;30000,"Moderate","Affordable"))</f>
        <v>Affordable</v>
      </c>
      <c r="AG530" t="str">
        <f>IF(J530&gt;=4.5,"Excellent",IF(J530&gt;=3.5,"Good",IF(J530&gt;=2.5,"Average","Poor")))</f>
        <v>Average</v>
      </c>
      <c r="AH530" t="str">
        <f>IF(OR(TEXT(N530,"dddd")="Saturday",TEXT(N530,"dddd")="Sunday"),"Weekend","Weekday")</f>
        <v>Weekend</v>
      </c>
    </row>
    <row r="531" spans="1:34" x14ac:dyDescent="0.3">
      <c r="A531">
        <v>538</v>
      </c>
      <c r="B531">
        <v>35</v>
      </c>
      <c r="C531" t="s">
        <v>21</v>
      </c>
      <c r="D531" t="s">
        <v>105</v>
      </c>
      <c r="E531" t="s">
        <v>106</v>
      </c>
      <c r="F531">
        <v>12000</v>
      </c>
      <c r="G531">
        <v>38</v>
      </c>
      <c r="H531" t="s">
        <v>24</v>
      </c>
      <c r="I531" t="s">
        <v>25</v>
      </c>
      <c r="J531">
        <v>4</v>
      </c>
      <c r="K531" t="s">
        <v>336</v>
      </c>
      <c r="L531" t="s">
        <v>1185</v>
      </c>
      <c r="M531" t="s">
        <v>1186</v>
      </c>
      <c r="N531" s="2">
        <v>46187</v>
      </c>
      <c r="O531" s="2">
        <v>46225</v>
      </c>
      <c r="P531" t="s">
        <v>43</v>
      </c>
      <c r="Q531" t="s">
        <v>71</v>
      </c>
      <c r="R531" t="s">
        <v>45</v>
      </c>
      <c r="S531" t="s">
        <v>53</v>
      </c>
      <c r="T531" t="s">
        <v>33</v>
      </c>
      <c r="U531" t="s">
        <v>104</v>
      </c>
      <c r="V531" t="str">
        <f>IF(B531&lt;=18,"Children",IF(B531&lt;=35,"Young adult",IF(B531&lt;=60,"Adult", "Senior Citizen")))</f>
        <v>Young adult</v>
      </c>
      <c r="W531" t="str">
        <f t="shared" si="56"/>
        <v>Jun</v>
      </c>
      <c r="X531">
        <f t="shared" si="57"/>
        <v>6</v>
      </c>
      <c r="Y531" t="str">
        <f t="shared" si="58"/>
        <v>Q2</v>
      </c>
      <c r="Z531">
        <f t="shared" si="59"/>
        <v>2026</v>
      </c>
      <c r="AA531" t="str">
        <f t="shared" si="60"/>
        <v>Sunday</v>
      </c>
      <c r="AB531">
        <f t="shared" si="61"/>
        <v>-38</v>
      </c>
      <c r="AC531" t="str">
        <f>IF(OR(D531="Heart Disease",D531="Cancer",D531="Stroke"),"High",IF(OR(D531="Diabetes",D531="Asthma"),"Medium","Low"))</f>
        <v>Low</v>
      </c>
      <c r="AD531" t="str">
        <f t="shared" si="62"/>
        <v>No</v>
      </c>
      <c r="AE531" t="str">
        <f>IF(G531&lt;=2,"Short Stay", IF(G531&lt;=7,"Normal Stay", "Long Stay"))</f>
        <v>Long Stay</v>
      </c>
      <c r="AF531" t="str">
        <f>IF(F531&gt;60000,"Expensive",IF(F531&gt;30000,"Moderate","Affordable"))</f>
        <v>Affordable</v>
      </c>
      <c r="AG531" t="str">
        <f>IF(J531&gt;=4.5,"Excellent",IF(J531&gt;=3.5,"Good",IF(J531&gt;=2.5,"Average","Poor")))</f>
        <v>Good</v>
      </c>
      <c r="AH531" t="str">
        <f>IF(OR(TEXT(N531,"dddd")="Saturday",TEXT(N531,"dddd")="Sunday"),"Weekend","Weekday")</f>
        <v>Weekend</v>
      </c>
    </row>
    <row r="532" spans="1:34" x14ac:dyDescent="0.3">
      <c r="A532">
        <v>540</v>
      </c>
      <c r="B532">
        <v>60</v>
      </c>
      <c r="C532" t="s">
        <v>21</v>
      </c>
      <c r="D532" t="s">
        <v>116</v>
      </c>
      <c r="E532" t="s">
        <v>117</v>
      </c>
      <c r="F532">
        <v>4000</v>
      </c>
      <c r="G532">
        <v>40</v>
      </c>
      <c r="H532" t="s">
        <v>24</v>
      </c>
      <c r="I532" t="s">
        <v>39</v>
      </c>
      <c r="J532">
        <v>4</v>
      </c>
      <c r="K532" t="s">
        <v>157</v>
      </c>
      <c r="L532" t="s">
        <v>1187</v>
      </c>
      <c r="M532" t="s">
        <v>1188</v>
      </c>
      <c r="N532" s="2">
        <v>46188</v>
      </c>
      <c r="O532" s="2">
        <v>46228</v>
      </c>
      <c r="P532" t="s">
        <v>43</v>
      </c>
      <c r="Q532" t="s">
        <v>52</v>
      </c>
      <c r="R532" t="s">
        <v>45</v>
      </c>
      <c r="S532" t="s">
        <v>84</v>
      </c>
      <c r="T532" t="s">
        <v>33</v>
      </c>
      <c r="U532" t="s">
        <v>46</v>
      </c>
      <c r="V532" t="str">
        <f>IF(B532&lt;=18,"Children",IF(B532&lt;=35,"Young adult",IF(B532&lt;=60,"Adult", "Senior Citizen")))</f>
        <v>Adult</v>
      </c>
      <c r="W532" t="str">
        <f t="shared" si="56"/>
        <v>Jun</v>
      </c>
      <c r="X532">
        <f t="shared" si="57"/>
        <v>6</v>
      </c>
      <c r="Y532" t="str">
        <f t="shared" si="58"/>
        <v>Q2</v>
      </c>
      <c r="Z532">
        <f t="shared" si="59"/>
        <v>2026</v>
      </c>
      <c r="AA532" t="str">
        <f t="shared" si="60"/>
        <v>Monday</v>
      </c>
      <c r="AB532">
        <f t="shared" si="61"/>
        <v>-40</v>
      </c>
      <c r="AC532" t="str">
        <f>IF(OR(D532="Heart Disease",D532="Cancer",D532="Stroke"),"High",IF(OR(D532="Diabetes",D532="Asthma"),"Medium","Low"))</f>
        <v>Low</v>
      </c>
      <c r="AD532" t="str">
        <f t="shared" si="62"/>
        <v>No</v>
      </c>
      <c r="AE532" t="str">
        <f>IF(G532&lt;=2,"Short Stay", IF(G532&lt;=7,"Normal Stay", "Long Stay"))</f>
        <v>Long Stay</v>
      </c>
      <c r="AF532" t="str">
        <f>IF(F532&gt;60000,"Expensive",IF(F532&gt;30000,"Moderate","Affordable"))</f>
        <v>Affordable</v>
      </c>
      <c r="AG532" t="str">
        <f>IF(J532&gt;=4.5,"Excellent",IF(J532&gt;=3.5,"Good",IF(J532&gt;=2.5,"Average","Poor")))</f>
        <v>Good</v>
      </c>
      <c r="AH532" t="str">
        <f>IF(OR(TEXT(N532,"dddd")="Saturday",TEXT(N532,"dddd")="Sunday"),"Weekend","Weekday")</f>
        <v>Weekday</v>
      </c>
    </row>
    <row r="533" spans="1:34" x14ac:dyDescent="0.3">
      <c r="A533">
        <v>541</v>
      </c>
      <c r="B533">
        <v>48</v>
      </c>
      <c r="C533" t="s">
        <v>21</v>
      </c>
      <c r="D533" t="s">
        <v>22</v>
      </c>
      <c r="E533" t="s">
        <v>23</v>
      </c>
      <c r="F533">
        <v>15000</v>
      </c>
      <c r="G533">
        <v>41</v>
      </c>
      <c r="H533" t="s">
        <v>38</v>
      </c>
      <c r="I533" t="s">
        <v>25</v>
      </c>
      <c r="J533">
        <v>4</v>
      </c>
      <c r="K533" t="s">
        <v>136</v>
      </c>
      <c r="L533" t="s">
        <v>1189</v>
      </c>
      <c r="M533" t="s">
        <v>1190</v>
      </c>
      <c r="N533" s="2">
        <v>46189</v>
      </c>
      <c r="O533" s="2">
        <v>46230</v>
      </c>
      <c r="P533" t="s">
        <v>29</v>
      </c>
      <c r="Q533" t="s">
        <v>71</v>
      </c>
      <c r="R533" t="s">
        <v>31</v>
      </c>
      <c r="S533" t="s">
        <v>84</v>
      </c>
      <c r="T533" t="s">
        <v>33</v>
      </c>
      <c r="U533" t="s">
        <v>104</v>
      </c>
      <c r="V533" t="str">
        <f>IF(B533&lt;=18,"Children",IF(B533&lt;=35,"Young adult",IF(B533&lt;=60,"Adult", "Senior Citizen")))</f>
        <v>Adult</v>
      </c>
      <c r="W533" t="str">
        <f t="shared" si="56"/>
        <v>Jun</v>
      </c>
      <c r="X533">
        <f t="shared" si="57"/>
        <v>6</v>
      </c>
      <c r="Y533" t="str">
        <f t="shared" si="58"/>
        <v>Q2</v>
      </c>
      <c r="Z533">
        <f t="shared" si="59"/>
        <v>2026</v>
      </c>
      <c r="AA533" t="str">
        <f t="shared" si="60"/>
        <v>Tuesday</v>
      </c>
      <c r="AB533">
        <f t="shared" si="61"/>
        <v>-41</v>
      </c>
      <c r="AC533" t="str">
        <f>IF(OR(D533="Heart Disease",D533="Cancer",D533="Stroke"),"High",IF(OR(D533="Diabetes",D533="Asthma"),"Medium","Low"))</f>
        <v>High</v>
      </c>
      <c r="AD533" t="str">
        <f t="shared" si="62"/>
        <v>Yes</v>
      </c>
      <c r="AE533" t="str">
        <f>IF(G533&lt;=2,"Short Stay", IF(G533&lt;=7,"Normal Stay", "Long Stay"))</f>
        <v>Long Stay</v>
      </c>
      <c r="AF533" t="str">
        <f>IF(F533&gt;60000,"Expensive",IF(F533&gt;30000,"Moderate","Affordable"))</f>
        <v>Affordable</v>
      </c>
      <c r="AG533" t="str">
        <f>IF(J533&gt;=4.5,"Excellent",IF(J533&gt;=3.5,"Good",IF(J533&gt;=2.5,"Average","Poor")))</f>
        <v>Good</v>
      </c>
      <c r="AH533" t="str">
        <f>IF(OR(TEXT(N533,"dddd")="Saturday",TEXT(N533,"dddd")="Sunday"),"Weekend","Weekday")</f>
        <v>Weekday</v>
      </c>
    </row>
    <row r="534" spans="1:34" x14ac:dyDescent="0.3">
      <c r="A534">
        <v>542</v>
      </c>
      <c r="B534">
        <v>65</v>
      </c>
      <c r="C534" t="s">
        <v>35</v>
      </c>
      <c r="D534" t="s">
        <v>36</v>
      </c>
      <c r="E534" t="s">
        <v>37</v>
      </c>
      <c r="F534">
        <v>2000</v>
      </c>
      <c r="G534">
        <v>39</v>
      </c>
      <c r="H534" t="s">
        <v>24</v>
      </c>
      <c r="I534" t="s">
        <v>39</v>
      </c>
      <c r="J534">
        <v>3</v>
      </c>
      <c r="K534" t="s">
        <v>380</v>
      </c>
      <c r="L534" t="s">
        <v>1191</v>
      </c>
      <c r="M534" t="s">
        <v>1192</v>
      </c>
      <c r="N534" s="2">
        <v>46190</v>
      </c>
      <c r="O534" s="2">
        <v>46229</v>
      </c>
      <c r="P534" t="s">
        <v>43</v>
      </c>
      <c r="Q534" t="s">
        <v>44</v>
      </c>
      <c r="R534" t="s">
        <v>45</v>
      </c>
      <c r="S534" t="s">
        <v>72</v>
      </c>
      <c r="T534" t="s">
        <v>33</v>
      </c>
      <c r="U534" t="s">
        <v>34</v>
      </c>
      <c r="V534" t="str">
        <f>IF(B534&lt;=18,"Children",IF(B534&lt;=35,"Young adult",IF(B534&lt;=60,"Adult", "Senior Citizen")))</f>
        <v>Senior Citizen</v>
      </c>
      <c r="W534" t="str">
        <f t="shared" si="56"/>
        <v>Jun</v>
      </c>
      <c r="X534">
        <f t="shared" si="57"/>
        <v>6</v>
      </c>
      <c r="Y534" t="str">
        <f t="shared" si="58"/>
        <v>Q2</v>
      </c>
      <c r="Z534">
        <f t="shared" si="59"/>
        <v>2026</v>
      </c>
      <c r="AA534" t="str">
        <f t="shared" si="60"/>
        <v>Wednesday</v>
      </c>
      <c r="AB534">
        <f t="shared" si="61"/>
        <v>-39</v>
      </c>
      <c r="AC534" t="str">
        <f>IF(OR(D534="Heart Disease",D534="Cancer",D534="Stroke"),"High",IF(OR(D534="Diabetes",D534="Asthma"),"Medium","Low"))</f>
        <v>Medium</v>
      </c>
      <c r="AD534" t="str">
        <f t="shared" si="62"/>
        <v>No</v>
      </c>
      <c r="AE534" t="str">
        <f>IF(G534&lt;=2,"Short Stay", IF(G534&lt;=7,"Normal Stay", "Long Stay"))</f>
        <v>Long Stay</v>
      </c>
      <c r="AF534" t="str">
        <f>IF(F534&gt;60000,"Expensive",IF(F534&gt;30000,"Moderate","Affordable"))</f>
        <v>Affordable</v>
      </c>
      <c r="AG534" t="str">
        <f>IF(J534&gt;=4.5,"Excellent",IF(J534&gt;=3.5,"Good",IF(J534&gt;=2.5,"Average","Poor")))</f>
        <v>Average</v>
      </c>
      <c r="AH534" t="str">
        <f>IF(OR(TEXT(N534,"dddd")="Saturday",TEXT(N534,"dddd")="Sunday"),"Weekend","Weekday")</f>
        <v>Weekday</v>
      </c>
    </row>
    <row r="535" spans="1:34" x14ac:dyDescent="0.3">
      <c r="A535">
        <v>543</v>
      </c>
      <c r="B535">
        <v>30</v>
      </c>
      <c r="C535" t="s">
        <v>21</v>
      </c>
      <c r="D535" t="s">
        <v>47</v>
      </c>
      <c r="E535" t="s">
        <v>48</v>
      </c>
      <c r="F535">
        <v>500</v>
      </c>
      <c r="G535">
        <v>37</v>
      </c>
      <c r="H535" t="s">
        <v>24</v>
      </c>
      <c r="I535" t="s">
        <v>25</v>
      </c>
      <c r="J535">
        <v>5</v>
      </c>
      <c r="K535" t="s">
        <v>62</v>
      </c>
      <c r="L535" t="s">
        <v>1193</v>
      </c>
      <c r="M535" t="s">
        <v>1194</v>
      </c>
      <c r="N535" s="2">
        <v>46191</v>
      </c>
      <c r="O535" s="2">
        <v>46228</v>
      </c>
      <c r="P535" t="s">
        <v>43</v>
      </c>
      <c r="Q535" t="s">
        <v>44</v>
      </c>
      <c r="R535" t="s">
        <v>45</v>
      </c>
      <c r="S535" t="s">
        <v>77</v>
      </c>
      <c r="T535" t="s">
        <v>33</v>
      </c>
      <c r="U535" t="s">
        <v>34</v>
      </c>
      <c r="V535" t="str">
        <f>IF(B535&lt;=18,"Children",IF(B535&lt;=35,"Young adult",IF(B535&lt;=60,"Adult", "Senior Citizen")))</f>
        <v>Young adult</v>
      </c>
      <c r="W535" t="str">
        <f t="shared" si="56"/>
        <v>Jun</v>
      </c>
      <c r="X535">
        <f t="shared" si="57"/>
        <v>6</v>
      </c>
      <c r="Y535" t="str">
        <f t="shared" si="58"/>
        <v>Q2</v>
      </c>
      <c r="Z535">
        <f t="shared" si="59"/>
        <v>2026</v>
      </c>
      <c r="AA535" t="str">
        <f t="shared" si="60"/>
        <v>Thursday</v>
      </c>
      <c r="AB535">
        <f t="shared" si="61"/>
        <v>-37</v>
      </c>
      <c r="AC535" t="str">
        <f>IF(OR(D535="Heart Disease",D535="Cancer",D535="Stroke"),"High",IF(OR(D535="Diabetes",D535="Asthma"),"Medium","Low"))</f>
        <v>Low</v>
      </c>
      <c r="AD535" t="str">
        <f t="shared" si="62"/>
        <v>No</v>
      </c>
      <c r="AE535" t="str">
        <f>IF(G535&lt;=2,"Short Stay", IF(G535&lt;=7,"Normal Stay", "Long Stay"))</f>
        <v>Long Stay</v>
      </c>
      <c r="AF535" t="str">
        <f>IF(F535&gt;60000,"Expensive",IF(F535&gt;30000,"Moderate","Affordable"))</f>
        <v>Affordable</v>
      </c>
      <c r="AG535" t="str">
        <f>IF(J535&gt;=4.5,"Excellent",IF(J535&gt;=3.5,"Good",IF(J535&gt;=2.5,"Average","Poor")))</f>
        <v>Excellent</v>
      </c>
      <c r="AH535" t="str">
        <f>IF(OR(TEXT(N535,"dddd")="Saturday",TEXT(N535,"dddd")="Sunday"),"Weekend","Weekday")</f>
        <v>Weekday</v>
      </c>
    </row>
    <row r="536" spans="1:34" x14ac:dyDescent="0.3">
      <c r="A536">
        <v>544</v>
      </c>
      <c r="B536">
        <v>70</v>
      </c>
      <c r="C536" t="s">
        <v>35</v>
      </c>
      <c r="D536" t="s">
        <v>54</v>
      </c>
      <c r="E536" t="s">
        <v>55</v>
      </c>
      <c r="F536">
        <v>10000</v>
      </c>
      <c r="G536">
        <v>44</v>
      </c>
      <c r="H536" t="s">
        <v>38</v>
      </c>
      <c r="I536" t="s">
        <v>39</v>
      </c>
      <c r="J536">
        <v>2</v>
      </c>
      <c r="K536" t="s">
        <v>281</v>
      </c>
      <c r="L536" t="s">
        <v>1195</v>
      </c>
      <c r="M536" t="s">
        <v>1196</v>
      </c>
      <c r="N536" s="2">
        <v>46192</v>
      </c>
      <c r="O536" s="2">
        <v>46236</v>
      </c>
      <c r="P536" t="s">
        <v>29</v>
      </c>
      <c r="Q536" t="s">
        <v>30</v>
      </c>
      <c r="R536" t="s">
        <v>59</v>
      </c>
      <c r="S536" t="s">
        <v>53</v>
      </c>
      <c r="T536" t="s">
        <v>33</v>
      </c>
      <c r="U536" t="s">
        <v>46</v>
      </c>
      <c r="V536" t="str">
        <f>IF(B536&lt;=18,"Children",IF(B536&lt;=35,"Young adult",IF(B536&lt;=60,"Adult", "Senior Citizen")))</f>
        <v>Senior Citizen</v>
      </c>
      <c r="W536" t="str">
        <f t="shared" si="56"/>
        <v>Jun</v>
      </c>
      <c r="X536">
        <f t="shared" si="57"/>
        <v>6</v>
      </c>
      <c r="Y536" t="str">
        <f t="shared" si="58"/>
        <v>Q2</v>
      </c>
      <c r="Z536">
        <f t="shared" si="59"/>
        <v>2026</v>
      </c>
      <c r="AA536" t="str">
        <f t="shared" si="60"/>
        <v>Friday</v>
      </c>
      <c r="AB536">
        <f t="shared" si="61"/>
        <v>-44</v>
      </c>
      <c r="AC536" t="str">
        <f>IF(OR(D536="Heart Disease",D536="Cancer",D536="Stroke"),"High",IF(OR(D536="Diabetes",D536="Asthma"),"Medium","Low"))</f>
        <v>High</v>
      </c>
      <c r="AD536" t="str">
        <f t="shared" si="62"/>
        <v>Yes</v>
      </c>
      <c r="AE536" t="str">
        <f>IF(G536&lt;=2,"Short Stay", IF(G536&lt;=7,"Normal Stay", "Long Stay"))</f>
        <v>Long Stay</v>
      </c>
      <c r="AF536" t="str">
        <f>IF(F536&gt;60000,"Expensive",IF(F536&gt;30000,"Moderate","Affordable"))</f>
        <v>Affordable</v>
      </c>
      <c r="AG536" t="str">
        <f>IF(J536&gt;=4.5,"Excellent",IF(J536&gt;=3.5,"Good",IF(J536&gt;=2.5,"Average","Poor")))</f>
        <v>Poor</v>
      </c>
      <c r="AH536" t="str">
        <f>IF(OR(TEXT(N536,"dddd")="Saturday",TEXT(N536,"dddd")="Sunday"),"Weekend","Weekday")</f>
        <v>Weekday</v>
      </c>
    </row>
    <row r="537" spans="1:34" x14ac:dyDescent="0.3">
      <c r="A537">
        <v>545</v>
      </c>
      <c r="B537">
        <v>55</v>
      </c>
      <c r="C537" t="s">
        <v>21</v>
      </c>
      <c r="D537" t="s">
        <v>60</v>
      </c>
      <c r="E537" t="s">
        <v>61</v>
      </c>
      <c r="F537">
        <v>25000</v>
      </c>
      <c r="G537">
        <v>46</v>
      </c>
      <c r="H537" t="s">
        <v>24</v>
      </c>
      <c r="I537" t="s">
        <v>25</v>
      </c>
      <c r="J537">
        <v>4</v>
      </c>
      <c r="K537" t="s">
        <v>49</v>
      </c>
      <c r="L537" t="s">
        <v>1197</v>
      </c>
      <c r="M537" t="s">
        <v>1198</v>
      </c>
      <c r="N537" s="2">
        <v>46193</v>
      </c>
      <c r="O537" s="2">
        <v>46239</v>
      </c>
      <c r="P537" t="s">
        <v>29</v>
      </c>
      <c r="Q537" t="s">
        <v>52</v>
      </c>
      <c r="R537" t="s">
        <v>65</v>
      </c>
      <c r="S537" t="s">
        <v>53</v>
      </c>
      <c r="T537" t="s">
        <v>33</v>
      </c>
      <c r="U537" t="s">
        <v>46</v>
      </c>
      <c r="V537" t="str">
        <f>IF(B537&lt;=18,"Children",IF(B537&lt;=35,"Young adult",IF(B537&lt;=60,"Adult", "Senior Citizen")))</f>
        <v>Adult</v>
      </c>
      <c r="W537" t="str">
        <f t="shared" si="56"/>
        <v>Jun</v>
      </c>
      <c r="X537">
        <f t="shared" si="57"/>
        <v>6</v>
      </c>
      <c r="Y537" t="str">
        <f t="shared" si="58"/>
        <v>Q2</v>
      </c>
      <c r="Z537">
        <f t="shared" si="59"/>
        <v>2026</v>
      </c>
      <c r="AA537" t="str">
        <f t="shared" si="60"/>
        <v>Saturday</v>
      </c>
      <c r="AB537">
        <f t="shared" si="61"/>
        <v>-46</v>
      </c>
      <c r="AC537" t="str">
        <f>IF(OR(D537="Heart Disease",D537="Cancer",D537="Stroke"),"High",IF(OR(D537="Diabetes",D537="Asthma"),"Medium","Low"))</f>
        <v>High</v>
      </c>
      <c r="AD537" t="str">
        <f t="shared" si="62"/>
        <v>Yes</v>
      </c>
      <c r="AE537" t="str">
        <f>IF(G537&lt;=2,"Short Stay", IF(G537&lt;=7,"Normal Stay", "Long Stay"))</f>
        <v>Long Stay</v>
      </c>
      <c r="AF537" t="str">
        <f>IF(F537&gt;60000,"Expensive",IF(F537&gt;30000,"Moderate","Affordable"))</f>
        <v>Affordable</v>
      </c>
      <c r="AG537" t="str">
        <f>IF(J537&gt;=4.5,"Excellent",IF(J537&gt;=3.5,"Good",IF(J537&gt;=2.5,"Average","Poor")))</f>
        <v>Good</v>
      </c>
      <c r="AH537" t="str">
        <f>IF(OR(TEXT(N537,"dddd")="Saturday",TEXT(N537,"dddd")="Sunday"),"Weekend","Weekday")</f>
        <v>Weekend</v>
      </c>
    </row>
    <row r="538" spans="1:34" x14ac:dyDescent="0.3">
      <c r="A538">
        <v>546</v>
      </c>
      <c r="B538">
        <v>68</v>
      </c>
      <c r="C538" t="s">
        <v>35</v>
      </c>
      <c r="D538" t="s">
        <v>66</v>
      </c>
      <c r="E538" t="s">
        <v>67</v>
      </c>
      <c r="F538">
        <v>1000</v>
      </c>
      <c r="G538">
        <v>40</v>
      </c>
      <c r="H538" t="s">
        <v>24</v>
      </c>
      <c r="I538" t="s">
        <v>39</v>
      </c>
      <c r="J538">
        <v>4</v>
      </c>
      <c r="K538" t="s">
        <v>336</v>
      </c>
      <c r="L538" t="s">
        <v>1199</v>
      </c>
      <c r="M538" t="s">
        <v>1200</v>
      </c>
      <c r="N538" s="2">
        <v>46194</v>
      </c>
      <c r="O538" s="2">
        <v>46234</v>
      </c>
      <c r="P538" t="s">
        <v>43</v>
      </c>
      <c r="Q538" t="s">
        <v>44</v>
      </c>
      <c r="R538" t="s">
        <v>45</v>
      </c>
      <c r="S538" t="s">
        <v>53</v>
      </c>
      <c r="T538" t="s">
        <v>33</v>
      </c>
      <c r="U538" t="s">
        <v>104</v>
      </c>
      <c r="V538" t="str">
        <f>IF(B538&lt;=18,"Children",IF(B538&lt;=35,"Young adult",IF(B538&lt;=60,"Adult", "Senior Citizen")))</f>
        <v>Senior Citizen</v>
      </c>
      <c r="W538" t="str">
        <f t="shared" si="56"/>
        <v>Jun</v>
      </c>
      <c r="X538">
        <f t="shared" si="57"/>
        <v>6</v>
      </c>
      <c r="Y538" t="str">
        <f t="shared" si="58"/>
        <v>Q2</v>
      </c>
      <c r="Z538">
        <f t="shared" si="59"/>
        <v>2026</v>
      </c>
      <c r="AA538" t="str">
        <f t="shared" si="60"/>
        <v>Sunday</v>
      </c>
      <c r="AB538">
        <f t="shared" si="61"/>
        <v>-40</v>
      </c>
      <c r="AC538" t="str">
        <f>IF(OR(D538="Heart Disease",D538="Cancer",D538="Stroke"),"High",IF(OR(D538="Diabetes",D538="Asthma"),"Medium","Low"))</f>
        <v>Low</v>
      </c>
      <c r="AD538" t="str">
        <f t="shared" si="62"/>
        <v>No</v>
      </c>
      <c r="AE538" t="str">
        <f>IF(G538&lt;=2,"Short Stay", IF(G538&lt;=7,"Normal Stay", "Long Stay"))</f>
        <v>Long Stay</v>
      </c>
      <c r="AF538" t="str">
        <f>IF(F538&gt;60000,"Expensive",IF(F538&gt;30000,"Moderate","Affordable"))</f>
        <v>Affordable</v>
      </c>
      <c r="AG538" t="str">
        <f>IF(J538&gt;=4.5,"Excellent",IF(J538&gt;=3.5,"Good",IF(J538&gt;=2.5,"Average","Poor")))</f>
        <v>Good</v>
      </c>
      <c r="AH538" t="str">
        <f>IF(OR(TEXT(N538,"dddd")="Saturday",TEXT(N538,"dddd")="Sunday"),"Weekend","Weekday")</f>
        <v>Weekend</v>
      </c>
    </row>
    <row r="539" spans="1:34" x14ac:dyDescent="0.3">
      <c r="A539">
        <v>547</v>
      </c>
      <c r="B539">
        <v>45</v>
      </c>
      <c r="C539" t="s">
        <v>21</v>
      </c>
      <c r="D539" t="s">
        <v>73</v>
      </c>
      <c r="E539" t="s">
        <v>74</v>
      </c>
      <c r="F539">
        <v>8000</v>
      </c>
      <c r="G539">
        <v>42</v>
      </c>
      <c r="H539" t="s">
        <v>24</v>
      </c>
      <c r="I539" t="s">
        <v>25</v>
      </c>
      <c r="J539">
        <v>3</v>
      </c>
      <c r="K539" t="s">
        <v>215</v>
      </c>
      <c r="L539" t="s">
        <v>1201</v>
      </c>
      <c r="M539" t="s">
        <v>1202</v>
      </c>
      <c r="N539" s="2">
        <v>46195</v>
      </c>
      <c r="O539" s="2">
        <v>46237</v>
      </c>
      <c r="P539" t="s">
        <v>29</v>
      </c>
      <c r="Q539" t="s">
        <v>52</v>
      </c>
      <c r="R539" t="s">
        <v>45</v>
      </c>
      <c r="S539" t="s">
        <v>72</v>
      </c>
      <c r="T539" t="s">
        <v>33</v>
      </c>
      <c r="U539" t="s">
        <v>34</v>
      </c>
      <c r="V539" t="str">
        <f>IF(B539&lt;=18,"Children",IF(B539&lt;=35,"Young adult",IF(B539&lt;=60,"Adult", "Senior Citizen")))</f>
        <v>Adult</v>
      </c>
      <c r="W539" t="str">
        <f t="shared" si="56"/>
        <v>Jun</v>
      </c>
      <c r="X539">
        <f t="shared" si="57"/>
        <v>6</v>
      </c>
      <c r="Y539" t="str">
        <f t="shared" si="58"/>
        <v>Q2</v>
      </c>
      <c r="Z539">
        <f t="shared" si="59"/>
        <v>2026</v>
      </c>
      <c r="AA539" t="str">
        <f t="shared" si="60"/>
        <v>Monday</v>
      </c>
      <c r="AB539">
        <f t="shared" si="61"/>
        <v>-42</v>
      </c>
      <c r="AC539" t="str">
        <f>IF(OR(D539="Heart Disease",D539="Cancer",D539="Stroke"),"High",IF(OR(D539="Diabetes",D539="Asthma"),"Medium","Low"))</f>
        <v>Low</v>
      </c>
      <c r="AD539" t="str">
        <f t="shared" si="62"/>
        <v>No</v>
      </c>
      <c r="AE539" t="str">
        <f>IF(G539&lt;=2,"Short Stay", IF(G539&lt;=7,"Normal Stay", "Long Stay"))</f>
        <v>Long Stay</v>
      </c>
      <c r="AF539" t="str">
        <f>IF(F539&gt;60000,"Expensive",IF(F539&gt;30000,"Moderate","Affordable"))</f>
        <v>Affordable</v>
      </c>
      <c r="AG539" t="str">
        <f>IF(J539&gt;=4.5,"Excellent",IF(J539&gt;=3.5,"Good",IF(J539&gt;=2.5,"Average","Poor")))</f>
        <v>Average</v>
      </c>
      <c r="AH539" t="str">
        <f>IF(OR(TEXT(N539,"dddd")="Saturday",TEXT(N539,"dddd")="Sunday"),"Weekend","Weekday")</f>
        <v>Weekday</v>
      </c>
    </row>
    <row r="540" spans="1:34" x14ac:dyDescent="0.3">
      <c r="A540">
        <v>548</v>
      </c>
      <c r="B540">
        <v>40</v>
      </c>
      <c r="C540" t="s">
        <v>35</v>
      </c>
      <c r="D540" t="s">
        <v>79</v>
      </c>
      <c r="E540" t="s">
        <v>80</v>
      </c>
      <c r="F540">
        <v>3000</v>
      </c>
      <c r="G540">
        <v>42</v>
      </c>
      <c r="H540" t="s">
        <v>24</v>
      </c>
      <c r="I540" t="s">
        <v>25</v>
      </c>
      <c r="J540">
        <v>4</v>
      </c>
      <c r="K540" t="s">
        <v>200</v>
      </c>
      <c r="L540" t="s">
        <v>1203</v>
      </c>
      <c r="M540" t="s">
        <v>1204</v>
      </c>
      <c r="N540" s="2">
        <v>46196</v>
      </c>
      <c r="O540" s="2">
        <v>46238</v>
      </c>
      <c r="P540" t="s">
        <v>29</v>
      </c>
      <c r="Q540" t="s">
        <v>52</v>
      </c>
      <c r="R540" t="s">
        <v>45</v>
      </c>
      <c r="S540" t="s">
        <v>72</v>
      </c>
      <c r="T540" t="s">
        <v>33</v>
      </c>
      <c r="U540" t="s">
        <v>78</v>
      </c>
      <c r="V540" t="str">
        <f>IF(B540&lt;=18,"Children",IF(B540&lt;=35,"Young adult",IF(B540&lt;=60,"Adult", "Senior Citizen")))</f>
        <v>Adult</v>
      </c>
      <c r="W540" t="str">
        <f t="shared" si="56"/>
        <v>Jun</v>
      </c>
      <c r="X540">
        <f t="shared" si="57"/>
        <v>6</v>
      </c>
      <c r="Y540" t="str">
        <f t="shared" si="58"/>
        <v>Q2</v>
      </c>
      <c r="Z540">
        <f t="shared" si="59"/>
        <v>2026</v>
      </c>
      <c r="AA540" t="str">
        <f t="shared" si="60"/>
        <v>Tuesday</v>
      </c>
      <c r="AB540">
        <f t="shared" si="61"/>
        <v>-42</v>
      </c>
      <c r="AC540" t="str">
        <f>IF(OR(D540="Heart Disease",D540="Cancer",D540="Stroke"),"High",IF(OR(D540="Diabetes",D540="Asthma"),"Medium","Low"))</f>
        <v>Low</v>
      </c>
      <c r="AD540" t="str">
        <f t="shared" si="62"/>
        <v>No</v>
      </c>
      <c r="AE540" t="str">
        <f>IF(G540&lt;=2,"Short Stay", IF(G540&lt;=7,"Normal Stay", "Long Stay"))</f>
        <v>Long Stay</v>
      </c>
      <c r="AF540" t="str">
        <f>IF(F540&gt;60000,"Expensive",IF(F540&gt;30000,"Moderate","Affordable"))</f>
        <v>Affordable</v>
      </c>
      <c r="AG540" t="str">
        <f>IF(J540&gt;=4.5,"Excellent",IF(J540&gt;=3.5,"Good",IF(J540&gt;=2.5,"Average","Poor")))</f>
        <v>Good</v>
      </c>
      <c r="AH540" t="str">
        <f>IF(OR(TEXT(N540,"dddd")="Saturday",TEXT(N540,"dddd")="Sunday"),"Weekend","Weekday")</f>
        <v>Weekday</v>
      </c>
    </row>
    <row r="541" spans="1:34" x14ac:dyDescent="0.3">
      <c r="A541">
        <v>549</v>
      </c>
      <c r="B541">
        <v>78</v>
      </c>
      <c r="C541" t="s">
        <v>21</v>
      </c>
      <c r="D541" t="s">
        <v>85</v>
      </c>
      <c r="E541" t="s">
        <v>86</v>
      </c>
      <c r="F541">
        <v>18000</v>
      </c>
      <c r="G541">
        <v>44</v>
      </c>
      <c r="H541" t="s">
        <v>38</v>
      </c>
      <c r="I541" t="s">
        <v>39</v>
      </c>
      <c r="J541">
        <v>2</v>
      </c>
      <c r="K541" t="s">
        <v>294</v>
      </c>
      <c r="L541" t="s">
        <v>1205</v>
      </c>
      <c r="M541" t="s">
        <v>1206</v>
      </c>
      <c r="N541" s="2">
        <v>46197</v>
      </c>
      <c r="O541" s="2">
        <v>46241</v>
      </c>
      <c r="P541" t="s">
        <v>29</v>
      </c>
      <c r="Q541" t="s">
        <v>44</v>
      </c>
      <c r="R541" t="s">
        <v>45</v>
      </c>
      <c r="S541" t="s">
        <v>110</v>
      </c>
      <c r="T541" t="s">
        <v>33</v>
      </c>
      <c r="U541" t="s">
        <v>78</v>
      </c>
      <c r="V541" t="str">
        <f>IF(B541&lt;=18,"Children",IF(B541&lt;=35,"Young adult",IF(B541&lt;=60,"Adult", "Senior Citizen")))</f>
        <v>Senior Citizen</v>
      </c>
      <c r="W541" t="str">
        <f t="shared" si="56"/>
        <v>Jun</v>
      </c>
      <c r="X541">
        <f t="shared" si="57"/>
        <v>6</v>
      </c>
      <c r="Y541" t="str">
        <f t="shared" si="58"/>
        <v>Q2</v>
      </c>
      <c r="Z541">
        <f t="shared" si="59"/>
        <v>2026</v>
      </c>
      <c r="AA541" t="str">
        <f t="shared" si="60"/>
        <v>Wednesday</v>
      </c>
      <c r="AB541">
        <f t="shared" si="61"/>
        <v>-44</v>
      </c>
      <c r="AC541" t="str">
        <f>IF(OR(D541="Heart Disease",D541="Cancer",D541="Stroke"),"High",IF(OR(D541="Diabetes",D541="Asthma"),"Medium","Low"))</f>
        <v>Low</v>
      </c>
      <c r="AD541" t="str">
        <f t="shared" si="62"/>
        <v>No</v>
      </c>
      <c r="AE541" t="str">
        <f>IF(G541&lt;=2,"Short Stay", IF(G541&lt;=7,"Normal Stay", "Long Stay"))</f>
        <v>Long Stay</v>
      </c>
      <c r="AF541" t="str">
        <f>IF(F541&gt;60000,"Expensive",IF(F541&gt;30000,"Moderate","Affordable"))</f>
        <v>Affordable</v>
      </c>
      <c r="AG541" t="str">
        <f>IF(J541&gt;=4.5,"Excellent",IF(J541&gt;=3.5,"Good",IF(J541&gt;=2.5,"Average","Poor")))</f>
        <v>Poor</v>
      </c>
      <c r="AH541" t="str">
        <f>IF(OR(TEXT(N541,"dddd")="Saturday",TEXT(N541,"dddd")="Sunday"),"Weekend","Weekday")</f>
        <v>Weekday</v>
      </c>
    </row>
    <row r="542" spans="1:34" x14ac:dyDescent="0.3">
      <c r="A542">
        <v>550</v>
      </c>
      <c r="B542">
        <v>25</v>
      </c>
      <c r="C542" t="s">
        <v>35</v>
      </c>
      <c r="D542" t="s">
        <v>89</v>
      </c>
      <c r="E542" t="s">
        <v>90</v>
      </c>
      <c r="F542">
        <v>100</v>
      </c>
      <c r="G542">
        <v>37</v>
      </c>
      <c r="H542" t="s">
        <v>24</v>
      </c>
      <c r="I542" t="s">
        <v>25</v>
      </c>
      <c r="J542">
        <v>5</v>
      </c>
      <c r="K542" t="s">
        <v>324</v>
      </c>
      <c r="L542" t="s">
        <v>1207</v>
      </c>
      <c r="M542" t="s">
        <v>1208</v>
      </c>
      <c r="N542" s="2">
        <v>46198</v>
      </c>
      <c r="O542" s="2">
        <v>46235</v>
      </c>
      <c r="P542" t="s">
        <v>43</v>
      </c>
      <c r="Q542" t="s">
        <v>71</v>
      </c>
      <c r="R542" t="s">
        <v>45</v>
      </c>
      <c r="S542" t="s">
        <v>32</v>
      </c>
      <c r="T542" t="s">
        <v>33</v>
      </c>
      <c r="U542" t="s">
        <v>46</v>
      </c>
      <c r="V542" t="str">
        <f>IF(B542&lt;=18,"Children",IF(B542&lt;=35,"Young adult",IF(B542&lt;=60,"Adult", "Senior Citizen")))</f>
        <v>Young adult</v>
      </c>
      <c r="W542" t="str">
        <f t="shared" si="56"/>
        <v>Jun</v>
      </c>
      <c r="X542">
        <f t="shared" si="57"/>
        <v>6</v>
      </c>
      <c r="Y542" t="str">
        <f t="shared" si="58"/>
        <v>Q2</v>
      </c>
      <c r="Z542">
        <f t="shared" si="59"/>
        <v>2026</v>
      </c>
      <c r="AA542" t="str">
        <f t="shared" si="60"/>
        <v>Thursday</v>
      </c>
      <c r="AB542">
        <f t="shared" si="61"/>
        <v>-37</v>
      </c>
      <c r="AC542" t="str">
        <f>IF(OR(D542="Heart Disease",D542="Cancer",D542="Stroke"),"High",IF(OR(D542="Diabetes",D542="Asthma"),"Medium","Low"))</f>
        <v>Low</v>
      </c>
      <c r="AD542" t="str">
        <f t="shared" si="62"/>
        <v>No</v>
      </c>
      <c r="AE542" t="str">
        <f>IF(G542&lt;=2,"Short Stay", IF(G542&lt;=7,"Normal Stay", "Long Stay"))</f>
        <v>Long Stay</v>
      </c>
      <c r="AF542" t="str">
        <f>IF(F542&gt;60000,"Expensive",IF(F542&gt;30000,"Moderate","Affordable"))</f>
        <v>Affordable</v>
      </c>
      <c r="AG542" t="str">
        <f>IF(J542&gt;=4.5,"Excellent",IF(J542&gt;=3.5,"Good",IF(J542&gt;=2.5,"Average","Poor")))</f>
        <v>Excellent</v>
      </c>
      <c r="AH542" t="str">
        <f>IF(OR(TEXT(N542,"dddd")="Saturday",TEXT(N542,"dddd")="Sunday"),"Weekend","Weekday")</f>
        <v>Weekday</v>
      </c>
    </row>
    <row r="543" spans="1:34" x14ac:dyDescent="0.3">
      <c r="A543">
        <v>551</v>
      </c>
      <c r="B543">
        <v>52</v>
      </c>
      <c r="C543" t="s">
        <v>21</v>
      </c>
      <c r="D543" t="s">
        <v>94</v>
      </c>
      <c r="E543" t="s">
        <v>95</v>
      </c>
      <c r="F543">
        <v>800</v>
      </c>
      <c r="G543">
        <v>38</v>
      </c>
      <c r="H543" t="s">
        <v>24</v>
      </c>
      <c r="I543" t="s">
        <v>39</v>
      </c>
      <c r="J543">
        <v>4</v>
      </c>
      <c r="K543" t="s">
        <v>49</v>
      </c>
      <c r="L543" t="s">
        <v>1209</v>
      </c>
      <c r="M543" t="s">
        <v>1210</v>
      </c>
      <c r="N543" s="2">
        <v>46199</v>
      </c>
      <c r="O543" s="2">
        <v>46237</v>
      </c>
      <c r="P543" t="s">
        <v>29</v>
      </c>
      <c r="Q543" t="s">
        <v>139</v>
      </c>
      <c r="R543" t="s">
        <v>45</v>
      </c>
      <c r="S543" t="s">
        <v>77</v>
      </c>
      <c r="T543" t="s">
        <v>33</v>
      </c>
      <c r="U543" t="s">
        <v>78</v>
      </c>
      <c r="V543" t="str">
        <f>IF(B543&lt;=18,"Children",IF(B543&lt;=35,"Young adult",IF(B543&lt;=60,"Adult", "Senior Citizen")))</f>
        <v>Adult</v>
      </c>
      <c r="W543" t="str">
        <f t="shared" si="56"/>
        <v>Jun</v>
      </c>
      <c r="X543">
        <f t="shared" si="57"/>
        <v>6</v>
      </c>
      <c r="Y543" t="str">
        <f t="shared" si="58"/>
        <v>Q2</v>
      </c>
      <c r="Z543">
        <f t="shared" si="59"/>
        <v>2026</v>
      </c>
      <c r="AA543" t="str">
        <f t="shared" si="60"/>
        <v>Friday</v>
      </c>
      <c r="AB543">
        <f t="shared" si="61"/>
        <v>-38</v>
      </c>
      <c r="AC543" t="str">
        <f>IF(OR(D543="Heart Disease",D543="Cancer",D543="Stroke"),"High",IF(OR(D543="Diabetes",D543="Asthma"),"Medium","Low"))</f>
        <v>Low</v>
      </c>
      <c r="AD543" t="str">
        <f t="shared" si="62"/>
        <v>No</v>
      </c>
      <c r="AE543" t="str">
        <f>IF(G543&lt;=2,"Short Stay", IF(G543&lt;=7,"Normal Stay", "Long Stay"))</f>
        <v>Long Stay</v>
      </c>
      <c r="AF543" t="str">
        <f>IF(F543&gt;60000,"Expensive",IF(F543&gt;30000,"Moderate","Affordable"))</f>
        <v>Affordable</v>
      </c>
      <c r="AG543" t="str">
        <f>IF(J543&gt;=4.5,"Excellent",IF(J543&gt;=3.5,"Good",IF(J543&gt;=2.5,"Average","Poor")))</f>
        <v>Good</v>
      </c>
      <c r="AH543" t="str">
        <f>IF(OR(TEXT(N543,"dddd")="Saturday",TEXT(N543,"dddd")="Sunday"),"Weekend","Weekday")</f>
        <v>Weekday</v>
      </c>
    </row>
    <row r="544" spans="1:34" x14ac:dyDescent="0.3">
      <c r="A544">
        <v>552</v>
      </c>
      <c r="B544">
        <v>58</v>
      </c>
      <c r="C544" t="s">
        <v>35</v>
      </c>
      <c r="D544" t="s">
        <v>99</v>
      </c>
      <c r="E544" t="s">
        <v>100</v>
      </c>
      <c r="F544">
        <v>20000</v>
      </c>
      <c r="G544">
        <v>45</v>
      </c>
      <c r="H544" t="s">
        <v>24</v>
      </c>
      <c r="I544" t="s">
        <v>25</v>
      </c>
      <c r="J544">
        <v>3</v>
      </c>
      <c r="K544" t="s">
        <v>200</v>
      </c>
      <c r="L544" t="s">
        <v>1211</v>
      </c>
      <c r="M544" t="s">
        <v>1212</v>
      </c>
      <c r="N544" s="2">
        <v>46200</v>
      </c>
      <c r="O544" s="2">
        <v>46245</v>
      </c>
      <c r="P544" t="s">
        <v>43</v>
      </c>
      <c r="Q544" t="s">
        <v>139</v>
      </c>
      <c r="R544" t="s">
        <v>45</v>
      </c>
      <c r="S544" t="s">
        <v>72</v>
      </c>
      <c r="T544" t="s">
        <v>33</v>
      </c>
      <c r="U544" t="s">
        <v>104</v>
      </c>
      <c r="V544" t="str">
        <f>IF(B544&lt;=18,"Children",IF(B544&lt;=35,"Young adult",IF(B544&lt;=60,"Adult", "Senior Citizen")))</f>
        <v>Adult</v>
      </c>
      <c r="W544" t="str">
        <f t="shared" si="56"/>
        <v>Jun</v>
      </c>
      <c r="X544">
        <f t="shared" si="57"/>
        <v>6</v>
      </c>
      <c r="Y544" t="str">
        <f t="shared" si="58"/>
        <v>Q2</v>
      </c>
      <c r="Z544">
        <f t="shared" si="59"/>
        <v>2026</v>
      </c>
      <c r="AA544" t="str">
        <f t="shared" si="60"/>
        <v>Saturday</v>
      </c>
      <c r="AB544">
        <f t="shared" si="61"/>
        <v>-45</v>
      </c>
      <c r="AC544" t="str">
        <f>IF(OR(D544="Heart Disease",D544="Cancer",D544="Stroke"),"High",IF(OR(D544="Diabetes",D544="Asthma"),"Medium","Low"))</f>
        <v>Low</v>
      </c>
      <c r="AD544" t="str">
        <f t="shared" si="62"/>
        <v>No</v>
      </c>
      <c r="AE544" t="str">
        <f>IF(G544&lt;=2,"Short Stay", IF(G544&lt;=7,"Normal Stay", "Long Stay"))</f>
        <v>Long Stay</v>
      </c>
      <c r="AF544" t="str">
        <f>IF(F544&gt;60000,"Expensive",IF(F544&gt;30000,"Moderate","Affordable"))</f>
        <v>Affordable</v>
      </c>
      <c r="AG544" t="str">
        <f>IF(J544&gt;=4.5,"Excellent",IF(J544&gt;=3.5,"Good",IF(J544&gt;=2.5,"Average","Poor")))</f>
        <v>Average</v>
      </c>
      <c r="AH544" t="str">
        <f>IF(OR(TEXT(N544,"dddd")="Saturday",TEXT(N544,"dddd")="Sunday"),"Weekend","Weekday")</f>
        <v>Weekend</v>
      </c>
    </row>
    <row r="545" spans="1:34" x14ac:dyDescent="0.3">
      <c r="A545">
        <v>553</v>
      </c>
      <c r="B545">
        <v>32</v>
      </c>
      <c r="C545" t="s">
        <v>21</v>
      </c>
      <c r="D545" t="s">
        <v>105</v>
      </c>
      <c r="E545" t="s">
        <v>106</v>
      </c>
      <c r="F545">
        <v>12000</v>
      </c>
      <c r="G545">
        <v>39</v>
      </c>
      <c r="H545" t="s">
        <v>24</v>
      </c>
      <c r="I545" t="s">
        <v>25</v>
      </c>
      <c r="J545">
        <v>4</v>
      </c>
      <c r="K545" t="s">
        <v>345</v>
      </c>
      <c r="L545" t="s">
        <v>1213</v>
      </c>
      <c r="M545" t="s">
        <v>1214</v>
      </c>
      <c r="N545" s="2">
        <v>46201</v>
      </c>
      <c r="O545" s="2">
        <v>46240</v>
      </c>
      <c r="P545" t="s">
        <v>29</v>
      </c>
      <c r="Q545" t="s">
        <v>71</v>
      </c>
      <c r="R545" t="s">
        <v>45</v>
      </c>
      <c r="S545" t="s">
        <v>77</v>
      </c>
      <c r="T545" t="s">
        <v>33</v>
      </c>
      <c r="U545" t="s">
        <v>104</v>
      </c>
      <c r="V545" t="str">
        <f>IF(B545&lt;=18,"Children",IF(B545&lt;=35,"Young adult",IF(B545&lt;=60,"Adult", "Senior Citizen")))</f>
        <v>Young adult</v>
      </c>
      <c r="W545" t="str">
        <f t="shared" si="56"/>
        <v>Jun</v>
      </c>
      <c r="X545">
        <f t="shared" si="57"/>
        <v>6</v>
      </c>
      <c r="Y545" t="str">
        <f t="shared" si="58"/>
        <v>Q2</v>
      </c>
      <c r="Z545">
        <f t="shared" si="59"/>
        <v>2026</v>
      </c>
      <c r="AA545" t="str">
        <f t="shared" si="60"/>
        <v>Sunday</v>
      </c>
      <c r="AB545">
        <f t="shared" si="61"/>
        <v>-39</v>
      </c>
      <c r="AC545" t="str">
        <f>IF(OR(D545="Heart Disease",D545="Cancer",D545="Stroke"),"High",IF(OR(D545="Diabetes",D545="Asthma"),"Medium","Low"))</f>
        <v>Low</v>
      </c>
      <c r="AD545" t="str">
        <f t="shared" si="62"/>
        <v>No</v>
      </c>
      <c r="AE545" t="str">
        <f>IF(G545&lt;=2,"Short Stay", IF(G545&lt;=7,"Normal Stay", "Long Stay"))</f>
        <v>Long Stay</v>
      </c>
      <c r="AF545" t="str">
        <f>IF(F545&gt;60000,"Expensive",IF(F545&gt;30000,"Moderate","Affordable"))</f>
        <v>Affordable</v>
      </c>
      <c r="AG545" t="str">
        <f>IF(J545&gt;=4.5,"Excellent",IF(J545&gt;=3.5,"Good",IF(J545&gt;=2.5,"Average","Poor")))</f>
        <v>Good</v>
      </c>
      <c r="AH545" t="str">
        <f>IF(OR(TEXT(N545,"dddd")="Saturday",TEXT(N545,"dddd")="Sunday"),"Weekend","Weekday")</f>
        <v>Weekend</v>
      </c>
    </row>
    <row r="546" spans="1:34" x14ac:dyDescent="0.3">
      <c r="A546">
        <v>554</v>
      </c>
      <c r="B546">
        <v>55</v>
      </c>
      <c r="C546" t="s">
        <v>35</v>
      </c>
      <c r="D546" t="s">
        <v>111</v>
      </c>
      <c r="E546" t="s">
        <v>112</v>
      </c>
      <c r="F546">
        <v>6000</v>
      </c>
      <c r="G546">
        <v>40</v>
      </c>
      <c r="H546" t="s">
        <v>24</v>
      </c>
      <c r="I546" t="s">
        <v>25</v>
      </c>
      <c r="J546">
        <v>3</v>
      </c>
      <c r="K546" t="s">
        <v>200</v>
      </c>
      <c r="L546" t="s">
        <v>1215</v>
      </c>
      <c r="M546" t="s">
        <v>1216</v>
      </c>
      <c r="N546" s="2">
        <v>46202</v>
      </c>
      <c r="O546" s="2">
        <v>46242</v>
      </c>
      <c r="P546" t="s">
        <v>43</v>
      </c>
      <c r="Q546" t="s">
        <v>30</v>
      </c>
      <c r="R546" t="s">
        <v>45</v>
      </c>
      <c r="S546" t="s">
        <v>110</v>
      </c>
      <c r="T546" t="s">
        <v>33</v>
      </c>
      <c r="U546" t="s">
        <v>46</v>
      </c>
      <c r="V546" t="str">
        <f>IF(B546&lt;=18,"Children",IF(B546&lt;=35,"Young adult",IF(B546&lt;=60,"Adult", "Senior Citizen")))</f>
        <v>Adult</v>
      </c>
      <c r="W546" t="str">
        <f t="shared" si="56"/>
        <v>Jun</v>
      </c>
      <c r="X546">
        <f t="shared" si="57"/>
        <v>6</v>
      </c>
      <c r="Y546" t="str">
        <f t="shared" si="58"/>
        <v>Q2</v>
      </c>
      <c r="Z546">
        <f t="shared" si="59"/>
        <v>2026</v>
      </c>
      <c r="AA546" t="str">
        <f t="shared" si="60"/>
        <v>Monday</v>
      </c>
      <c r="AB546">
        <f t="shared" si="61"/>
        <v>-40</v>
      </c>
      <c r="AC546" t="str">
        <f>IF(OR(D546="Heart Disease",D546="Cancer",D546="Stroke"),"High",IF(OR(D546="Diabetes",D546="Asthma"),"Medium","Low"))</f>
        <v>Low</v>
      </c>
      <c r="AD546" t="str">
        <f t="shared" si="62"/>
        <v>No</v>
      </c>
      <c r="AE546" t="str">
        <f>IF(G546&lt;=2,"Short Stay", IF(G546&lt;=7,"Normal Stay", "Long Stay"))</f>
        <v>Long Stay</v>
      </c>
      <c r="AF546" t="str">
        <f>IF(F546&gt;60000,"Expensive",IF(F546&gt;30000,"Moderate","Affordable"))</f>
        <v>Affordable</v>
      </c>
      <c r="AG546" t="str">
        <f>IF(J546&gt;=4.5,"Excellent",IF(J546&gt;=3.5,"Good",IF(J546&gt;=2.5,"Average","Poor")))</f>
        <v>Average</v>
      </c>
      <c r="AH546" t="str">
        <f>IF(OR(TEXT(N546,"dddd")="Saturday",TEXT(N546,"dddd")="Sunday"),"Weekend","Weekday")</f>
        <v>Weekday</v>
      </c>
    </row>
    <row r="547" spans="1:34" x14ac:dyDescent="0.3">
      <c r="A547">
        <v>555</v>
      </c>
      <c r="B547">
        <v>65</v>
      </c>
      <c r="C547" t="s">
        <v>21</v>
      </c>
      <c r="D547" t="s">
        <v>116</v>
      </c>
      <c r="E547" t="s">
        <v>117</v>
      </c>
      <c r="F547">
        <v>4000</v>
      </c>
      <c r="G547">
        <v>41</v>
      </c>
      <c r="H547" t="s">
        <v>24</v>
      </c>
      <c r="I547" t="s">
        <v>39</v>
      </c>
      <c r="J547">
        <v>4</v>
      </c>
      <c r="K547" t="s">
        <v>250</v>
      </c>
      <c r="L547" t="s">
        <v>1217</v>
      </c>
      <c r="M547" t="s">
        <v>1218</v>
      </c>
      <c r="N547" s="2">
        <v>46203</v>
      </c>
      <c r="O547" s="2">
        <v>46244</v>
      </c>
      <c r="P547" t="s">
        <v>29</v>
      </c>
      <c r="Q547" t="s">
        <v>44</v>
      </c>
      <c r="R547" t="s">
        <v>45</v>
      </c>
      <c r="S547" t="s">
        <v>84</v>
      </c>
      <c r="T547" t="s">
        <v>33</v>
      </c>
      <c r="U547" t="s">
        <v>46</v>
      </c>
      <c r="V547" t="str">
        <f>IF(B547&lt;=18,"Children",IF(B547&lt;=35,"Young adult",IF(B547&lt;=60,"Adult", "Senior Citizen")))</f>
        <v>Senior Citizen</v>
      </c>
      <c r="W547" t="str">
        <f t="shared" si="56"/>
        <v>Jun</v>
      </c>
      <c r="X547">
        <f t="shared" si="57"/>
        <v>6</v>
      </c>
      <c r="Y547" t="str">
        <f t="shared" si="58"/>
        <v>Q2</v>
      </c>
      <c r="Z547">
        <f t="shared" si="59"/>
        <v>2026</v>
      </c>
      <c r="AA547" t="str">
        <f t="shared" si="60"/>
        <v>Tuesday</v>
      </c>
      <c r="AB547">
        <f t="shared" si="61"/>
        <v>-41</v>
      </c>
      <c r="AC547" t="str">
        <f>IF(OR(D547="Heart Disease",D547="Cancer",D547="Stroke"),"High",IF(OR(D547="Diabetes",D547="Asthma"),"Medium","Low"))</f>
        <v>Low</v>
      </c>
      <c r="AD547" t="str">
        <f t="shared" si="62"/>
        <v>No</v>
      </c>
      <c r="AE547" t="str">
        <f>IF(G547&lt;=2,"Short Stay", IF(G547&lt;=7,"Normal Stay", "Long Stay"))</f>
        <v>Long Stay</v>
      </c>
      <c r="AF547" t="str">
        <f>IF(F547&gt;60000,"Expensive",IF(F547&gt;30000,"Moderate","Affordable"))</f>
        <v>Affordable</v>
      </c>
      <c r="AG547" t="str">
        <f>IF(J547&gt;=4.5,"Excellent",IF(J547&gt;=3.5,"Good",IF(J547&gt;=2.5,"Average","Poor")))</f>
        <v>Good</v>
      </c>
      <c r="AH547" t="str">
        <f>IF(OR(TEXT(N547,"dddd")="Saturday",TEXT(N547,"dddd")="Sunday"),"Weekend","Weekday")</f>
        <v>Weekday</v>
      </c>
    </row>
    <row r="548" spans="1:34" x14ac:dyDescent="0.3">
      <c r="A548">
        <v>556</v>
      </c>
      <c r="B548">
        <v>55</v>
      </c>
      <c r="C548" t="s">
        <v>21</v>
      </c>
      <c r="D548" t="s">
        <v>22</v>
      </c>
      <c r="E548" t="s">
        <v>23</v>
      </c>
      <c r="F548">
        <v>15000</v>
      </c>
      <c r="G548">
        <v>42</v>
      </c>
      <c r="H548" t="s">
        <v>38</v>
      </c>
      <c r="I548" t="s">
        <v>25</v>
      </c>
      <c r="J548">
        <v>3</v>
      </c>
      <c r="K548" t="s">
        <v>380</v>
      </c>
      <c r="L548" t="s">
        <v>1219</v>
      </c>
      <c r="M548" t="s">
        <v>1220</v>
      </c>
      <c r="N548" s="2">
        <v>46204</v>
      </c>
      <c r="O548" s="2">
        <v>46246</v>
      </c>
      <c r="P548" t="s">
        <v>29</v>
      </c>
      <c r="Q548" t="s">
        <v>44</v>
      </c>
      <c r="R548" t="s">
        <v>31</v>
      </c>
      <c r="S548" t="s">
        <v>32</v>
      </c>
      <c r="T548" t="s">
        <v>33</v>
      </c>
      <c r="U548" t="s">
        <v>78</v>
      </c>
      <c r="V548" t="str">
        <f>IF(B548&lt;=18,"Children",IF(B548&lt;=35,"Young adult",IF(B548&lt;=60,"Adult", "Senior Citizen")))</f>
        <v>Adult</v>
      </c>
      <c r="W548" t="str">
        <f t="shared" si="56"/>
        <v>Jul</v>
      </c>
      <c r="X548">
        <f t="shared" si="57"/>
        <v>7</v>
      </c>
      <c r="Y548" t="str">
        <f t="shared" si="58"/>
        <v>Q3</v>
      </c>
      <c r="Z548">
        <f t="shared" si="59"/>
        <v>2026</v>
      </c>
      <c r="AA548" t="str">
        <f t="shared" si="60"/>
        <v>Wednesday</v>
      </c>
      <c r="AB548">
        <f t="shared" si="61"/>
        <v>-42</v>
      </c>
      <c r="AC548" t="str">
        <f>IF(OR(D548="Heart Disease",D548="Cancer",D548="Stroke"),"High",IF(OR(D548="Diabetes",D548="Asthma"),"Medium","Low"))</f>
        <v>High</v>
      </c>
      <c r="AD548" t="str">
        <f t="shared" si="62"/>
        <v>Yes</v>
      </c>
      <c r="AE548" t="str">
        <f>IF(G548&lt;=2,"Short Stay", IF(G548&lt;=7,"Normal Stay", "Long Stay"))</f>
        <v>Long Stay</v>
      </c>
      <c r="AF548" t="str">
        <f>IF(F548&gt;60000,"Expensive",IF(F548&gt;30000,"Moderate","Affordable"))</f>
        <v>Affordable</v>
      </c>
      <c r="AG548" t="str">
        <f>IF(J548&gt;=4.5,"Excellent",IF(J548&gt;=3.5,"Good",IF(J548&gt;=2.5,"Average","Poor")))</f>
        <v>Average</v>
      </c>
      <c r="AH548" t="str">
        <f>IF(OR(TEXT(N548,"dddd")="Saturday",TEXT(N548,"dddd")="Sunday"),"Weekend","Weekday")</f>
        <v>Weekday</v>
      </c>
    </row>
    <row r="549" spans="1:34" x14ac:dyDescent="0.3">
      <c r="A549">
        <v>557</v>
      </c>
      <c r="B549">
        <v>62</v>
      </c>
      <c r="C549" t="s">
        <v>35</v>
      </c>
      <c r="D549" t="s">
        <v>36</v>
      </c>
      <c r="E549" t="s">
        <v>37</v>
      </c>
      <c r="F549">
        <v>2000</v>
      </c>
      <c r="G549">
        <v>40</v>
      </c>
      <c r="H549" t="s">
        <v>24</v>
      </c>
      <c r="I549" t="s">
        <v>39</v>
      </c>
      <c r="J549">
        <v>4</v>
      </c>
      <c r="K549" t="s">
        <v>329</v>
      </c>
      <c r="L549" t="s">
        <v>1221</v>
      </c>
      <c r="M549" t="s">
        <v>1222</v>
      </c>
      <c r="N549" s="2">
        <v>46205</v>
      </c>
      <c r="O549" s="2">
        <v>46245</v>
      </c>
      <c r="P549" t="s">
        <v>29</v>
      </c>
      <c r="Q549" t="s">
        <v>139</v>
      </c>
      <c r="R549" t="s">
        <v>45</v>
      </c>
      <c r="S549" t="s">
        <v>53</v>
      </c>
      <c r="T549" t="s">
        <v>33</v>
      </c>
      <c r="U549" t="s">
        <v>104</v>
      </c>
      <c r="V549" t="str">
        <f>IF(B549&lt;=18,"Children",IF(B549&lt;=35,"Young adult",IF(B549&lt;=60,"Adult", "Senior Citizen")))</f>
        <v>Senior Citizen</v>
      </c>
      <c r="W549" t="str">
        <f t="shared" si="56"/>
        <v>Jul</v>
      </c>
      <c r="X549">
        <f t="shared" si="57"/>
        <v>7</v>
      </c>
      <c r="Y549" t="str">
        <f t="shared" si="58"/>
        <v>Q3</v>
      </c>
      <c r="Z549">
        <f t="shared" si="59"/>
        <v>2026</v>
      </c>
      <c r="AA549" t="str">
        <f t="shared" si="60"/>
        <v>Thursday</v>
      </c>
      <c r="AB549">
        <f t="shared" si="61"/>
        <v>-40</v>
      </c>
      <c r="AC549" t="str">
        <f>IF(OR(D549="Heart Disease",D549="Cancer",D549="Stroke"),"High",IF(OR(D549="Diabetes",D549="Asthma"),"Medium","Low"))</f>
        <v>Medium</v>
      </c>
      <c r="AD549" t="str">
        <f t="shared" si="62"/>
        <v>No</v>
      </c>
      <c r="AE549" t="str">
        <f>IF(G549&lt;=2,"Short Stay", IF(G549&lt;=7,"Normal Stay", "Long Stay"))</f>
        <v>Long Stay</v>
      </c>
      <c r="AF549" t="str">
        <f>IF(F549&gt;60000,"Expensive",IF(F549&gt;30000,"Moderate","Affordable"))</f>
        <v>Affordable</v>
      </c>
      <c r="AG549" t="str">
        <f>IF(J549&gt;=4.5,"Excellent",IF(J549&gt;=3.5,"Good",IF(J549&gt;=2.5,"Average","Poor")))</f>
        <v>Good</v>
      </c>
      <c r="AH549" t="str">
        <f>IF(OR(TEXT(N549,"dddd")="Saturday",TEXT(N549,"dddd")="Sunday"),"Weekend","Weekday")</f>
        <v>Weekday</v>
      </c>
    </row>
    <row r="550" spans="1:34" x14ac:dyDescent="0.3">
      <c r="A550">
        <v>558</v>
      </c>
      <c r="B550">
        <v>35</v>
      </c>
      <c r="C550" t="s">
        <v>21</v>
      </c>
      <c r="D550" t="s">
        <v>47</v>
      </c>
      <c r="E550" t="s">
        <v>48</v>
      </c>
      <c r="F550">
        <v>500</v>
      </c>
      <c r="G550">
        <v>38</v>
      </c>
      <c r="H550" t="s">
        <v>38</v>
      </c>
      <c r="I550" t="s">
        <v>25</v>
      </c>
      <c r="J550">
        <v>5</v>
      </c>
      <c r="K550" t="s">
        <v>345</v>
      </c>
      <c r="L550" t="s">
        <v>1223</v>
      </c>
      <c r="M550" t="s">
        <v>1224</v>
      </c>
      <c r="N550" s="2">
        <v>46206</v>
      </c>
      <c r="O550" s="2">
        <v>46244</v>
      </c>
      <c r="P550" t="s">
        <v>29</v>
      </c>
      <c r="Q550" t="s">
        <v>139</v>
      </c>
      <c r="R550" t="s">
        <v>45</v>
      </c>
      <c r="S550" t="s">
        <v>72</v>
      </c>
      <c r="T550" t="s">
        <v>33</v>
      </c>
      <c r="U550" t="s">
        <v>46</v>
      </c>
      <c r="V550" t="str">
        <f>IF(B550&lt;=18,"Children",IF(B550&lt;=35,"Young adult",IF(B550&lt;=60,"Adult", "Senior Citizen")))</f>
        <v>Young adult</v>
      </c>
      <c r="W550" t="str">
        <f t="shared" si="56"/>
        <v>Jul</v>
      </c>
      <c r="X550">
        <f t="shared" si="57"/>
        <v>7</v>
      </c>
      <c r="Y550" t="str">
        <f t="shared" si="58"/>
        <v>Q3</v>
      </c>
      <c r="Z550">
        <f t="shared" si="59"/>
        <v>2026</v>
      </c>
      <c r="AA550" t="str">
        <f t="shared" si="60"/>
        <v>Friday</v>
      </c>
      <c r="AB550">
        <f t="shared" si="61"/>
        <v>-38</v>
      </c>
      <c r="AC550" t="str">
        <f>IF(OR(D550="Heart Disease",D550="Cancer",D550="Stroke"),"High",IF(OR(D550="Diabetes",D550="Asthma"),"Medium","Low"))</f>
        <v>Low</v>
      </c>
      <c r="AD550" t="str">
        <f t="shared" si="62"/>
        <v>No</v>
      </c>
      <c r="AE550" t="str">
        <f>IF(G550&lt;=2,"Short Stay", IF(G550&lt;=7,"Normal Stay", "Long Stay"))</f>
        <v>Long Stay</v>
      </c>
      <c r="AF550" t="str">
        <f>IF(F550&gt;60000,"Expensive",IF(F550&gt;30000,"Moderate","Affordable"))</f>
        <v>Affordable</v>
      </c>
      <c r="AG550" t="str">
        <f>IF(J550&gt;=4.5,"Excellent",IF(J550&gt;=3.5,"Good",IF(J550&gt;=2.5,"Average","Poor")))</f>
        <v>Excellent</v>
      </c>
      <c r="AH550" t="str">
        <f>IF(OR(TEXT(N550,"dddd")="Saturday",TEXT(N550,"dddd")="Sunday"),"Weekend","Weekday")</f>
        <v>Weekday</v>
      </c>
    </row>
    <row r="551" spans="1:34" x14ac:dyDescent="0.3">
      <c r="A551">
        <v>559</v>
      </c>
      <c r="B551">
        <v>78</v>
      </c>
      <c r="C551" t="s">
        <v>35</v>
      </c>
      <c r="D551" t="s">
        <v>54</v>
      </c>
      <c r="E551" t="s">
        <v>55</v>
      </c>
      <c r="F551">
        <v>10000</v>
      </c>
      <c r="G551">
        <v>45</v>
      </c>
      <c r="H551" t="s">
        <v>24</v>
      </c>
      <c r="I551" t="s">
        <v>39</v>
      </c>
      <c r="J551">
        <v>2</v>
      </c>
      <c r="K551" t="s">
        <v>125</v>
      </c>
      <c r="L551" t="s">
        <v>1225</v>
      </c>
      <c r="M551" t="s">
        <v>1226</v>
      </c>
      <c r="N551" s="2">
        <v>46207</v>
      </c>
      <c r="O551" s="2">
        <v>46252</v>
      </c>
      <c r="P551" t="s">
        <v>29</v>
      </c>
      <c r="Q551" t="s">
        <v>52</v>
      </c>
      <c r="R551" t="s">
        <v>59</v>
      </c>
      <c r="S551" t="s">
        <v>32</v>
      </c>
      <c r="T551" t="s">
        <v>33</v>
      </c>
      <c r="U551" t="s">
        <v>78</v>
      </c>
      <c r="V551" t="str">
        <f>IF(B551&lt;=18,"Children",IF(B551&lt;=35,"Young adult",IF(B551&lt;=60,"Adult", "Senior Citizen")))</f>
        <v>Senior Citizen</v>
      </c>
      <c r="W551" t="str">
        <f t="shared" si="56"/>
        <v>Jul</v>
      </c>
      <c r="X551">
        <f t="shared" si="57"/>
        <v>7</v>
      </c>
      <c r="Y551" t="str">
        <f t="shared" si="58"/>
        <v>Q3</v>
      </c>
      <c r="Z551">
        <f t="shared" si="59"/>
        <v>2026</v>
      </c>
      <c r="AA551" t="str">
        <f t="shared" si="60"/>
        <v>Saturday</v>
      </c>
      <c r="AB551">
        <f t="shared" si="61"/>
        <v>-45</v>
      </c>
      <c r="AC551" t="str">
        <f>IF(OR(D551="Heart Disease",D551="Cancer",D551="Stroke"),"High",IF(OR(D551="Diabetes",D551="Asthma"),"Medium","Low"))</f>
        <v>High</v>
      </c>
      <c r="AD551" t="str">
        <f t="shared" si="62"/>
        <v>Yes</v>
      </c>
      <c r="AE551" t="str">
        <f>IF(G551&lt;=2,"Short Stay", IF(G551&lt;=7,"Normal Stay", "Long Stay"))</f>
        <v>Long Stay</v>
      </c>
      <c r="AF551" t="str">
        <f>IF(F551&gt;60000,"Expensive",IF(F551&gt;30000,"Moderate","Affordable"))</f>
        <v>Affordable</v>
      </c>
      <c r="AG551" t="str">
        <f>IF(J551&gt;=4.5,"Excellent",IF(J551&gt;=3.5,"Good",IF(J551&gt;=2.5,"Average","Poor")))</f>
        <v>Poor</v>
      </c>
      <c r="AH551" t="str">
        <f>IF(OR(TEXT(N551,"dddd")="Saturday",TEXT(N551,"dddd")="Sunday"),"Weekend","Weekday")</f>
        <v>Weekend</v>
      </c>
    </row>
    <row r="552" spans="1:34" x14ac:dyDescent="0.3">
      <c r="A552">
        <v>560</v>
      </c>
      <c r="B552">
        <v>53</v>
      </c>
      <c r="C552" t="s">
        <v>21</v>
      </c>
      <c r="D552" t="s">
        <v>60</v>
      </c>
      <c r="E552" t="s">
        <v>61</v>
      </c>
      <c r="F552">
        <v>25000</v>
      </c>
      <c r="G552">
        <v>47</v>
      </c>
      <c r="H552" t="s">
        <v>38</v>
      </c>
      <c r="I552" t="s">
        <v>25</v>
      </c>
      <c r="J552">
        <v>4</v>
      </c>
      <c r="K552" t="s">
        <v>175</v>
      </c>
      <c r="L552" t="s">
        <v>1227</v>
      </c>
      <c r="M552" t="s">
        <v>1228</v>
      </c>
      <c r="N552" s="2">
        <v>46208</v>
      </c>
      <c r="O552" s="2">
        <v>46255</v>
      </c>
      <c r="P552" t="s">
        <v>29</v>
      </c>
      <c r="Q552" t="s">
        <v>139</v>
      </c>
      <c r="R552" t="s">
        <v>65</v>
      </c>
      <c r="S552" t="s">
        <v>72</v>
      </c>
      <c r="T552" t="s">
        <v>33</v>
      </c>
      <c r="U552" t="s">
        <v>34</v>
      </c>
      <c r="V552" t="str">
        <f>IF(B552&lt;=18,"Children",IF(B552&lt;=35,"Young adult",IF(B552&lt;=60,"Adult", "Senior Citizen")))</f>
        <v>Adult</v>
      </c>
      <c r="W552" t="str">
        <f t="shared" si="56"/>
        <v>Jul</v>
      </c>
      <c r="X552">
        <f t="shared" si="57"/>
        <v>7</v>
      </c>
      <c r="Y552" t="str">
        <f t="shared" si="58"/>
        <v>Q3</v>
      </c>
      <c r="Z552">
        <f t="shared" si="59"/>
        <v>2026</v>
      </c>
      <c r="AA552" t="str">
        <f t="shared" si="60"/>
        <v>Sunday</v>
      </c>
      <c r="AB552">
        <f t="shared" si="61"/>
        <v>-47</v>
      </c>
      <c r="AC552" t="str">
        <f>IF(OR(D552="Heart Disease",D552="Cancer",D552="Stroke"),"High",IF(OR(D552="Diabetes",D552="Asthma"),"Medium","Low"))</f>
        <v>High</v>
      </c>
      <c r="AD552" t="str">
        <f t="shared" si="62"/>
        <v>Yes</v>
      </c>
      <c r="AE552" t="str">
        <f>IF(G552&lt;=2,"Short Stay", IF(G552&lt;=7,"Normal Stay", "Long Stay"))</f>
        <v>Long Stay</v>
      </c>
      <c r="AF552" t="str">
        <f>IF(F552&gt;60000,"Expensive",IF(F552&gt;30000,"Moderate","Affordable"))</f>
        <v>Affordable</v>
      </c>
      <c r="AG552" t="str">
        <f>IF(J552&gt;=4.5,"Excellent",IF(J552&gt;=3.5,"Good",IF(J552&gt;=2.5,"Average","Poor")))</f>
        <v>Good</v>
      </c>
      <c r="AH552" t="str">
        <f>IF(OR(TEXT(N552,"dddd")="Saturday",TEXT(N552,"dddd")="Sunday"),"Weekend","Weekday")</f>
        <v>Weekend</v>
      </c>
    </row>
    <row r="553" spans="1:34" x14ac:dyDescent="0.3">
      <c r="A553">
        <v>561</v>
      </c>
      <c r="B553">
        <v>72</v>
      </c>
      <c r="C553" t="s">
        <v>35</v>
      </c>
      <c r="D553" t="s">
        <v>66</v>
      </c>
      <c r="E553" t="s">
        <v>67</v>
      </c>
      <c r="F553">
        <v>1000</v>
      </c>
      <c r="G553">
        <v>41</v>
      </c>
      <c r="H553" t="s">
        <v>24</v>
      </c>
      <c r="I553" t="s">
        <v>39</v>
      </c>
      <c r="J553">
        <v>4</v>
      </c>
      <c r="K553" t="s">
        <v>68</v>
      </c>
      <c r="L553" t="s">
        <v>1229</v>
      </c>
      <c r="M553" t="s">
        <v>1230</v>
      </c>
      <c r="N553" s="2">
        <v>46209</v>
      </c>
      <c r="O553" s="2">
        <v>46250</v>
      </c>
      <c r="P553" t="s">
        <v>29</v>
      </c>
      <c r="Q553" t="s">
        <v>52</v>
      </c>
      <c r="R553" t="s">
        <v>45</v>
      </c>
      <c r="S553" t="s">
        <v>110</v>
      </c>
      <c r="T553" t="s">
        <v>33</v>
      </c>
      <c r="U553" t="s">
        <v>34</v>
      </c>
      <c r="V553" t="str">
        <f>IF(B553&lt;=18,"Children",IF(B553&lt;=35,"Young adult",IF(B553&lt;=60,"Adult", "Senior Citizen")))</f>
        <v>Senior Citizen</v>
      </c>
      <c r="W553" t="str">
        <f t="shared" si="56"/>
        <v>Jul</v>
      </c>
      <c r="X553">
        <f t="shared" si="57"/>
        <v>7</v>
      </c>
      <c r="Y553" t="str">
        <f t="shared" si="58"/>
        <v>Q3</v>
      </c>
      <c r="Z553">
        <f t="shared" si="59"/>
        <v>2026</v>
      </c>
      <c r="AA553" t="str">
        <f t="shared" si="60"/>
        <v>Monday</v>
      </c>
      <c r="AB553">
        <f t="shared" si="61"/>
        <v>-41</v>
      </c>
      <c r="AC553" t="str">
        <f>IF(OR(D553="Heart Disease",D553="Cancer",D553="Stroke"),"High",IF(OR(D553="Diabetes",D553="Asthma"),"Medium","Low"))</f>
        <v>Low</v>
      </c>
      <c r="AD553" t="str">
        <f t="shared" si="62"/>
        <v>No</v>
      </c>
      <c r="AE553" t="str">
        <f>IF(G553&lt;=2,"Short Stay", IF(G553&lt;=7,"Normal Stay", "Long Stay"))</f>
        <v>Long Stay</v>
      </c>
      <c r="AF553" t="str">
        <f>IF(F553&gt;60000,"Expensive",IF(F553&gt;30000,"Moderate","Affordable"))</f>
        <v>Affordable</v>
      </c>
      <c r="AG553" t="str">
        <f>IF(J553&gt;=4.5,"Excellent",IF(J553&gt;=3.5,"Good",IF(J553&gt;=2.5,"Average","Poor")))</f>
        <v>Good</v>
      </c>
      <c r="AH553" t="str">
        <f>IF(OR(TEXT(N553,"dddd")="Saturday",TEXT(N553,"dddd")="Sunday"),"Weekend","Weekday")</f>
        <v>Weekday</v>
      </c>
    </row>
    <row r="554" spans="1:34" x14ac:dyDescent="0.3">
      <c r="A554">
        <v>562</v>
      </c>
      <c r="B554">
        <v>60</v>
      </c>
      <c r="C554" t="s">
        <v>21</v>
      </c>
      <c r="D554" t="s">
        <v>73</v>
      </c>
      <c r="E554" t="s">
        <v>74</v>
      </c>
      <c r="F554">
        <v>8000</v>
      </c>
      <c r="G554">
        <v>43</v>
      </c>
      <c r="H554" t="s">
        <v>38</v>
      </c>
      <c r="I554" t="s">
        <v>25</v>
      </c>
      <c r="J554">
        <v>3</v>
      </c>
      <c r="K554" t="s">
        <v>336</v>
      </c>
      <c r="L554" t="s">
        <v>1231</v>
      </c>
      <c r="M554" t="s">
        <v>1232</v>
      </c>
      <c r="N554" s="2">
        <v>46210</v>
      </c>
      <c r="O554" s="2">
        <v>46253</v>
      </c>
      <c r="P554" t="s">
        <v>43</v>
      </c>
      <c r="Q554" t="s">
        <v>44</v>
      </c>
      <c r="R554" t="s">
        <v>45</v>
      </c>
      <c r="S554" t="s">
        <v>84</v>
      </c>
      <c r="T554" t="s">
        <v>33</v>
      </c>
      <c r="U554" t="s">
        <v>46</v>
      </c>
      <c r="V554" t="str">
        <f>IF(B554&lt;=18,"Children",IF(B554&lt;=35,"Young adult",IF(B554&lt;=60,"Adult", "Senior Citizen")))</f>
        <v>Adult</v>
      </c>
      <c r="W554" t="str">
        <f t="shared" si="56"/>
        <v>Jul</v>
      </c>
      <c r="X554">
        <f t="shared" si="57"/>
        <v>7</v>
      </c>
      <c r="Y554" t="str">
        <f t="shared" si="58"/>
        <v>Q3</v>
      </c>
      <c r="Z554">
        <f t="shared" si="59"/>
        <v>2026</v>
      </c>
      <c r="AA554" t="str">
        <f t="shared" si="60"/>
        <v>Tuesday</v>
      </c>
      <c r="AB554">
        <f t="shared" si="61"/>
        <v>-43</v>
      </c>
      <c r="AC554" t="str">
        <f>IF(OR(D554="Heart Disease",D554="Cancer",D554="Stroke"),"High",IF(OR(D554="Diabetes",D554="Asthma"),"Medium","Low"))</f>
        <v>Low</v>
      </c>
      <c r="AD554" t="str">
        <f t="shared" si="62"/>
        <v>No</v>
      </c>
      <c r="AE554" t="str">
        <f>IF(G554&lt;=2,"Short Stay", IF(G554&lt;=7,"Normal Stay", "Long Stay"))</f>
        <v>Long Stay</v>
      </c>
      <c r="AF554" t="str">
        <f>IF(F554&gt;60000,"Expensive",IF(F554&gt;30000,"Moderate","Affordable"))</f>
        <v>Affordable</v>
      </c>
      <c r="AG554" t="str">
        <f>IF(J554&gt;=4.5,"Excellent",IF(J554&gt;=3.5,"Good",IF(J554&gt;=2.5,"Average","Poor")))</f>
        <v>Average</v>
      </c>
      <c r="AH554" t="str">
        <f>IF(OR(TEXT(N554,"dddd")="Saturday",TEXT(N554,"dddd")="Sunday"),"Weekend","Weekday")</f>
        <v>Weekday</v>
      </c>
    </row>
    <row r="555" spans="1:34" x14ac:dyDescent="0.3">
      <c r="A555">
        <v>563</v>
      </c>
      <c r="B555">
        <v>45</v>
      </c>
      <c r="C555" t="s">
        <v>35</v>
      </c>
      <c r="D555" t="s">
        <v>79</v>
      </c>
      <c r="E555" t="s">
        <v>80</v>
      </c>
      <c r="F555">
        <v>3000</v>
      </c>
      <c r="G555">
        <v>43</v>
      </c>
      <c r="H555" t="s">
        <v>24</v>
      </c>
      <c r="I555" t="s">
        <v>25</v>
      </c>
      <c r="J555">
        <v>4</v>
      </c>
      <c r="K555" t="s">
        <v>210</v>
      </c>
      <c r="L555" t="s">
        <v>1233</v>
      </c>
      <c r="M555" t="s">
        <v>1234</v>
      </c>
      <c r="N555" s="2">
        <v>46211</v>
      </c>
      <c r="O555" s="2">
        <v>46254</v>
      </c>
      <c r="P555" t="s">
        <v>29</v>
      </c>
      <c r="Q555" t="s">
        <v>44</v>
      </c>
      <c r="R555" t="s">
        <v>45</v>
      </c>
      <c r="S555" t="s">
        <v>84</v>
      </c>
      <c r="T555" t="s">
        <v>33</v>
      </c>
      <c r="U555" t="s">
        <v>78</v>
      </c>
      <c r="V555" t="str">
        <f>IF(B555&lt;=18,"Children",IF(B555&lt;=35,"Young adult",IF(B555&lt;=60,"Adult", "Senior Citizen")))</f>
        <v>Adult</v>
      </c>
      <c r="W555" t="str">
        <f t="shared" si="56"/>
        <v>Jul</v>
      </c>
      <c r="X555">
        <f t="shared" si="57"/>
        <v>7</v>
      </c>
      <c r="Y555" t="str">
        <f t="shared" si="58"/>
        <v>Q3</v>
      </c>
      <c r="Z555">
        <f t="shared" si="59"/>
        <v>2026</v>
      </c>
      <c r="AA555" t="str">
        <f t="shared" si="60"/>
        <v>Wednesday</v>
      </c>
      <c r="AB555">
        <f t="shared" si="61"/>
        <v>-43</v>
      </c>
      <c r="AC555" t="str">
        <f>IF(OR(D555="Heart Disease",D555="Cancer",D555="Stroke"),"High",IF(OR(D555="Diabetes",D555="Asthma"),"Medium","Low"))</f>
        <v>Low</v>
      </c>
      <c r="AD555" t="str">
        <f t="shared" si="62"/>
        <v>No</v>
      </c>
      <c r="AE555" t="str">
        <f>IF(G555&lt;=2,"Short Stay", IF(G555&lt;=7,"Normal Stay", "Long Stay"))</f>
        <v>Long Stay</v>
      </c>
      <c r="AF555" t="str">
        <f>IF(F555&gt;60000,"Expensive",IF(F555&gt;30000,"Moderate","Affordable"))</f>
        <v>Affordable</v>
      </c>
      <c r="AG555" t="str">
        <f>IF(J555&gt;=4.5,"Excellent",IF(J555&gt;=3.5,"Good",IF(J555&gt;=2.5,"Average","Poor")))</f>
        <v>Good</v>
      </c>
      <c r="AH555" t="str">
        <f>IF(OR(TEXT(N555,"dddd")="Saturday",TEXT(N555,"dddd")="Sunday"),"Weekend","Weekday")</f>
        <v>Weekday</v>
      </c>
    </row>
    <row r="556" spans="1:34" x14ac:dyDescent="0.3">
      <c r="A556">
        <v>564</v>
      </c>
      <c r="B556">
        <v>75</v>
      </c>
      <c r="C556" t="s">
        <v>21</v>
      </c>
      <c r="D556" t="s">
        <v>85</v>
      </c>
      <c r="E556" t="s">
        <v>86</v>
      </c>
      <c r="F556">
        <v>18000</v>
      </c>
      <c r="G556">
        <v>45</v>
      </c>
      <c r="H556" t="s">
        <v>38</v>
      </c>
      <c r="I556" t="s">
        <v>39</v>
      </c>
      <c r="J556">
        <v>2</v>
      </c>
      <c r="K556" t="s">
        <v>203</v>
      </c>
      <c r="L556" t="s">
        <v>1235</v>
      </c>
      <c r="M556" t="s">
        <v>1236</v>
      </c>
      <c r="N556" s="2">
        <v>46212</v>
      </c>
      <c r="O556" s="2">
        <v>46257</v>
      </c>
      <c r="P556" t="s">
        <v>29</v>
      </c>
      <c r="Q556" t="s">
        <v>52</v>
      </c>
      <c r="R556" t="s">
        <v>45</v>
      </c>
      <c r="S556" t="s">
        <v>110</v>
      </c>
      <c r="T556" t="s">
        <v>33</v>
      </c>
      <c r="U556" t="s">
        <v>78</v>
      </c>
      <c r="V556" t="str">
        <f>IF(B556&lt;=18,"Children",IF(B556&lt;=35,"Young adult",IF(B556&lt;=60,"Adult", "Senior Citizen")))</f>
        <v>Senior Citizen</v>
      </c>
      <c r="W556" t="str">
        <f t="shared" si="56"/>
        <v>Jul</v>
      </c>
      <c r="X556">
        <f t="shared" si="57"/>
        <v>7</v>
      </c>
      <c r="Y556" t="str">
        <f t="shared" si="58"/>
        <v>Q3</v>
      </c>
      <c r="Z556">
        <f t="shared" si="59"/>
        <v>2026</v>
      </c>
      <c r="AA556" t="str">
        <f t="shared" si="60"/>
        <v>Thursday</v>
      </c>
      <c r="AB556">
        <f t="shared" si="61"/>
        <v>-45</v>
      </c>
      <c r="AC556" t="str">
        <f>IF(OR(D556="Heart Disease",D556="Cancer",D556="Stroke"),"High",IF(OR(D556="Diabetes",D556="Asthma"),"Medium","Low"))</f>
        <v>Low</v>
      </c>
      <c r="AD556" t="str">
        <f t="shared" si="62"/>
        <v>No</v>
      </c>
      <c r="AE556" t="str">
        <f>IF(G556&lt;=2,"Short Stay", IF(G556&lt;=7,"Normal Stay", "Long Stay"))</f>
        <v>Long Stay</v>
      </c>
      <c r="AF556" t="str">
        <f>IF(F556&gt;60000,"Expensive",IF(F556&gt;30000,"Moderate","Affordable"))</f>
        <v>Affordable</v>
      </c>
      <c r="AG556" t="str">
        <f>IF(J556&gt;=4.5,"Excellent",IF(J556&gt;=3.5,"Good",IF(J556&gt;=2.5,"Average","Poor")))</f>
        <v>Poor</v>
      </c>
      <c r="AH556" t="str">
        <f>IF(OR(TEXT(N556,"dddd")="Saturday",TEXT(N556,"dddd")="Sunday"),"Weekend","Weekday")</f>
        <v>Weekday</v>
      </c>
    </row>
    <row r="557" spans="1:34" x14ac:dyDescent="0.3">
      <c r="A557">
        <v>565</v>
      </c>
      <c r="B557">
        <v>28</v>
      </c>
      <c r="C557" t="s">
        <v>35</v>
      </c>
      <c r="D557" t="s">
        <v>89</v>
      </c>
      <c r="E557" t="s">
        <v>90</v>
      </c>
      <c r="F557">
        <v>100</v>
      </c>
      <c r="G557">
        <v>38</v>
      </c>
      <c r="H557" t="s">
        <v>24</v>
      </c>
      <c r="I557" t="s">
        <v>25</v>
      </c>
      <c r="J557">
        <v>5</v>
      </c>
      <c r="K557" t="s">
        <v>113</v>
      </c>
      <c r="L557" t="s">
        <v>1237</v>
      </c>
      <c r="M557" t="s">
        <v>1238</v>
      </c>
      <c r="N557" s="2">
        <v>46213</v>
      </c>
      <c r="O557" s="2">
        <v>46251</v>
      </c>
      <c r="P557" t="s">
        <v>29</v>
      </c>
      <c r="Q557" t="s">
        <v>44</v>
      </c>
      <c r="R557" t="s">
        <v>45</v>
      </c>
      <c r="S557" t="s">
        <v>32</v>
      </c>
      <c r="T557" t="s">
        <v>33</v>
      </c>
      <c r="U557" t="s">
        <v>104</v>
      </c>
      <c r="V557" t="str">
        <f>IF(B557&lt;=18,"Children",IF(B557&lt;=35,"Young adult",IF(B557&lt;=60,"Adult", "Senior Citizen")))</f>
        <v>Young adult</v>
      </c>
      <c r="W557" t="str">
        <f t="shared" si="56"/>
        <v>Jul</v>
      </c>
      <c r="X557">
        <f t="shared" si="57"/>
        <v>7</v>
      </c>
      <c r="Y557" t="str">
        <f t="shared" si="58"/>
        <v>Q3</v>
      </c>
      <c r="Z557">
        <f t="shared" si="59"/>
        <v>2026</v>
      </c>
      <c r="AA557" t="str">
        <f t="shared" si="60"/>
        <v>Friday</v>
      </c>
      <c r="AB557">
        <f t="shared" si="61"/>
        <v>-38</v>
      </c>
      <c r="AC557" t="str">
        <f>IF(OR(D557="Heart Disease",D557="Cancer",D557="Stroke"),"High",IF(OR(D557="Diabetes",D557="Asthma"),"Medium","Low"))</f>
        <v>Low</v>
      </c>
      <c r="AD557" t="str">
        <f t="shared" si="62"/>
        <v>No</v>
      </c>
      <c r="AE557" t="str">
        <f>IF(G557&lt;=2,"Short Stay", IF(G557&lt;=7,"Normal Stay", "Long Stay"))</f>
        <v>Long Stay</v>
      </c>
      <c r="AF557" t="str">
        <f>IF(F557&gt;60000,"Expensive",IF(F557&gt;30000,"Moderate","Affordable"))</f>
        <v>Affordable</v>
      </c>
      <c r="AG557" t="str">
        <f>IF(J557&gt;=4.5,"Excellent",IF(J557&gt;=3.5,"Good",IF(J557&gt;=2.5,"Average","Poor")))</f>
        <v>Excellent</v>
      </c>
      <c r="AH557" t="str">
        <f>IF(OR(TEXT(N557,"dddd")="Saturday",TEXT(N557,"dddd")="Sunday"),"Weekend","Weekday")</f>
        <v>Weekday</v>
      </c>
    </row>
    <row r="558" spans="1:34" x14ac:dyDescent="0.3">
      <c r="A558">
        <v>566</v>
      </c>
      <c r="B558">
        <v>52</v>
      </c>
      <c r="C558" t="s">
        <v>21</v>
      </c>
      <c r="D558" t="s">
        <v>94</v>
      </c>
      <c r="E558" t="s">
        <v>95</v>
      </c>
      <c r="F558">
        <v>800</v>
      </c>
      <c r="G558">
        <v>39</v>
      </c>
      <c r="H558" t="s">
        <v>24</v>
      </c>
      <c r="I558" t="s">
        <v>39</v>
      </c>
      <c r="J558">
        <v>4</v>
      </c>
      <c r="K558" t="s">
        <v>245</v>
      </c>
      <c r="L558" t="s">
        <v>1239</v>
      </c>
      <c r="M558" t="s">
        <v>1240</v>
      </c>
      <c r="N558" s="2">
        <v>46214</v>
      </c>
      <c r="O558" s="2">
        <v>46253</v>
      </c>
      <c r="P558" t="s">
        <v>29</v>
      </c>
      <c r="Q558" t="s">
        <v>139</v>
      </c>
      <c r="R558" t="s">
        <v>45</v>
      </c>
      <c r="S558" t="s">
        <v>53</v>
      </c>
      <c r="T558" t="s">
        <v>33</v>
      </c>
      <c r="U558" t="s">
        <v>78</v>
      </c>
      <c r="V558" t="str">
        <f>IF(B558&lt;=18,"Children",IF(B558&lt;=35,"Young adult",IF(B558&lt;=60,"Adult", "Senior Citizen")))</f>
        <v>Adult</v>
      </c>
      <c r="W558" t="str">
        <f t="shared" si="56"/>
        <v>Jul</v>
      </c>
      <c r="X558">
        <f t="shared" si="57"/>
        <v>7</v>
      </c>
      <c r="Y558" t="str">
        <f t="shared" si="58"/>
        <v>Q3</v>
      </c>
      <c r="Z558">
        <f t="shared" si="59"/>
        <v>2026</v>
      </c>
      <c r="AA558" t="str">
        <f t="shared" si="60"/>
        <v>Saturday</v>
      </c>
      <c r="AB558">
        <f t="shared" si="61"/>
        <v>-39</v>
      </c>
      <c r="AC558" t="str">
        <f>IF(OR(D558="Heart Disease",D558="Cancer",D558="Stroke"),"High",IF(OR(D558="Diabetes",D558="Asthma"),"Medium","Low"))</f>
        <v>Low</v>
      </c>
      <c r="AD558" t="str">
        <f t="shared" si="62"/>
        <v>No</v>
      </c>
      <c r="AE558" t="str">
        <f>IF(G558&lt;=2,"Short Stay", IF(G558&lt;=7,"Normal Stay", "Long Stay"))</f>
        <v>Long Stay</v>
      </c>
      <c r="AF558" t="str">
        <f>IF(F558&gt;60000,"Expensive",IF(F558&gt;30000,"Moderate","Affordable"))</f>
        <v>Affordable</v>
      </c>
      <c r="AG558" t="str">
        <f>IF(J558&gt;=4.5,"Excellent",IF(J558&gt;=3.5,"Good",IF(J558&gt;=2.5,"Average","Poor")))</f>
        <v>Good</v>
      </c>
      <c r="AH558" t="str">
        <f>IF(OR(TEXT(N558,"dddd")="Saturday",TEXT(N558,"dddd")="Sunday"),"Weekend","Weekday")</f>
        <v>Weekend</v>
      </c>
    </row>
    <row r="559" spans="1:34" x14ac:dyDescent="0.3">
      <c r="A559">
        <v>567</v>
      </c>
      <c r="B559">
        <v>67</v>
      </c>
      <c r="C559" t="s">
        <v>35</v>
      </c>
      <c r="D559" t="s">
        <v>99</v>
      </c>
      <c r="E559" t="s">
        <v>100</v>
      </c>
      <c r="F559">
        <v>20000</v>
      </c>
      <c r="G559">
        <v>46</v>
      </c>
      <c r="H559" t="s">
        <v>24</v>
      </c>
      <c r="I559" t="s">
        <v>25</v>
      </c>
      <c r="J559">
        <v>3</v>
      </c>
      <c r="K559" t="s">
        <v>56</v>
      </c>
      <c r="L559" t="s">
        <v>1241</v>
      </c>
      <c r="M559" t="s">
        <v>1242</v>
      </c>
      <c r="N559" s="2">
        <v>46215</v>
      </c>
      <c r="O559" s="2">
        <v>46261</v>
      </c>
      <c r="P559" t="s">
        <v>29</v>
      </c>
      <c r="Q559" t="s">
        <v>52</v>
      </c>
      <c r="R559" t="s">
        <v>45</v>
      </c>
      <c r="S559" t="s">
        <v>32</v>
      </c>
      <c r="T559" t="s">
        <v>33</v>
      </c>
      <c r="U559" t="s">
        <v>34</v>
      </c>
      <c r="V559" t="str">
        <f>IF(B559&lt;=18,"Children",IF(B559&lt;=35,"Young adult",IF(B559&lt;=60,"Adult", "Senior Citizen")))</f>
        <v>Senior Citizen</v>
      </c>
      <c r="W559" t="str">
        <f t="shared" si="56"/>
        <v>Jul</v>
      </c>
      <c r="X559">
        <f t="shared" si="57"/>
        <v>7</v>
      </c>
      <c r="Y559" t="str">
        <f t="shared" si="58"/>
        <v>Q3</v>
      </c>
      <c r="Z559">
        <f t="shared" si="59"/>
        <v>2026</v>
      </c>
      <c r="AA559" t="str">
        <f t="shared" si="60"/>
        <v>Sunday</v>
      </c>
      <c r="AB559">
        <f t="shared" si="61"/>
        <v>-46</v>
      </c>
      <c r="AC559" t="str">
        <f>IF(OR(D559="Heart Disease",D559="Cancer",D559="Stroke"),"High",IF(OR(D559="Diabetes",D559="Asthma"),"Medium","Low"))</f>
        <v>Low</v>
      </c>
      <c r="AD559" t="str">
        <f t="shared" si="62"/>
        <v>No</v>
      </c>
      <c r="AE559" t="str">
        <f>IF(G559&lt;=2,"Short Stay", IF(G559&lt;=7,"Normal Stay", "Long Stay"))</f>
        <v>Long Stay</v>
      </c>
      <c r="AF559" t="str">
        <f>IF(F559&gt;60000,"Expensive",IF(F559&gt;30000,"Moderate","Affordable"))</f>
        <v>Affordable</v>
      </c>
      <c r="AG559" t="str">
        <f>IF(J559&gt;=4.5,"Excellent",IF(J559&gt;=3.5,"Good",IF(J559&gt;=2.5,"Average","Poor")))</f>
        <v>Average</v>
      </c>
      <c r="AH559" t="str">
        <f>IF(OR(TEXT(N559,"dddd")="Saturday",TEXT(N559,"dddd")="Sunday"),"Weekend","Weekday")</f>
        <v>Weekend</v>
      </c>
    </row>
    <row r="560" spans="1:34" x14ac:dyDescent="0.3">
      <c r="A560">
        <v>568</v>
      </c>
      <c r="B560">
        <v>35</v>
      </c>
      <c r="C560" t="s">
        <v>21</v>
      </c>
      <c r="D560" t="s">
        <v>105</v>
      </c>
      <c r="E560" t="s">
        <v>106</v>
      </c>
      <c r="F560">
        <v>12000</v>
      </c>
      <c r="G560">
        <v>40</v>
      </c>
      <c r="H560" t="s">
        <v>24</v>
      </c>
      <c r="I560" t="s">
        <v>25</v>
      </c>
      <c r="J560">
        <v>4</v>
      </c>
      <c r="K560" t="s">
        <v>101</v>
      </c>
      <c r="L560" t="s">
        <v>1243</v>
      </c>
      <c r="M560" t="s">
        <v>1244</v>
      </c>
      <c r="N560" s="2">
        <v>46216</v>
      </c>
      <c r="O560" s="2">
        <v>46256</v>
      </c>
      <c r="P560" t="s">
        <v>29</v>
      </c>
      <c r="Q560" t="s">
        <v>139</v>
      </c>
      <c r="R560" t="s">
        <v>45</v>
      </c>
      <c r="S560" t="s">
        <v>53</v>
      </c>
      <c r="T560" t="s">
        <v>33</v>
      </c>
      <c r="U560" t="s">
        <v>34</v>
      </c>
      <c r="V560" t="str">
        <f>IF(B560&lt;=18,"Children",IF(B560&lt;=35,"Young adult",IF(B560&lt;=60,"Adult", "Senior Citizen")))</f>
        <v>Young adult</v>
      </c>
      <c r="W560" t="str">
        <f t="shared" si="56"/>
        <v>Jul</v>
      </c>
      <c r="X560">
        <f t="shared" si="57"/>
        <v>7</v>
      </c>
      <c r="Y560" t="str">
        <f t="shared" si="58"/>
        <v>Q3</v>
      </c>
      <c r="Z560">
        <f t="shared" si="59"/>
        <v>2026</v>
      </c>
      <c r="AA560" t="str">
        <f t="shared" si="60"/>
        <v>Monday</v>
      </c>
      <c r="AB560">
        <f t="shared" si="61"/>
        <v>-40</v>
      </c>
      <c r="AC560" t="str">
        <f>IF(OR(D560="Heart Disease",D560="Cancer",D560="Stroke"),"High",IF(OR(D560="Diabetes",D560="Asthma"),"Medium","Low"))</f>
        <v>Low</v>
      </c>
      <c r="AD560" t="str">
        <f t="shared" si="62"/>
        <v>No</v>
      </c>
      <c r="AE560" t="str">
        <f>IF(G560&lt;=2,"Short Stay", IF(G560&lt;=7,"Normal Stay", "Long Stay"))</f>
        <v>Long Stay</v>
      </c>
      <c r="AF560" t="str">
        <f>IF(F560&gt;60000,"Expensive",IF(F560&gt;30000,"Moderate","Affordable"))</f>
        <v>Affordable</v>
      </c>
      <c r="AG560" t="str">
        <f>IF(J560&gt;=4.5,"Excellent",IF(J560&gt;=3.5,"Good",IF(J560&gt;=2.5,"Average","Poor")))</f>
        <v>Good</v>
      </c>
      <c r="AH560" t="str">
        <f>IF(OR(TEXT(N560,"dddd")="Saturday",TEXT(N560,"dddd")="Sunday"),"Weekend","Weekday")</f>
        <v>Weekday</v>
      </c>
    </row>
    <row r="561" spans="1:34" x14ac:dyDescent="0.3">
      <c r="A561">
        <v>569</v>
      </c>
      <c r="B561">
        <v>50</v>
      </c>
      <c r="C561" t="s">
        <v>35</v>
      </c>
      <c r="D561" t="s">
        <v>111</v>
      </c>
      <c r="E561" t="s">
        <v>112</v>
      </c>
      <c r="F561">
        <v>6000</v>
      </c>
      <c r="G561">
        <v>41</v>
      </c>
      <c r="H561" t="s">
        <v>24</v>
      </c>
      <c r="I561" t="s">
        <v>25</v>
      </c>
      <c r="J561">
        <v>3</v>
      </c>
      <c r="K561" t="s">
        <v>154</v>
      </c>
      <c r="L561" t="s">
        <v>1245</v>
      </c>
      <c r="M561" t="s">
        <v>1246</v>
      </c>
      <c r="N561" s="2">
        <v>46217</v>
      </c>
      <c r="O561" s="2">
        <v>46258</v>
      </c>
      <c r="P561" t="s">
        <v>29</v>
      </c>
      <c r="Q561" t="s">
        <v>52</v>
      </c>
      <c r="R561" t="s">
        <v>45</v>
      </c>
      <c r="S561" t="s">
        <v>53</v>
      </c>
      <c r="T561" t="s">
        <v>33</v>
      </c>
      <c r="U561" t="s">
        <v>78</v>
      </c>
      <c r="V561" t="str">
        <f>IF(B561&lt;=18,"Children",IF(B561&lt;=35,"Young adult",IF(B561&lt;=60,"Adult", "Senior Citizen")))</f>
        <v>Adult</v>
      </c>
      <c r="W561" t="str">
        <f t="shared" si="56"/>
        <v>Jul</v>
      </c>
      <c r="X561">
        <f t="shared" si="57"/>
        <v>7</v>
      </c>
      <c r="Y561" t="str">
        <f t="shared" si="58"/>
        <v>Q3</v>
      </c>
      <c r="Z561">
        <f t="shared" si="59"/>
        <v>2026</v>
      </c>
      <c r="AA561" t="str">
        <f t="shared" si="60"/>
        <v>Tuesday</v>
      </c>
      <c r="AB561">
        <f t="shared" si="61"/>
        <v>-41</v>
      </c>
      <c r="AC561" t="str">
        <f>IF(OR(D561="Heart Disease",D561="Cancer",D561="Stroke"),"High",IF(OR(D561="Diabetes",D561="Asthma"),"Medium","Low"))</f>
        <v>Low</v>
      </c>
      <c r="AD561" t="str">
        <f t="shared" si="62"/>
        <v>No</v>
      </c>
      <c r="AE561" t="str">
        <f>IF(G561&lt;=2,"Short Stay", IF(G561&lt;=7,"Normal Stay", "Long Stay"))</f>
        <v>Long Stay</v>
      </c>
      <c r="AF561" t="str">
        <f>IF(F561&gt;60000,"Expensive",IF(F561&gt;30000,"Moderate","Affordable"))</f>
        <v>Affordable</v>
      </c>
      <c r="AG561" t="str">
        <f>IF(J561&gt;=4.5,"Excellent",IF(J561&gt;=3.5,"Good",IF(J561&gt;=2.5,"Average","Poor")))</f>
        <v>Average</v>
      </c>
      <c r="AH561" t="str">
        <f>IF(OR(TEXT(N561,"dddd")="Saturday",TEXT(N561,"dddd")="Sunday"),"Weekend","Weekday")</f>
        <v>Weekday</v>
      </c>
    </row>
    <row r="562" spans="1:34" x14ac:dyDescent="0.3">
      <c r="A562">
        <v>570</v>
      </c>
      <c r="B562">
        <v>60</v>
      </c>
      <c r="C562" t="s">
        <v>21</v>
      </c>
      <c r="D562" t="s">
        <v>116</v>
      </c>
      <c r="E562" t="s">
        <v>117</v>
      </c>
      <c r="F562">
        <v>4000</v>
      </c>
      <c r="G562">
        <v>42</v>
      </c>
      <c r="H562" t="s">
        <v>24</v>
      </c>
      <c r="I562" t="s">
        <v>39</v>
      </c>
      <c r="J562">
        <v>4</v>
      </c>
      <c r="K562" t="s">
        <v>210</v>
      </c>
      <c r="L562" t="s">
        <v>1247</v>
      </c>
      <c r="M562" t="s">
        <v>1248</v>
      </c>
      <c r="N562" s="2">
        <v>46218</v>
      </c>
      <c r="O562" s="2">
        <v>46260</v>
      </c>
      <c r="P562" t="s">
        <v>43</v>
      </c>
      <c r="Q562" t="s">
        <v>71</v>
      </c>
      <c r="R562" t="s">
        <v>45</v>
      </c>
      <c r="S562" t="s">
        <v>32</v>
      </c>
      <c r="T562" t="s">
        <v>33</v>
      </c>
      <c r="U562" t="s">
        <v>46</v>
      </c>
      <c r="V562" t="str">
        <f>IF(B562&lt;=18,"Children",IF(B562&lt;=35,"Young adult",IF(B562&lt;=60,"Adult", "Senior Citizen")))</f>
        <v>Adult</v>
      </c>
      <c r="W562" t="str">
        <f t="shared" si="56"/>
        <v>Jul</v>
      </c>
      <c r="X562">
        <f t="shared" si="57"/>
        <v>7</v>
      </c>
      <c r="Y562" t="str">
        <f t="shared" si="58"/>
        <v>Q3</v>
      </c>
      <c r="Z562">
        <f t="shared" si="59"/>
        <v>2026</v>
      </c>
      <c r="AA562" t="str">
        <f t="shared" si="60"/>
        <v>Wednesday</v>
      </c>
      <c r="AB562">
        <f t="shared" si="61"/>
        <v>-42</v>
      </c>
      <c r="AC562" t="str">
        <f>IF(OR(D562="Heart Disease",D562="Cancer",D562="Stroke"),"High",IF(OR(D562="Diabetes",D562="Asthma"),"Medium","Low"))</f>
        <v>Low</v>
      </c>
      <c r="AD562" t="str">
        <f t="shared" si="62"/>
        <v>No</v>
      </c>
      <c r="AE562" t="str">
        <f>IF(G562&lt;=2,"Short Stay", IF(G562&lt;=7,"Normal Stay", "Long Stay"))</f>
        <v>Long Stay</v>
      </c>
      <c r="AF562" t="str">
        <f>IF(F562&gt;60000,"Expensive",IF(F562&gt;30000,"Moderate","Affordable"))</f>
        <v>Affordable</v>
      </c>
      <c r="AG562" t="str">
        <f>IF(J562&gt;=4.5,"Excellent",IF(J562&gt;=3.5,"Good",IF(J562&gt;=2.5,"Average","Poor")))</f>
        <v>Good</v>
      </c>
      <c r="AH562" t="str">
        <f>IF(OR(TEXT(N562,"dddd")="Saturday",TEXT(N562,"dddd")="Sunday"),"Weekend","Weekday")</f>
        <v>Weekday</v>
      </c>
    </row>
    <row r="563" spans="1:34" x14ac:dyDescent="0.3">
      <c r="A563">
        <v>571</v>
      </c>
      <c r="B563">
        <v>48</v>
      </c>
      <c r="C563" t="s">
        <v>21</v>
      </c>
      <c r="D563" t="s">
        <v>22</v>
      </c>
      <c r="E563" t="s">
        <v>23</v>
      </c>
      <c r="F563">
        <v>15000</v>
      </c>
      <c r="G563">
        <v>43</v>
      </c>
      <c r="H563" t="s">
        <v>38</v>
      </c>
      <c r="I563" t="s">
        <v>25</v>
      </c>
      <c r="J563">
        <v>4</v>
      </c>
      <c r="K563" t="s">
        <v>281</v>
      </c>
      <c r="L563" t="s">
        <v>1249</v>
      </c>
      <c r="M563" t="s">
        <v>1250</v>
      </c>
      <c r="N563" s="2">
        <v>46219</v>
      </c>
      <c r="O563" s="2">
        <v>46262</v>
      </c>
      <c r="P563" t="s">
        <v>43</v>
      </c>
      <c r="Q563" t="s">
        <v>30</v>
      </c>
      <c r="R563" t="s">
        <v>31</v>
      </c>
      <c r="S563" t="s">
        <v>84</v>
      </c>
      <c r="T563" t="s">
        <v>33</v>
      </c>
      <c r="U563" t="s">
        <v>34</v>
      </c>
      <c r="V563" t="str">
        <f>IF(B563&lt;=18,"Children",IF(B563&lt;=35,"Young adult",IF(B563&lt;=60,"Adult", "Senior Citizen")))</f>
        <v>Adult</v>
      </c>
      <c r="W563" t="str">
        <f t="shared" si="56"/>
        <v>Jul</v>
      </c>
      <c r="X563">
        <f t="shared" si="57"/>
        <v>7</v>
      </c>
      <c r="Y563" t="str">
        <f t="shared" si="58"/>
        <v>Q3</v>
      </c>
      <c r="Z563">
        <f t="shared" si="59"/>
        <v>2026</v>
      </c>
      <c r="AA563" t="str">
        <f t="shared" si="60"/>
        <v>Thursday</v>
      </c>
      <c r="AB563">
        <f t="shared" si="61"/>
        <v>-43</v>
      </c>
      <c r="AC563" t="str">
        <f>IF(OR(D563="Heart Disease",D563="Cancer",D563="Stroke"),"High",IF(OR(D563="Diabetes",D563="Asthma"),"Medium","Low"))</f>
        <v>High</v>
      </c>
      <c r="AD563" t="str">
        <f t="shared" si="62"/>
        <v>Yes</v>
      </c>
      <c r="AE563" t="str">
        <f>IF(G563&lt;=2,"Short Stay", IF(G563&lt;=7,"Normal Stay", "Long Stay"))</f>
        <v>Long Stay</v>
      </c>
      <c r="AF563" t="str">
        <f>IF(F563&gt;60000,"Expensive",IF(F563&gt;30000,"Moderate","Affordable"))</f>
        <v>Affordable</v>
      </c>
      <c r="AG563" t="str">
        <f>IF(J563&gt;=4.5,"Excellent",IF(J563&gt;=3.5,"Good",IF(J563&gt;=2.5,"Average","Poor")))</f>
        <v>Good</v>
      </c>
      <c r="AH563" t="str">
        <f>IF(OR(TEXT(N563,"dddd")="Saturday",TEXT(N563,"dddd")="Sunday"),"Weekend","Weekday")</f>
        <v>Weekday</v>
      </c>
    </row>
    <row r="564" spans="1:34" x14ac:dyDescent="0.3">
      <c r="A564">
        <v>572</v>
      </c>
      <c r="B564">
        <v>65</v>
      </c>
      <c r="C564" t="s">
        <v>35</v>
      </c>
      <c r="D564" t="s">
        <v>36</v>
      </c>
      <c r="E564" t="s">
        <v>37</v>
      </c>
      <c r="F564">
        <v>2000</v>
      </c>
      <c r="G564">
        <v>41</v>
      </c>
      <c r="H564" t="s">
        <v>24</v>
      </c>
      <c r="I564" t="s">
        <v>39</v>
      </c>
      <c r="J564">
        <v>3</v>
      </c>
      <c r="K564" t="s">
        <v>91</v>
      </c>
      <c r="L564" t="s">
        <v>1251</v>
      </c>
      <c r="M564" t="s">
        <v>1252</v>
      </c>
      <c r="N564" s="2">
        <v>46220</v>
      </c>
      <c r="O564" s="2">
        <v>46261</v>
      </c>
      <c r="P564" t="s">
        <v>43</v>
      </c>
      <c r="Q564" t="s">
        <v>139</v>
      </c>
      <c r="R564" t="s">
        <v>45</v>
      </c>
      <c r="S564" t="s">
        <v>84</v>
      </c>
      <c r="T564" t="s">
        <v>33</v>
      </c>
      <c r="U564" t="s">
        <v>46</v>
      </c>
      <c r="V564" t="str">
        <f>IF(B564&lt;=18,"Children",IF(B564&lt;=35,"Young adult",IF(B564&lt;=60,"Adult", "Senior Citizen")))</f>
        <v>Senior Citizen</v>
      </c>
      <c r="W564" t="str">
        <f t="shared" si="56"/>
        <v>Jul</v>
      </c>
      <c r="X564">
        <f t="shared" si="57"/>
        <v>7</v>
      </c>
      <c r="Y564" t="str">
        <f t="shared" si="58"/>
        <v>Q3</v>
      </c>
      <c r="Z564">
        <f t="shared" si="59"/>
        <v>2026</v>
      </c>
      <c r="AA564" t="str">
        <f t="shared" si="60"/>
        <v>Friday</v>
      </c>
      <c r="AB564">
        <f t="shared" si="61"/>
        <v>-41</v>
      </c>
      <c r="AC564" t="str">
        <f>IF(OR(D564="Heart Disease",D564="Cancer",D564="Stroke"),"High",IF(OR(D564="Diabetes",D564="Asthma"),"Medium","Low"))</f>
        <v>Medium</v>
      </c>
      <c r="AD564" t="str">
        <f t="shared" si="62"/>
        <v>No</v>
      </c>
      <c r="AE564" t="str">
        <f>IF(G564&lt;=2,"Short Stay", IF(G564&lt;=7,"Normal Stay", "Long Stay"))</f>
        <v>Long Stay</v>
      </c>
      <c r="AF564" t="str">
        <f>IF(F564&gt;60000,"Expensive",IF(F564&gt;30000,"Moderate","Affordable"))</f>
        <v>Affordable</v>
      </c>
      <c r="AG564" t="str">
        <f>IF(J564&gt;=4.5,"Excellent",IF(J564&gt;=3.5,"Good",IF(J564&gt;=2.5,"Average","Poor")))</f>
        <v>Average</v>
      </c>
      <c r="AH564" t="str">
        <f>IF(OR(TEXT(N564,"dddd")="Saturday",TEXT(N564,"dddd")="Sunday"),"Weekend","Weekday")</f>
        <v>Weekday</v>
      </c>
    </row>
    <row r="565" spans="1:34" x14ac:dyDescent="0.3">
      <c r="A565">
        <v>573</v>
      </c>
      <c r="B565">
        <v>30</v>
      </c>
      <c r="C565" t="s">
        <v>21</v>
      </c>
      <c r="D565" t="s">
        <v>47</v>
      </c>
      <c r="E565" t="s">
        <v>48</v>
      </c>
      <c r="F565">
        <v>500</v>
      </c>
      <c r="G565">
        <v>39</v>
      </c>
      <c r="H565" t="s">
        <v>24</v>
      </c>
      <c r="I565" t="s">
        <v>25</v>
      </c>
      <c r="J565">
        <v>5</v>
      </c>
      <c r="K565" t="s">
        <v>197</v>
      </c>
      <c r="L565" t="s">
        <v>1253</v>
      </c>
      <c r="M565" t="s">
        <v>1254</v>
      </c>
      <c r="N565" s="2">
        <v>46221</v>
      </c>
      <c r="O565" s="2">
        <v>46260</v>
      </c>
      <c r="P565" t="s">
        <v>29</v>
      </c>
      <c r="Q565" t="s">
        <v>71</v>
      </c>
      <c r="R565" t="s">
        <v>45</v>
      </c>
      <c r="S565" t="s">
        <v>32</v>
      </c>
      <c r="T565" t="s">
        <v>33</v>
      </c>
      <c r="U565" t="s">
        <v>78</v>
      </c>
      <c r="V565" t="str">
        <f>IF(B565&lt;=18,"Children",IF(B565&lt;=35,"Young adult",IF(B565&lt;=60,"Adult", "Senior Citizen")))</f>
        <v>Young adult</v>
      </c>
      <c r="W565" t="str">
        <f t="shared" si="56"/>
        <v>Jul</v>
      </c>
      <c r="X565">
        <f t="shared" si="57"/>
        <v>7</v>
      </c>
      <c r="Y565" t="str">
        <f t="shared" si="58"/>
        <v>Q3</v>
      </c>
      <c r="Z565">
        <f t="shared" si="59"/>
        <v>2026</v>
      </c>
      <c r="AA565" t="str">
        <f t="shared" si="60"/>
        <v>Saturday</v>
      </c>
      <c r="AB565">
        <f t="shared" si="61"/>
        <v>-39</v>
      </c>
      <c r="AC565" t="str">
        <f>IF(OR(D565="Heart Disease",D565="Cancer",D565="Stroke"),"High",IF(OR(D565="Diabetes",D565="Asthma"),"Medium","Low"))</f>
        <v>Low</v>
      </c>
      <c r="AD565" t="str">
        <f t="shared" si="62"/>
        <v>No</v>
      </c>
      <c r="AE565" t="str">
        <f>IF(G565&lt;=2,"Short Stay", IF(G565&lt;=7,"Normal Stay", "Long Stay"))</f>
        <v>Long Stay</v>
      </c>
      <c r="AF565" t="str">
        <f>IF(F565&gt;60000,"Expensive",IF(F565&gt;30000,"Moderate","Affordable"))</f>
        <v>Affordable</v>
      </c>
      <c r="AG565" t="str">
        <f>IF(J565&gt;=4.5,"Excellent",IF(J565&gt;=3.5,"Good",IF(J565&gt;=2.5,"Average","Poor")))</f>
        <v>Excellent</v>
      </c>
      <c r="AH565" t="str">
        <f>IF(OR(TEXT(N565,"dddd")="Saturday",TEXT(N565,"dddd")="Sunday"),"Weekend","Weekday")</f>
        <v>Weekend</v>
      </c>
    </row>
    <row r="566" spans="1:34" x14ac:dyDescent="0.3">
      <c r="A566">
        <v>574</v>
      </c>
      <c r="B566">
        <v>70</v>
      </c>
      <c r="C566" t="s">
        <v>35</v>
      </c>
      <c r="D566" t="s">
        <v>54</v>
      </c>
      <c r="E566" t="s">
        <v>55</v>
      </c>
      <c r="F566">
        <v>10000</v>
      </c>
      <c r="G566">
        <v>46</v>
      </c>
      <c r="H566" t="s">
        <v>38</v>
      </c>
      <c r="I566" t="s">
        <v>39</v>
      </c>
      <c r="J566">
        <v>2</v>
      </c>
      <c r="K566" t="s">
        <v>336</v>
      </c>
      <c r="L566" t="s">
        <v>1255</v>
      </c>
      <c r="M566" t="s">
        <v>1256</v>
      </c>
      <c r="N566" s="2">
        <v>46222</v>
      </c>
      <c r="O566" s="2">
        <v>46268</v>
      </c>
      <c r="P566" t="s">
        <v>29</v>
      </c>
      <c r="Q566" t="s">
        <v>52</v>
      </c>
      <c r="R566" t="s">
        <v>59</v>
      </c>
      <c r="S566" t="s">
        <v>53</v>
      </c>
      <c r="T566" t="s">
        <v>33</v>
      </c>
      <c r="U566" t="s">
        <v>104</v>
      </c>
      <c r="V566" t="str">
        <f>IF(B566&lt;=18,"Children",IF(B566&lt;=35,"Young adult",IF(B566&lt;=60,"Adult", "Senior Citizen")))</f>
        <v>Senior Citizen</v>
      </c>
      <c r="W566" t="str">
        <f t="shared" si="56"/>
        <v>Jul</v>
      </c>
      <c r="X566">
        <f t="shared" si="57"/>
        <v>7</v>
      </c>
      <c r="Y566" t="str">
        <f t="shared" si="58"/>
        <v>Q3</v>
      </c>
      <c r="Z566">
        <f t="shared" si="59"/>
        <v>2026</v>
      </c>
      <c r="AA566" t="str">
        <f t="shared" si="60"/>
        <v>Sunday</v>
      </c>
      <c r="AB566">
        <f t="shared" si="61"/>
        <v>-46</v>
      </c>
      <c r="AC566" t="str">
        <f>IF(OR(D566="Heart Disease",D566="Cancer",D566="Stroke"),"High",IF(OR(D566="Diabetes",D566="Asthma"),"Medium","Low"))</f>
        <v>High</v>
      </c>
      <c r="AD566" t="str">
        <f t="shared" si="62"/>
        <v>Yes</v>
      </c>
      <c r="AE566" t="str">
        <f>IF(G566&lt;=2,"Short Stay", IF(G566&lt;=7,"Normal Stay", "Long Stay"))</f>
        <v>Long Stay</v>
      </c>
      <c r="AF566" t="str">
        <f>IF(F566&gt;60000,"Expensive",IF(F566&gt;30000,"Moderate","Affordable"))</f>
        <v>Affordable</v>
      </c>
      <c r="AG566" t="str">
        <f>IF(J566&gt;=4.5,"Excellent",IF(J566&gt;=3.5,"Good",IF(J566&gt;=2.5,"Average","Poor")))</f>
        <v>Poor</v>
      </c>
      <c r="AH566" t="str">
        <f>IF(OR(TEXT(N566,"dddd")="Saturday",TEXT(N566,"dddd")="Sunday"),"Weekend","Weekday")</f>
        <v>Weekend</v>
      </c>
    </row>
    <row r="567" spans="1:34" x14ac:dyDescent="0.3">
      <c r="A567">
        <v>575</v>
      </c>
      <c r="B567">
        <v>55</v>
      </c>
      <c r="C567" t="s">
        <v>21</v>
      </c>
      <c r="D567" t="s">
        <v>60</v>
      </c>
      <c r="E567" t="s">
        <v>61</v>
      </c>
      <c r="F567">
        <v>25000</v>
      </c>
      <c r="G567">
        <v>48</v>
      </c>
      <c r="H567" t="s">
        <v>24</v>
      </c>
      <c r="I567" t="s">
        <v>25</v>
      </c>
      <c r="J567">
        <v>4</v>
      </c>
      <c r="K567" t="s">
        <v>26</v>
      </c>
      <c r="L567" t="s">
        <v>1257</v>
      </c>
      <c r="M567" t="s">
        <v>1258</v>
      </c>
      <c r="N567" s="2">
        <v>46223</v>
      </c>
      <c r="O567" s="2">
        <v>46271</v>
      </c>
      <c r="P567" t="s">
        <v>29</v>
      </c>
      <c r="Q567" t="s">
        <v>44</v>
      </c>
      <c r="R567" t="s">
        <v>65</v>
      </c>
      <c r="S567" t="s">
        <v>84</v>
      </c>
      <c r="T567" t="s">
        <v>33</v>
      </c>
      <c r="U567" t="s">
        <v>78</v>
      </c>
      <c r="V567" t="str">
        <f>IF(B567&lt;=18,"Children",IF(B567&lt;=35,"Young adult",IF(B567&lt;=60,"Adult", "Senior Citizen")))</f>
        <v>Adult</v>
      </c>
      <c r="W567" t="str">
        <f t="shared" si="56"/>
        <v>Jul</v>
      </c>
      <c r="X567">
        <f t="shared" si="57"/>
        <v>7</v>
      </c>
      <c r="Y567" t="str">
        <f t="shared" si="58"/>
        <v>Q3</v>
      </c>
      <c r="Z567">
        <f t="shared" si="59"/>
        <v>2026</v>
      </c>
      <c r="AA567" t="str">
        <f t="shared" si="60"/>
        <v>Monday</v>
      </c>
      <c r="AB567">
        <f t="shared" si="61"/>
        <v>-48</v>
      </c>
      <c r="AC567" t="str">
        <f>IF(OR(D567="Heart Disease",D567="Cancer",D567="Stroke"),"High",IF(OR(D567="Diabetes",D567="Asthma"),"Medium","Low"))</f>
        <v>High</v>
      </c>
      <c r="AD567" t="str">
        <f t="shared" si="62"/>
        <v>Yes</v>
      </c>
      <c r="AE567" t="str">
        <f>IF(G567&lt;=2,"Short Stay", IF(G567&lt;=7,"Normal Stay", "Long Stay"))</f>
        <v>Long Stay</v>
      </c>
      <c r="AF567" t="str">
        <f>IF(F567&gt;60000,"Expensive",IF(F567&gt;30000,"Moderate","Affordable"))</f>
        <v>Affordable</v>
      </c>
      <c r="AG567" t="str">
        <f>IF(J567&gt;=4.5,"Excellent",IF(J567&gt;=3.5,"Good",IF(J567&gt;=2.5,"Average","Poor")))</f>
        <v>Good</v>
      </c>
      <c r="AH567" t="str">
        <f>IF(OR(TEXT(N567,"dddd")="Saturday",TEXT(N567,"dddd")="Sunday"),"Weekend","Weekday")</f>
        <v>Weekday</v>
      </c>
    </row>
    <row r="568" spans="1:34" x14ac:dyDescent="0.3">
      <c r="A568">
        <v>576</v>
      </c>
      <c r="B568">
        <v>68</v>
      </c>
      <c r="C568" t="s">
        <v>35</v>
      </c>
      <c r="D568" t="s">
        <v>66</v>
      </c>
      <c r="E568" t="s">
        <v>67</v>
      </c>
      <c r="F568">
        <v>1000</v>
      </c>
      <c r="G568">
        <v>42</v>
      </c>
      <c r="H568" t="s">
        <v>24</v>
      </c>
      <c r="I568" t="s">
        <v>39</v>
      </c>
      <c r="J568">
        <v>4</v>
      </c>
      <c r="K568" t="s">
        <v>324</v>
      </c>
      <c r="L568" t="s">
        <v>1259</v>
      </c>
      <c r="M568" t="s">
        <v>1260</v>
      </c>
      <c r="N568" s="2">
        <v>46224</v>
      </c>
      <c r="O568" s="2">
        <v>46266</v>
      </c>
      <c r="P568" t="s">
        <v>29</v>
      </c>
      <c r="Q568" t="s">
        <v>52</v>
      </c>
      <c r="R568" t="s">
        <v>45</v>
      </c>
      <c r="S568" t="s">
        <v>53</v>
      </c>
      <c r="T568" t="s">
        <v>33</v>
      </c>
      <c r="U568" t="s">
        <v>104</v>
      </c>
      <c r="V568" t="str">
        <f>IF(B568&lt;=18,"Children",IF(B568&lt;=35,"Young adult",IF(B568&lt;=60,"Adult", "Senior Citizen")))</f>
        <v>Senior Citizen</v>
      </c>
      <c r="W568" t="str">
        <f t="shared" si="56"/>
        <v>Jul</v>
      </c>
      <c r="X568">
        <f t="shared" si="57"/>
        <v>7</v>
      </c>
      <c r="Y568" t="str">
        <f t="shared" si="58"/>
        <v>Q3</v>
      </c>
      <c r="Z568">
        <f t="shared" si="59"/>
        <v>2026</v>
      </c>
      <c r="AA568" t="str">
        <f t="shared" si="60"/>
        <v>Tuesday</v>
      </c>
      <c r="AB568">
        <f t="shared" si="61"/>
        <v>-42</v>
      </c>
      <c r="AC568" t="str">
        <f>IF(OR(D568="Heart Disease",D568="Cancer",D568="Stroke"),"High",IF(OR(D568="Diabetes",D568="Asthma"),"Medium","Low"))</f>
        <v>Low</v>
      </c>
      <c r="AD568" t="str">
        <f t="shared" si="62"/>
        <v>No</v>
      </c>
      <c r="AE568" t="str">
        <f>IF(G568&lt;=2,"Short Stay", IF(G568&lt;=7,"Normal Stay", "Long Stay"))</f>
        <v>Long Stay</v>
      </c>
      <c r="AF568" t="str">
        <f>IF(F568&gt;60000,"Expensive",IF(F568&gt;30000,"Moderate","Affordable"))</f>
        <v>Affordable</v>
      </c>
      <c r="AG568" t="str">
        <f>IF(J568&gt;=4.5,"Excellent",IF(J568&gt;=3.5,"Good",IF(J568&gt;=2.5,"Average","Poor")))</f>
        <v>Good</v>
      </c>
      <c r="AH568" t="str">
        <f>IF(OR(TEXT(N568,"dddd")="Saturday",TEXT(N568,"dddd")="Sunday"),"Weekend","Weekday")</f>
        <v>Weekday</v>
      </c>
    </row>
    <row r="569" spans="1:34" x14ac:dyDescent="0.3">
      <c r="A569">
        <v>577</v>
      </c>
      <c r="B569">
        <v>45</v>
      </c>
      <c r="C569" t="s">
        <v>21</v>
      </c>
      <c r="D569" t="s">
        <v>73</v>
      </c>
      <c r="E569" t="s">
        <v>74</v>
      </c>
      <c r="F569">
        <v>8000</v>
      </c>
      <c r="G569">
        <v>44</v>
      </c>
      <c r="H569" t="s">
        <v>24</v>
      </c>
      <c r="I569" t="s">
        <v>25</v>
      </c>
      <c r="J569">
        <v>3</v>
      </c>
      <c r="K569" t="s">
        <v>68</v>
      </c>
      <c r="L569" t="s">
        <v>1261</v>
      </c>
      <c r="M569" t="s">
        <v>1262</v>
      </c>
      <c r="N569" s="2">
        <v>46225</v>
      </c>
      <c r="O569" s="2">
        <v>46269</v>
      </c>
      <c r="P569" t="s">
        <v>29</v>
      </c>
      <c r="Q569" t="s">
        <v>44</v>
      </c>
      <c r="R569" t="s">
        <v>45</v>
      </c>
      <c r="S569" t="s">
        <v>32</v>
      </c>
      <c r="T569" t="s">
        <v>33</v>
      </c>
      <c r="U569" t="s">
        <v>104</v>
      </c>
      <c r="V569" t="str">
        <f>IF(B569&lt;=18,"Children",IF(B569&lt;=35,"Young adult",IF(B569&lt;=60,"Adult", "Senior Citizen")))</f>
        <v>Adult</v>
      </c>
      <c r="W569" t="str">
        <f t="shared" si="56"/>
        <v>Jul</v>
      </c>
      <c r="X569">
        <f t="shared" si="57"/>
        <v>7</v>
      </c>
      <c r="Y569" t="str">
        <f t="shared" si="58"/>
        <v>Q3</v>
      </c>
      <c r="Z569">
        <f t="shared" si="59"/>
        <v>2026</v>
      </c>
      <c r="AA569" t="str">
        <f t="shared" si="60"/>
        <v>Wednesday</v>
      </c>
      <c r="AB569">
        <f t="shared" si="61"/>
        <v>-44</v>
      </c>
      <c r="AC569" t="str">
        <f>IF(OR(D569="Heart Disease",D569="Cancer",D569="Stroke"),"High",IF(OR(D569="Diabetes",D569="Asthma"),"Medium","Low"))</f>
        <v>Low</v>
      </c>
      <c r="AD569" t="str">
        <f t="shared" si="62"/>
        <v>No</v>
      </c>
      <c r="AE569" t="str">
        <f>IF(G569&lt;=2,"Short Stay", IF(G569&lt;=7,"Normal Stay", "Long Stay"))</f>
        <v>Long Stay</v>
      </c>
      <c r="AF569" t="str">
        <f>IF(F569&gt;60000,"Expensive",IF(F569&gt;30000,"Moderate","Affordable"))</f>
        <v>Affordable</v>
      </c>
      <c r="AG569" t="str">
        <f>IF(J569&gt;=4.5,"Excellent",IF(J569&gt;=3.5,"Good",IF(J569&gt;=2.5,"Average","Poor")))</f>
        <v>Average</v>
      </c>
      <c r="AH569" t="str">
        <f>IF(OR(TEXT(N569,"dddd")="Saturday",TEXT(N569,"dddd")="Sunday"),"Weekend","Weekday")</f>
        <v>Weekday</v>
      </c>
    </row>
    <row r="570" spans="1:34" x14ac:dyDescent="0.3">
      <c r="A570">
        <v>578</v>
      </c>
      <c r="B570">
        <v>40</v>
      </c>
      <c r="C570" t="s">
        <v>35</v>
      </c>
      <c r="D570" t="s">
        <v>79</v>
      </c>
      <c r="E570" t="s">
        <v>80</v>
      </c>
      <c r="F570">
        <v>3000</v>
      </c>
      <c r="G570">
        <v>44</v>
      </c>
      <c r="H570" t="s">
        <v>24</v>
      </c>
      <c r="I570" t="s">
        <v>25</v>
      </c>
      <c r="J570">
        <v>4</v>
      </c>
      <c r="K570" t="s">
        <v>210</v>
      </c>
      <c r="L570" t="s">
        <v>1263</v>
      </c>
      <c r="M570" t="s">
        <v>1264</v>
      </c>
      <c r="N570" s="2">
        <v>46226</v>
      </c>
      <c r="O570" s="2">
        <v>46270</v>
      </c>
      <c r="P570" t="s">
        <v>43</v>
      </c>
      <c r="Q570" t="s">
        <v>30</v>
      </c>
      <c r="R570" t="s">
        <v>45</v>
      </c>
      <c r="S570" t="s">
        <v>84</v>
      </c>
      <c r="T570" t="s">
        <v>33</v>
      </c>
      <c r="U570" t="s">
        <v>78</v>
      </c>
      <c r="V570" t="str">
        <f>IF(B570&lt;=18,"Children",IF(B570&lt;=35,"Young adult",IF(B570&lt;=60,"Adult", "Senior Citizen")))</f>
        <v>Adult</v>
      </c>
      <c r="W570" t="str">
        <f t="shared" si="56"/>
        <v>Jul</v>
      </c>
      <c r="X570">
        <f t="shared" si="57"/>
        <v>7</v>
      </c>
      <c r="Y570" t="str">
        <f t="shared" si="58"/>
        <v>Q3</v>
      </c>
      <c r="Z570">
        <f t="shared" si="59"/>
        <v>2026</v>
      </c>
      <c r="AA570" t="str">
        <f t="shared" si="60"/>
        <v>Thursday</v>
      </c>
      <c r="AB570">
        <f t="shared" si="61"/>
        <v>-44</v>
      </c>
      <c r="AC570" t="str">
        <f>IF(OR(D570="Heart Disease",D570="Cancer",D570="Stroke"),"High",IF(OR(D570="Diabetes",D570="Asthma"),"Medium","Low"))</f>
        <v>Low</v>
      </c>
      <c r="AD570" t="str">
        <f t="shared" si="62"/>
        <v>No</v>
      </c>
      <c r="AE570" t="str">
        <f>IF(G570&lt;=2,"Short Stay", IF(G570&lt;=7,"Normal Stay", "Long Stay"))</f>
        <v>Long Stay</v>
      </c>
      <c r="AF570" t="str">
        <f>IF(F570&gt;60000,"Expensive",IF(F570&gt;30000,"Moderate","Affordable"))</f>
        <v>Affordable</v>
      </c>
      <c r="AG570" t="str">
        <f>IF(J570&gt;=4.5,"Excellent",IF(J570&gt;=3.5,"Good",IF(J570&gt;=2.5,"Average","Poor")))</f>
        <v>Good</v>
      </c>
      <c r="AH570" t="str">
        <f>IF(OR(TEXT(N570,"dddd")="Saturday",TEXT(N570,"dddd")="Sunday"),"Weekend","Weekday")</f>
        <v>Weekday</v>
      </c>
    </row>
    <row r="571" spans="1:34" x14ac:dyDescent="0.3">
      <c r="A571">
        <v>579</v>
      </c>
      <c r="B571">
        <v>78</v>
      </c>
      <c r="C571" t="s">
        <v>21</v>
      </c>
      <c r="D571" t="s">
        <v>85</v>
      </c>
      <c r="E571" t="s">
        <v>86</v>
      </c>
      <c r="F571">
        <v>18000</v>
      </c>
      <c r="G571">
        <v>46</v>
      </c>
      <c r="H571" t="s">
        <v>38</v>
      </c>
      <c r="I571" t="s">
        <v>39</v>
      </c>
      <c r="J571">
        <v>2</v>
      </c>
      <c r="K571" t="s">
        <v>154</v>
      </c>
      <c r="L571" t="s">
        <v>1265</v>
      </c>
      <c r="M571" t="s">
        <v>1266</v>
      </c>
      <c r="N571" s="2">
        <v>46227</v>
      </c>
      <c r="O571" s="2">
        <v>46273</v>
      </c>
      <c r="P571" t="s">
        <v>43</v>
      </c>
      <c r="Q571" t="s">
        <v>139</v>
      </c>
      <c r="R571" t="s">
        <v>45</v>
      </c>
      <c r="S571" t="s">
        <v>110</v>
      </c>
      <c r="T571" t="s">
        <v>33</v>
      </c>
      <c r="U571" t="s">
        <v>46</v>
      </c>
      <c r="V571" t="str">
        <f>IF(B571&lt;=18,"Children",IF(B571&lt;=35,"Young adult",IF(B571&lt;=60,"Adult", "Senior Citizen")))</f>
        <v>Senior Citizen</v>
      </c>
      <c r="W571" t="str">
        <f t="shared" si="56"/>
        <v>Jul</v>
      </c>
      <c r="X571">
        <f t="shared" si="57"/>
        <v>7</v>
      </c>
      <c r="Y571" t="str">
        <f t="shared" si="58"/>
        <v>Q3</v>
      </c>
      <c r="Z571">
        <f t="shared" si="59"/>
        <v>2026</v>
      </c>
      <c r="AA571" t="str">
        <f t="shared" si="60"/>
        <v>Friday</v>
      </c>
      <c r="AB571">
        <f t="shared" si="61"/>
        <v>-46</v>
      </c>
      <c r="AC571" t="str">
        <f>IF(OR(D571="Heart Disease",D571="Cancer",D571="Stroke"),"High",IF(OR(D571="Diabetes",D571="Asthma"),"Medium","Low"))</f>
        <v>Low</v>
      </c>
      <c r="AD571" t="str">
        <f t="shared" si="62"/>
        <v>No</v>
      </c>
      <c r="AE571" t="str">
        <f>IF(G571&lt;=2,"Short Stay", IF(G571&lt;=7,"Normal Stay", "Long Stay"))</f>
        <v>Long Stay</v>
      </c>
      <c r="AF571" t="str">
        <f>IF(F571&gt;60000,"Expensive",IF(F571&gt;30000,"Moderate","Affordable"))</f>
        <v>Affordable</v>
      </c>
      <c r="AG571" t="str">
        <f>IF(J571&gt;=4.5,"Excellent",IF(J571&gt;=3.5,"Good",IF(J571&gt;=2.5,"Average","Poor")))</f>
        <v>Poor</v>
      </c>
      <c r="AH571" t="str">
        <f>IF(OR(TEXT(N571,"dddd")="Saturday",TEXT(N571,"dddd")="Sunday"),"Weekend","Weekday")</f>
        <v>Weekday</v>
      </c>
    </row>
    <row r="572" spans="1:34" x14ac:dyDescent="0.3">
      <c r="A572">
        <v>580</v>
      </c>
      <c r="B572">
        <v>25</v>
      </c>
      <c r="C572" t="s">
        <v>35</v>
      </c>
      <c r="D572" t="s">
        <v>89</v>
      </c>
      <c r="E572" t="s">
        <v>90</v>
      </c>
      <c r="F572">
        <v>100</v>
      </c>
      <c r="G572">
        <v>39</v>
      </c>
      <c r="H572" t="s">
        <v>24</v>
      </c>
      <c r="I572" t="s">
        <v>25</v>
      </c>
      <c r="J572">
        <v>5</v>
      </c>
      <c r="K572" t="s">
        <v>157</v>
      </c>
      <c r="L572" t="s">
        <v>1267</v>
      </c>
      <c r="M572" t="s">
        <v>1268</v>
      </c>
      <c r="N572" s="2">
        <v>46228</v>
      </c>
      <c r="O572" s="2">
        <v>46267</v>
      </c>
      <c r="P572" t="s">
        <v>29</v>
      </c>
      <c r="Q572" t="s">
        <v>139</v>
      </c>
      <c r="R572" t="s">
        <v>45</v>
      </c>
      <c r="S572" t="s">
        <v>32</v>
      </c>
      <c r="T572" t="s">
        <v>33</v>
      </c>
      <c r="U572" t="s">
        <v>34</v>
      </c>
      <c r="V572" t="str">
        <f>IF(B572&lt;=18,"Children",IF(B572&lt;=35,"Young adult",IF(B572&lt;=60,"Adult", "Senior Citizen")))</f>
        <v>Young adult</v>
      </c>
      <c r="W572" t="str">
        <f t="shared" si="56"/>
        <v>Jul</v>
      </c>
      <c r="X572">
        <f t="shared" si="57"/>
        <v>7</v>
      </c>
      <c r="Y572" t="str">
        <f t="shared" si="58"/>
        <v>Q3</v>
      </c>
      <c r="Z572">
        <f t="shared" si="59"/>
        <v>2026</v>
      </c>
      <c r="AA572" t="str">
        <f t="shared" si="60"/>
        <v>Saturday</v>
      </c>
      <c r="AB572">
        <f t="shared" si="61"/>
        <v>-39</v>
      </c>
      <c r="AC572" t="str">
        <f>IF(OR(D572="Heart Disease",D572="Cancer",D572="Stroke"),"High",IF(OR(D572="Diabetes",D572="Asthma"),"Medium","Low"))</f>
        <v>Low</v>
      </c>
      <c r="AD572" t="str">
        <f t="shared" si="62"/>
        <v>No</v>
      </c>
      <c r="AE572" t="str">
        <f>IF(G572&lt;=2,"Short Stay", IF(G572&lt;=7,"Normal Stay", "Long Stay"))</f>
        <v>Long Stay</v>
      </c>
      <c r="AF572" t="str">
        <f>IF(F572&gt;60000,"Expensive",IF(F572&gt;30000,"Moderate","Affordable"))</f>
        <v>Affordable</v>
      </c>
      <c r="AG572" t="str">
        <f>IF(J572&gt;=4.5,"Excellent",IF(J572&gt;=3.5,"Good",IF(J572&gt;=2.5,"Average","Poor")))</f>
        <v>Excellent</v>
      </c>
      <c r="AH572" t="str">
        <f>IF(OR(TEXT(N572,"dddd")="Saturday",TEXT(N572,"dddd")="Sunday"),"Weekend","Weekday")</f>
        <v>Weekend</v>
      </c>
    </row>
    <row r="573" spans="1:34" x14ac:dyDescent="0.3">
      <c r="A573">
        <v>581</v>
      </c>
      <c r="B573">
        <v>52</v>
      </c>
      <c r="C573" t="s">
        <v>21</v>
      </c>
      <c r="D573" t="s">
        <v>94</v>
      </c>
      <c r="E573" t="s">
        <v>95</v>
      </c>
      <c r="F573">
        <v>800</v>
      </c>
      <c r="G573">
        <v>40</v>
      </c>
      <c r="H573" t="s">
        <v>24</v>
      </c>
      <c r="I573" t="s">
        <v>39</v>
      </c>
      <c r="J573">
        <v>4</v>
      </c>
      <c r="K573" t="s">
        <v>380</v>
      </c>
      <c r="L573" t="s">
        <v>1269</v>
      </c>
      <c r="M573" t="s">
        <v>1270</v>
      </c>
      <c r="N573" s="2">
        <v>46229</v>
      </c>
      <c r="O573" s="2">
        <v>46269</v>
      </c>
      <c r="P573" t="s">
        <v>43</v>
      </c>
      <c r="Q573" t="s">
        <v>71</v>
      </c>
      <c r="R573" t="s">
        <v>45</v>
      </c>
      <c r="S573" t="s">
        <v>53</v>
      </c>
      <c r="T573" t="s">
        <v>33</v>
      </c>
      <c r="U573" t="s">
        <v>46</v>
      </c>
      <c r="V573" t="str">
        <f>IF(B573&lt;=18,"Children",IF(B573&lt;=35,"Young adult",IF(B573&lt;=60,"Adult", "Senior Citizen")))</f>
        <v>Adult</v>
      </c>
      <c r="W573" t="str">
        <f t="shared" si="56"/>
        <v>Jul</v>
      </c>
      <c r="X573">
        <f t="shared" si="57"/>
        <v>7</v>
      </c>
      <c r="Y573" t="str">
        <f t="shared" si="58"/>
        <v>Q3</v>
      </c>
      <c r="Z573">
        <f t="shared" si="59"/>
        <v>2026</v>
      </c>
      <c r="AA573" t="str">
        <f t="shared" si="60"/>
        <v>Sunday</v>
      </c>
      <c r="AB573">
        <f t="shared" si="61"/>
        <v>-40</v>
      </c>
      <c r="AC573" t="str">
        <f>IF(OR(D573="Heart Disease",D573="Cancer",D573="Stroke"),"High",IF(OR(D573="Diabetes",D573="Asthma"),"Medium","Low"))</f>
        <v>Low</v>
      </c>
      <c r="AD573" t="str">
        <f t="shared" si="62"/>
        <v>No</v>
      </c>
      <c r="AE573" t="str">
        <f>IF(G573&lt;=2,"Short Stay", IF(G573&lt;=7,"Normal Stay", "Long Stay"))</f>
        <v>Long Stay</v>
      </c>
      <c r="AF573" t="str">
        <f>IF(F573&gt;60000,"Expensive",IF(F573&gt;30000,"Moderate","Affordable"))</f>
        <v>Affordable</v>
      </c>
      <c r="AG573" t="str">
        <f>IF(J573&gt;=4.5,"Excellent",IF(J573&gt;=3.5,"Good",IF(J573&gt;=2.5,"Average","Poor")))</f>
        <v>Good</v>
      </c>
      <c r="AH573" t="str">
        <f>IF(OR(TEXT(N573,"dddd")="Saturday",TEXT(N573,"dddd")="Sunday"),"Weekend","Weekday")</f>
        <v>Weekend</v>
      </c>
    </row>
    <row r="574" spans="1:34" x14ac:dyDescent="0.3">
      <c r="A574">
        <v>582</v>
      </c>
      <c r="B574">
        <v>58</v>
      </c>
      <c r="C574" t="s">
        <v>35</v>
      </c>
      <c r="D574" t="s">
        <v>99</v>
      </c>
      <c r="E574" t="s">
        <v>100</v>
      </c>
      <c r="F574">
        <v>20000</v>
      </c>
      <c r="G574">
        <v>47</v>
      </c>
      <c r="H574" t="s">
        <v>24</v>
      </c>
      <c r="I574" t="s">
        <v>25</v>
      </c>
      <c r="J574">
        <v>3</v>
      </c>
      <c r="K574" t="s">
        <v>68</v>
      </c>
      <c r="L574" t="s">
        <v>1271</v>
      </c>
      <c r="M574" t="s">
        <v>1272</v>
      </c>
      <c r="N574" s="2">
        <v>46230</v>
      </c>
      <c r="O574" s="2">
        <v>46277</v>
      </c>
      <c r="P574" t="s">
        <v>43</v>
      </c>
      <c r="Q574" t="s">
        <v>30</v>
      </c>
      <c r="R574" t="s">
        <v>45</v>
      </c>
      <c r="S574" t="s">
        <v>32</v>
      </c>
      <c r="T574" t="s">
        <v>33</v>
      </c>
      <c r="U574" t="s">
        <v>46</v>
      </c>
      <c r="V574" t="str">
        <f>IF(B574&lt;=18,"Children",IF(B574&lt;=35,"Young adult",IF(B574&lt;=60,"Adult", "Senior Citizen")))</f>
        <v>Adult</v>
      </c>
      <c r="W574" t="str">
        <f t="shared" si="56"/>
        <v>Jul</v>
      </c>
      <c r="X574">
        <f t="shared" si="57"/>
        <v>7</v>
      </c>
      <c r="Y574" t="str">
        <f t="shared" si="58"/>
        <v>Q3</v>
      </c>
      <c r="Z574">
        <f t="shared" si="59"/>
        <v>2026</v>
      </c>
      <c r="AA574" t="str">
        <f t="shared" si="60"/>
        <v>Monday</v>
      </c>
      <c r="AB574">
        <f t="shared" si="61"/>
        <v>-47</v>
      </c>
      <c r="AC574" t="str">
        <f>IF(OR(D574="Heart Disease",D574="Cancer",D574="Stroke"),"High",IF(OR(D574="Diabetes",D574="Asthma"),"Medium","Low"))</f>
        <v>Low</v>
      </c>
      <c r="AD574" t="str">
        <f t="shared" si="62"/>
        <v>No</v>
      </c>
      <c r="AE574" t="str">
        <f>IF(G574&lt;=2,"Short Stay", IF(G574&lt;=7,"Normal Stay", "Long Stay"))</f>
        <v>Long Stay</v>
      </c>
      <c r="AF574" t="str">
        <f>IF(F574&gt;60000,"Expensive",IF(F574&gt;30000,"Moderate","Affordable"))</f>
        <v>Affordable</v>
      </c>
      <c r="AG574" t="str">
        <f>IF(J574&gt;=4.5,"Excellent",IF(J574&gt;=3.5,"Good",IF(J574&gt;=2.5,"Average","Poor")))</f>
        <v>Average</v>
      </c>
      <c r="AH574" t="str">
        <f>IF(OR(TEXT(N574,"dddd")="Saturday",TEXT(N574,"dddd")="Sunday"),"Weekend","Weekday")</f>
        <v>Weekday</v>
      </c>
    </row>
    <row r="575" spans="1:34" x14ac:dyDescent="0.3">
      <c r="A575">
        <v>583</v>
      </c>
      <c r="B575">
        <v>32</v>
      </c>
      <c r="C575" t="s">
        <v>21</v>
      </c>
      <c r="D575" t="s">
        <v>105</v>
      </c>
      <c r="E575" t="s">
        <v>106</v>
      </c>
      <c r="F575">
        <v>12000</v>
      </c>
      <c r="G575">
        <v>41</v>
      </c>
      <c r="H575" t="s">
        <v>24</v>
      </c>
      <c r="I575" t="s">
        <v>25</v>
      </c>
      <c r="J575">
        <v>4</v>
      </c>
      <c r="K575" t="s">
        <v>133</v>
      </c>
      <c r="L575" t="s">
        <v>1273</v>
      </c>
      <c r="M575" t="s">
        <v>1274</v>
      </c>
      <c r="N575" s="2">
        <v>46231</v>
      </c>
      <c r="O575" s="2">
        <v>46272</v>
      </c>
      <c r="P575" t="s">
        <v>29</v>
      </c>
      <c r="Q575" t="s">
        <v>71</v>
      </c>
      <c r="R575" t="s">
        <v>45</v>
      </c>
      <c r="S575" t="s">
        <v>77</v>
      </c>
      <c r="T575" t="s">
        <v>33</v>
      </c>
      <c r="U575" t="s">
        <v>34</v>
      </c>
      <c r="V575" t="str">
        <f>IF(B575&lt;=18,"Children",IF(B575&lt;=35,"Young adult",IF(B575&lt;=60,"Adult", "Senior Citizen")))</f>
        <v>Young adult</v>
      </c>
      <c r="W575" t="str">
        <f t="shared" si="56"/>
        <v>Jul</v>
      </c>
      <c r="X575">
        <f t="shared" si="57"/>
        <v>7</v>
      </c>
      <c r="Y575" t="str">
        <f t="shared" si="58"/>
        <v>Q3</v>
      </c>
      <c r="Z575">
        <f t="shared" si="59"/>
        <v>2026</v>
      </c>
      <c r="AA575" t="str">
        <f t="shared" si="60"/>
        <v>Tuesday</v>
      </c>
      <c r="AB575">
        <f t="shared" si="61"/>
        <v>-41</v>
      </c>
      <c r="AC575" t="str">
        <f>IF(OR(D575="Heart Disease",D575="Cancer",D575="Stroke"),"High",IF(OR(D575="Diabetes",D575="Asthma"),"Medium","Low"))</f>
        <v>Low</v>
      </c>
      <c r="AD575" t="str">
        <f t="shared" si="62"/>
        <v>No</v>
      </c>
      <c r="AE575" t="str">
        <f>IF(G575&lt;=2,"Short Stay", IF(G575&lt;=7,"Normal Stay", "Long Stay"))</f>
        <v>Long Stay</v>
      </c>
      <c r="AF575" t="str">
        <f>IF(F575&gt;60000,"Expensive",IF(F575&gt;30000,"Moderate","Affordable"))</f>
        <v>Affordable</v>
      </c>
      <c r="AG575" t="str">
        <f>IF(J575&gt;=4.5,"Excellent",IF(J575&gt;=3.5,"Good",IF(J575&gt;=2.5,"Average","Poor")))</f>
        <v>Good</v>
      </c>
      <c r="AH575" t="str">
        <f>IF(OR(TEXT(N575,"dddd")="Saturday",TEXT(N575,"dddd")="Sunday"),"Weekend","Weekday")</f>
        <v>Weekday</v>
      </c>
    </row>
    <row r="576" spans="1:34" x14ac:dyDescent="0.3">
      <c r="A576">
        <v>584</v>
      </c>
      <c r="B576">
        <v>55</v>
      </c>
      <c r="C576" t="s">
        <v>35</v>
      </c>
      <c r="D576" t="s">
        <v>111</v>
      </c>
      <c r="E576" t="s">
        <v>112</v>
      </c>
      <c r="F576">
        <v>6000</v>
      </c>
      <c r="G576">
        <v>42</v>
      </c>
      <c r="H576" t="s">
        <v>24</v>
      </c>
      <c r="I576" t="s">
        <v>25</v>
      </c>
      <c r="J576">
        <v>3</v>
      </c>
      <c r="K576" t="s">
        <v>215</v>
      </c>
      <c r="L576" t="s">
        <v>1275</v>
      </c>
      <c r="M576" t="s">
        <v>1276</v>
      </c>
      <c r="N576" s="2">
        <v>46232</v>
      </c>
      <c r="O576" s="2">
        <v>46274</v>
      </c>
      <c r="P576" t="s">
        <v>43</v>
      </c>
      <c r="Q576" t="s">
        <v>139</v>
      </c>
      <c r="R576" t="s">
        <v>45</v>
      </c>
      <c r="S576" t="s">
        <v>77</v>
      </c>
      <c r="T576" t="s">
        <v>33</v>
      </c>
      <c r="U576" t="s">
        <v>78</v>
      </c>
      <c r="V576" t="str">
        <f>IF(B576&lt;=18,"Children",IF(B576&lt;=35,"Young adult",IF(B576&lt;=60,"Adult", "Senior Citizen")))</f>
        <v>Adult</v>
      </c>
      <c r="W576" t="str">
        <f t="shared" si="56"/>
        <v>Jul</v>
      </c>
      <c r="X576">
        <f t="shared" si="57"/>
        <v>7</v>
      </c>
      <c r="Y576" t="str">
        <f t="shared" si="58"/>
        <v>Q3</v>
      </c>
      <c r="Z576">
        <f t="shared" si="59"/>
        <v>2026</v>
      </c>
      <c r="AA576" t="str">
        <f t="shared" si="60"/>
        <v>Wednesday</v>
      </c>
      <c r="AB576">
        <f t="shared" si="61"/>
        <v>-42</v>
      </c>
      <c r="AC576" t="str">
        <f>IF(OR(D576="Heart Disease",D576="Cancer",D576="Stroke"),"High",IF(OR(D576="Diabetes",D576="Asthma"),"Medium","Low"))</f>
        <v>Low</v>
      </c>
      <c r="AD576" t="str">
        <f t="shared" si="62"/>
        <v>No</v>
      </c>
      <c r="AE576" t="str">
        <f>IF(G576&lt;=2,"Short Stay", IF(G576&lt;=7,"Normal Stay", "Long Stay"))</f>
        <v>Long Stay</v>
      </c>
      <c r="AF576" t="str">
        <f>IF(F576&gt;60000,"Expensive",IF(F576&gt;30000,"Moderate","Affordable"))</f>
        <v>Affordable</v>
      </c>
      <c r="AG576" t="str">
        <f>IF(J576&gt;=4.5,"Excellent",IF(J576&gt;=3.5,"Good",IF(J576&gt;=2.5,"Average","Poor")))</f>
        <v>Average</v>
      </c>
      <c r="AH576" t="str">
        <f>IF(OR(TEXT(N576,"dddd")="Saturday",TEXT(N576,"dddd")="Sunday"),"Weekend","Weekday")</f>
        <v>Weekday</v>
      </c>
    </row>
    <row r="577" spans="1:34" x14ac:dyDescent="0.3">
      <c r="A577">
        <v>585</v>
      </c>
      <c r="B577">
        <v>65</v>
      </c>
      <c r="C577" t="s">
        <v>21</v>
      </c>
      <c r="D577" t="s">
        <v>116</v>
      </c>
      <c r="E577" t="s">
        <v>117</v>
      </c>
      <c r="F577">
        <v>4000</v>
      </c>
      <c r="G577">
        <v>43</v>
      </c>
      <c r="H577" t="s">
        <v>24</v>
      </c>
      <c r="I577" t="s">
        <v>39</v>
      </c>
      <c r="J577">
        <v>4</v>
      </c>
      <c r="K577" t="s">
        <v>81</v>
      </c>
      <c r="L577" t="s">
        <v>1277</v>
      </c>
      <c r="M577" t="s">
        <v>1278</v>
      </c>
      <c r="N577" s="2">
        <v>46233</v>
      </c>
      <c r="O577" s="2">
        <v>46276</v>
      </c>
      <c r="P577" t="s">
        <v>29</v>
      </c>
      <c r="Q577" t="s">
        <v>139</v>
      </c>
      <c r="R577" t="s">
        <v>45</v>
      </c>
      <c r="S577" t="s">
        <v>53</v>
      </c>
      <c r="T577" t="s">
        <v>33</v>
      </c>
      <c r="U577" t="s">
        <v>46</v>
      </c>
      <c r="V577" t="str">
        <f>IF(B577&lt;=18,"Children",IF(B577&lt;=35,"Young adult",IF(B577&lt;=60,"Adult", "Senior Citizen")))</f>
        <v>Senior Citizen</v>
      </c>
      <c r="W577" t="str">
        <f t="shared" si="56"/>
        <v>Jul</v>
      </c>
      <c r="X577">
        <f t="shared" si="57"/>
        <v>7</v>
      </c>
      <c r="Y577" t="str">
        <f t="shared" si="58"/>
        <v>Q3</v>
      </c>
      <c r="Z577">
        <f t="shared" si="59"/>
        <v>2026</v>
      </c>
      <c r="AA577" t="str">
        <f t="shared" si="60"/>
        <v>Thursday</v>
      </c>
      <c r="AB577">
        <f t="shared" si="61"/>
        <v>-43</v>
      </c>
      <c r="AC577" t="str">
        <f>IF(OR(D577="Heart Disease",D577="Cancer",D577="Stroke"),"High",IF(OR(D577="Diabetes",D577="Asthma"),"Medium","Low"))</f>
        <v>Low</v>
      </c>
      <c r="AD577" t="str">
        <f t="shared" si="62"/>
        <v>No</v>
      </c>
      <c r="AE577" t="str">
        <f>IF(G577&lt;=2,"Short Stay", IF(G577&lt;=7,"Normal Stay", "Long Stay"))</f>
        <v>Long Stay</v>
      </c>
      <c r="AF577" t="str">
        <f>IF(F577&gt;60000,"Expensive",IF(F577&gt;30000,"Moderate","Affordable"))</f>
        <v>Affordable</v>
      </c>
      <c r="AG577" t="str">
        <f>IF(J577&gt;=4.5,"Excellent",IF(J577&gt;=3.5,"Good",IF(J577&gt;=2.5,"Average","Poor")))</f>
        <v>Good</v>
      </c>
      <c r="AH577" t="str">
        <f>IF(OR(TEXT(N577,"dddd")="Saturday",TEXT(N577,"dddd")="Sunday"),"Weekend","Weekday")</f>
        <v>Weekday</v>
      </c>
    </row>
    <row r="578" spans="1:34" x14ac:dyDescent="0.3">
      <c r="A578">
        <v>586</v>
      </c>
      <c r="B578">
        <v>55</v>
      </c>
      <c r="C578" t="s">
        <v>21</v>
      </c>
      <c r="D578" t="s">
        <v>22</v>
      </c>
      <c r="E578" t="s">
        <v>23</v>
      </c>
      <c r="F578">
        <v>15000</v>
      </c>
      <c r="G578">
        <v>44</v>
      </c>
      <c r="H578" t="s">
        <v>38</v>
      </c>
      <c r="I578" t="s">
        <v>25</v>
      </c>
      <c r="J578">
        <v>3</v>
      </c>
      <c r="K578" t="s">
        <v>26</v>
      </c>
      <c r="L578" t="s">
        <v>1279</v>
      </c>
      <c r="M578" t="s">
        <v>1280</v>
      </c>
      <c r="N578" s="2">
        <v>46234</v>
      </c>
      <c r="O578" s="2">
        <v>46278</v>
      </c>
      <c r="P578" t="s">
        <v>29</v>
      </c>
      <c r="Q578" t="s">
        <v>44</v>
      </c>
      <c r="R578" t="s">
        <v>31</v>
      </c>
      <c r="S578" t="s">
        <v>72</v>
      </c>
      <c r="T578" t="s">
        <v>33</v>
      </c>
      <c r="U578" t="s">
        <v>34</v>
      </c>
      <c r="V578" t="str">
        <f>IF(B578&lt;=18,"Children",IF(B578&lt;=35,"Young adult",IF(B578&lt;=60,"Adult", "Senior Citizen")))</f>
        <v>Adult</v>
      </c>
      <c r="W578" t="str">
        <f t="shared" si="56"/>
        <v>Jul</v>
      </c>
      <c r="X578">
        <f t="shared" si="57"/>
        <v>7</v>
      </c>
      <c r="Y578" t="str">
        <f t="shared" si="58"/>
        <v>Q3</v>
      </c>
      <c r="Z578">
        <f t="shared" si="59"/>
        <v>2026</v>
      </c>
      <c r="AA578" t="str">
        <f t="shared" si="60"/>
        <v>Friday</v>
      </c>
      <c r="AB578">
        <f t="shared" si="61"/>
        <v>-44</v>
      </c>
      <c r="AC578" t="str">
        <f>IF(OR(D578="Heart Disease",D578="Cancer",D578="Stroke"),"High",IF(OR(D578="Diabetes",D578="Asthma"),"Medium","Low"))</f>
        <v>High</v>
      </c>
      <c r="AD578" t="str">
        <f t="shared" si="62"/>
        <v>Yes</v>
      </c>
      <c r="AE578" t="str">
        <f>IF(G578&lt;=2,"Short Stay", IF(G578&lt;=7,"Normal Stay", "Long Stay"))</f>
        <v>Long Stay</v>
      </c>
      <c r="AF578" t="str">
        <f>IF(F578&gt;60000,"Expensive",IF(F578&gt;30000,"Moderate","Affordable"))</f>
        <v>Affordable</v>
      </c>
      <c r="AG578" t="str">
        <f>IF(J578&gt;=4.5,"Excellent",IF(J578&gt;=3.5,"Good",IF(J578&gt;=2.5,"Average","Poor")))</f>
        <v>Average</v>
      </c>
      <c r="AH578" t="str">
        <f>IF(OR(TEXT(N578,"dddd")="Saturday",TEXT(N578,"dddd")="Sunday"),"Weekend","Weekday")</f>
        <v>Weekday</v>
      </c>
    </row>
    <row r="579" spans="1:34" x14ac:dyDescent="0.3">
      <c r="A579">
        <v>587</v>
      </c>
      <c r="B579">
        <v>62</v>
      </c>
      <c r="C579" t="s">
        <v>35</v>
      </c>
      <c r="D579" t="s">
        <v>36</v>
      </c>
      <c r="E579" t="s">
        <v>37</v>
      </c>
      <c r="F579">
        <v>2000</v>
      </c>
      <c r="G579">
        <v>42</v>
      </c>
      <c r="H579" t="s">
        <v>24</v>
      </c>
      <c r="I579" t="s">
        <v>39</v>
      </c>
      <c r="J579">
        <v>4</v>
      </c>
      <c r="K579" t="s">
        <v>250</v>
      </c>
      <c r="L579" t="s">
        <v>1281</v>
      </c>
      <c r="M579" t="s">
        <v>1282</v>
      </c>
      <c r="N579" s="2">
        <v>46235</v>
      </c>
      <c r="O579" s="2">
        <v>46277</v>
      </c>
      <c r="P579" t="s">
        <v>43</v>
      </c>
      <c r="Q579" t="s">
        <v>52</v>
      </c>
      <c r="R579" t="s">
        <v>45</v>
      </c>
      <c r="S579" t="s">
        <v>32</v>
      </c>
      <c r="T579" t="s">
        <v>33</v>
      </c>
      <c r="U579" t="s">
        <v>78</v>
      </c>
      <c r="V579" t="str">
        <f>IF(B579&lt;=18,"Children",IF(B579&lt;=35,"Young adult",IF(B579&lt;=60,"Adult", "Senior Citizen")))</f>
        <v>Senior Citizen</v>
      </c>
      <c r="W579" t="str">
        <f t="shared" ref="W579:W642" si="63">TEXT(N579,"MMM")</f>
        <v>Aug</v>
      </c>
      <c r="X579">
        <f t="shared" ref="X579:X642" si="64">MONTH(N579)</f>
        <v>8</v>
      </c>
      <c r="Y579" t="str">
        <f t="shared" ref="Y579:Y642" si="65">"Q"&amp;ROUNDUP(MONTH(N579)/3,0)</f>
        <v>Q3</v>
      </c>
      <c r="Z579">
        <f t="shared" ref="Z579:Z642" si="66">YEAR(N579)</f>
        <v>2026</v>
      </c>
      <c r="AA579" t="str">
        <f t="shared" ref="AA579:AA642" si="67">TEXT(N579, "dddd")</f>
        <v>Saturday</v>
      </c>
      <c r="AB579">
        <f t="shared" ref="AB579:AB642" si="68">N579-O579</f>
        <v>-42</v>
      </c>
      <c r="AC579" t="str">
        <f>IF(OR(D579="Heart Disease",D579="Cancer",D579="Stroke"),"High",IF(OR(D579="Diabetes",D579="Asthma"),"Medium","Low"))</f>
        <v>Medium</v>
      </c>
      <c r="AD579" t="str">
        <f t="shared" ref="AD579:AD642" si="69">IF(AC579="High","Yes","No")</f>
        <v>No</v>
      </c>
      <c r="AE579" t="str">
        <f>IF(G579&lt;=2,"Short Stay", IF(G579&lt;=7,"Normal Stay", "Long Stay"))</f>
        <v>Long Stay</v>
      </c>
      <c r="AF579" t="str">
        <f>IF(F579&gt;60000,"Expensive",IF(F579&gt;30000,"Moderate","Affordable"))</f>
        <v>Affordable</v>
      </c>
      <c r="AG579" t="str">
        <f>IF(J579&gt;=4.5,"Excellent",IF(J579&gt;=3.5,"Good",IF(J579&gt;=2.5,"Average","Poor")))</f>
        <v>Good</v>
      </c>
      <c r="AH579" t="str">
        <f>IF(OR(TEXT(N579,"dddd")="Saturday",TEXT(N579,"dddd")="Sunday"),"Weekend","Weekday")</f>
        <v>Weekend</v>
      </c>
    </row>
    <row r="580" spans="1:34" x14ac:dyDescent="0.3">
      <c r="A580">
        <v>588</v>
      </c>
      <c r="B580">
        <v>35</v>
      </c>
      <c r="C580" t="s">
        <v>21</v>
      </c>
      <c r="D580" t="s">
        <v>47</v>
      </c>
      <c r="E580" t="s">
        <v>48</v>
      </c>
      <c r="F580">
        <v>500</v>
      </c>
      <c r="G580">
        <v>40</v>
      </c>
      <c r="H580" t="s">
        <v>38</v>
      </c>
      <c r="I580" t="s">
        <v>25</v>
      </c>
      <c r="J580">
        <v>5</v>
      </c>
      <c r="K580" t="s">
        <v>482</v>
      </c>
      <c r="L580" t="s">
        <v>1283</v>
      </c>
      <c r="M580" t="s">
        <v>1284</v>
      </c>
      <c r="N580" s="2">
        <v>46236</v>
      </c>
      <c r="O580" s="2">
        <v>46276</v>
      </c>
      <c r="P580" t="s">
        <v>43</v>
      </c>
      <c r="Q580" t="s">
        <v>44</v>
      </c>
      <c r="R580" t="s">
        <v>45</v>
      </c>
      <c r="S580" t="s">
        <v>84</v>
      </c>
      <c r="T580" t="s">
        <v>33</v>
      </c>
      <c r="U580" t="s">
        <v>46</v>
      </c>
      <c r="V580" t="str">
        <f>IF(B580&lt;=18,"Children",IF(B580&lt;=35,"Young adult",IF(B580&lt;=60,"Adult", "Senior Citizen")))</f>
        <v>Young adult</v>
      </c>
      <c r="W580" t="str">
        <f t="shared" si="63"/>
        <v>Aug</v>
      </c>
      <c r="X580">
        <f t="shared" si="64"/>
        <v>8</v>
      </c>
      <c r="Y580" t="str">
        <f t="shared" si="65"/>
        <v>Q3</v>
      </c>
      <c r="Z580">
        <f t="shared" si="66"/>
        <v>2026</v>
      </c>
      <c r="AA580" t="str">
        <f t="shared" si="67"/>
        <v>Sunday</v>
      </c>
      <c r="AB580">
        <f t="shared" si="68"/>
        <v>-40</v>
      </c>
      <c r="AC580" t="str">
        <f>IF(OR(D580="Heart Disease",D580="Cancer",D580="Stroke"),"High",IF(OR(D580="Diabetes",D580="Asthma"),"Medium","Low"))</f>
        <v>Low</v>
      </c>
      <c r="AD580" t="str">
        <f t="shared" si="69"/>
        <v>No</v>
      </c>
      <c r="AE580" t="str">
        <f>IF(G580&lt;=2,"Short Stay", IF(G580&lt;=7,"Normal Stay", "Long Stay"))</f>
        <v>Long Stay</v>
      </c>
      <c r="AF580" t="str">
        <f>IF(F580&gt;60000,"Expensive",IF(F580&gt;30000,"Moderate","Affordable"))</f>
        <v>Affordable</v>
      </c>
      <c r="AG580" t="str">
        <f>IF(J580&gt;=4.5,"Excellent",IF(J580&gt;=3.5,"Good",IF(J580&gt;=2.5,"Average","Poor")))</f>
        <v>Excellent</v>
      </c>
      <c r="AH580" t="str">
        <f>IF(OR(TEXT(N580,"dddd")="Saturday",TEXT(N580,"dddd")="Sunday"),"Weekend","Weekday")</f>
        <v>Weekend</v>
      </c>
    </row>
    <row r="581" spans="1:34" x14ac:dyDescent="0.3">
      <c r="A581">
        <v>589</v>
      </c>
      <c r="B581">
        <v>78</v>
      </c>
      <c r="C581" t="s">
        <v>35</v>
      </c>
      <c r="D581" t="s">
        <v>54</v>
      </c>
      <c r="E581" t="s">
        <v>55</v>
      </c>
      <c r="F581">
        <v>10000</v>
      </c>
      <c r="G581">
        <v>47</v>
      </c>
      <c r="H581" t="s">
        <v>24</v>
      </c>
      <c r="I581" t="s">
        <v>39</v>
      </c>
      <c r="J581">
        <v>2</v>
      </c>
      <c r="K581" t="s">
        <v>218</v>
      </c>
      <c r="L581" t="s">
        <v>1285</v>
      </c>
      <c r="M581" t="s">
        <v>1286</v>
      </c>
      <c r="N581" s="2">
        <v>46237</v>
      </c>
      <c r="O581" s="2">
        <v>46284</v>
      </c>
      <c r="P581" t="s">
        <v>43</v>
      </c>
      <c r="Q581" t="s">
        <v>71</v>
      </c>
      <c r="R581" t="s">
        <v>59</v>
      </c>
      <c r="S581" t="s">
        <v>72</v>
      </c>
      <c r="T581" t="s">
        <v>33</v>
      </c>
      <c r="U581" t="s">
        <v>46</v>
      </c>
      <c r="V581" t="str">
        <f>IF(B581&lt;=18,"Children",IF(B581&lt;=35,"Young adult",IF(B581&lt;=60,"Adult", "Senior Citizen")))</f>
        <v>Senior Citizen</v>
      </c>
      <c r="W581" t="str">
        <f t="shared" si="63"/>
        <v>Aug</v>
      </c>
      <c r="X581">
        <f t="shared" si="64"/>
        <v>8</v>
      </c>
      <c r="Y581" t="str">
        <f t="shared" si="65"/>
        <v>Q3</v>
      </c>
      <c r="Z581">
        <f t="shared" si="66"/>
        <v>2026</v>
      </c>
      <c r="AA581" t="str">
        <f t="shared" si="67"/>
        <v>Monday</v>
      </c>
      <c r="AB581">
        <f t="shared" si="68"/>
        <v>-47</v>
      </c>
      <c r="AC581" t="str">
        <f>IF(OR(D581="Heart Disease",D581="Cancer",D581="Stroke"),"High",IF(OR(D581="Diabetes",D581="Asthma"),"Medium","Low"))</f>
        <v>High</v>
      </c>
      <c r="AD581" t="str">
        <f t="shared" si="69"/>
        <v>Yes</v>
      </c>
      <c r="AE581" t="str">
        <f>IF(G581&lt;=2,"Short Stay", IF(G581&lt;=7,"Normal Stay", "Long Stay"))</f>
        <v>Long Stay</v>
      </c>
      <c r="AF581" t="str">
        <f>IF(F581&gt;60000,"Expensive",IF(F581&gt;30000,"Moderate","Affordable"))</f>
        <v>Affordable</v>
      </c>
      <c r="AG581" t="str">
        <f>IF(J581&gt;=4.5,"Excellent",IF(J581&gt;=3.5,"Good",IF(J581&gt;=2.5,"Average","Poor")))</f>
        <v>Poor</v>
      </c>
      <c r="AH581" t="str">
        <f>IF(OR(TEXT(N581,"dddd")="Saturday",TEXT(N581,"dddd")="Sunday"),"Weekend","Weekday")</f>
        <v>Weekday</v>
      </c>
    </row>
    <row r="582" spans="1:34" x14ac:dyDescent="0.3">
      <c r="A582">
        <v>590</v>
      </c>
      <c r="B582">
        <v>53</v>
      </c>
      <c r="C582" t="s">
        <v>21</v>
      </c>
      <c r="D582" t="s">
        <v>60</v>
      </c>
      <c r="E582" t="s">
        <v>61</v>
      </c>
      <c r="F582">
        <v>25000</v>
      </c>
      <c r="G582">
        <v>49</v>
      </c>
      <c r="H582" t="s">
        <v>38</v>
      </c>
      <c r="I582" t="s">
        <v>25</v>
      </c>
      <c r="J582">
        <v>4</v>
      </c>
      <c r="K582" t="s">
        <v>120</v>
      </c>
      <c r="L582" t="s">
        <v>1287</v>
      </c>
      <c r="M582" t="s">
        <v>1288</v>
      </c>
      <c r="N582" s="2">
        <v>46238</v>
      </c>
      <c r="O582" s="2">
        <v>46287</v>
      </c>
      <c r="P582" t="s">
        <v>29</v>
      </c>
      <c r="Q582" t="s">
        <v>30</v>
      </c>
      <c r="R582" t="s">
        <v>65</v>
      </c>
      <c r="S582" t="s">
        <v>84</v>
      </c>
      <c r="T582" t="s">
        <v>33</v>
      </c>
      <c r="U582" t="s">
        <v>34</v>
      </c>
      <c r="V582" t="str">
        <f>IF(B582&lt;=18,"Children",IF(B582&lt;=35,"Young adult",IF(B582&lt;=60,"Adult", "Senior Citizen")))</f>
        <v>Adult</v>
      </c>
      <c r="W582" t="str">
        <f t="shared" si="63"/>
        <v>Aug</v>
      </c>
      <c r="X582">
        <f t="shared" si="64"/>
        <v>8</v>
      </c>
      <c r="Y582" t="str">
        <f t="shared" si="65"/>
        <v>Q3</v>
      </c>
      <c r="Z582">
        <f t="shared" si="66"/>
        <v>2026</v>
      </c>
      <c r="AA582" t="str">
        <f t="shared" si="67"/>
        <v>Tuesday</v>
      </c>
      <c r="AB582">
        <f t="shared" si="68"/>
        <v>-49</v>
      </c>
      <c r="AC582" t="str">
        <f>IF(OR(D582="Heart Disease",D582="Cancer",D582="Stroke"),"High",IF(OR(D582="Diabetes",D582="Asthma"),"Medium","Low"))</f>
        <v>High</v>
      </c>
      <c r="AD582" t="str">
        <f t="shared" si="69"/>
        <v>Yes</v>
      </c>
      <c r="AE582" t="str">
        <f>IF(G582&lt;=2,"Short Stay", IF(G582&lt;=7,"Normal Stay", "Long Stay"))</f>
        <v>Long Stay</v>
      </c>
      <c r="AF582" t="str">
        <f>IF(F582&gt;60000,"Expensive",IF(F582&gt;30000,"Moderate","Affordable"))</f>
        <v>Affordable</v>
      </c>
      <c r="AG582" t="str">
        <f>IF(J582&gt;=4.5,"Excellent",IF(J582&gt;=3.5,"Good",IF(J582&gt;=2.5,"Average","Poor")))</f>
        <v>Good</v>
      </c>
      <c r="AH582" t="str">
        <f>IF(OR(TEXT(N582,"dddd")="Saturday",TEXT(N582,"dddd")="Sunday"),"Weekend","Weekday")</f>
        <v>Weekday</v>
      </c>
    </row>
    <row r="583" spans="1:34" x14ac:dyDescent="0.3">
      <c r="A583">
        <v>591</v>
      </c>
      <c r="B583">
        <v>72</v>
      </c>
      <c r="C583" t="s">
        <v>35</v>
      </c>
      <c r="D583" t="s">
        <v>66</v>
      </c>
      <c r="E583" t="s">
        <v>67</v>
      </c>
      <c r="F583">
        <v>1000</v>
      </c>
      <c r="G583">
        <v>43</v>
      </c>
      <c r="H583" t="s">
        <v>24</v>
      </c>
      <c r="I583" t="s">
        <v>39</v>
      </c>
      <c r="J583">
        <v>4</v>
      </c>
      <c r="K583" t="s">
        <v>154</v>
      </c>
      <c r="L583" t="s">
        <v>1289</v>
      </c>
      <c r="M583" t="s">
        <v>1290</v>
      </c>
      <c r="N583" s="2">
        <v>46239</v>
      </c>
      <c r="O583" s="2">
        <v>46282</v>
      </c>
      <c r="P583" t="s">
        <v>29</v>
      </c>
      <c r="Q583" t="s">
        <v>52</v>
      </c>
      <c r="R583" t="s">
        <v>45</v>
      </c>
      <c r="S583" t="s">
        <v>72</v>
      </c>
      <c r="T583" t="s">
        <v>33</v>
      </c>
      <c r="U583" t="s">
        <v>34</v>
      </c>
      <c r="V583" t="str">
        <f>IF(B583&lt;=18,"Children",IF(B583&lt;=35,"Young adult",IF(B583&lt;=60,"Adult", "Senior Citizen")))</f>
        <v>Senior Citizen</v>
      </c>
      <c r="W583" t="str">
        <f t="shared" si="63"/>
        <v>Aug</v>
      </c>
      <c r="X583">
        <f t="shared" si="64"/>
        <v>8</v>
      </c>
      <c r="Y583" t="str">
        <f t="shared" si="65"/>
        <v>Q3</v>
      </c>
      <c r="Z583">
        <f t="shared" si="66"/>
        <v>2026</v>
      </c>
      <c r="AA583" t="str">
        <f t="shared" si="67"/>
        <v>Wednesday</v>
      </c>
      <c r="AB583">
        <f t="shared" si="68"/>
        <v>-43</v>
      </c>
      <c r="AC583" t="str">
        <f>IF(OR(D583="Heart Disease",D583="Cancer",D583="Stroke"),"High",IF(OR(D583="Diabetes",D583="Asthma"),"Medium","Low"))</f>
        <v>Low</v>
      </c>
      <c r="AD583" t="str">
        <f t="shared" si="69"/>
        <v>No</v>
      </c>
      <c r="AE583" t="str">
        <f>IF(G583&lt;=2,"Short Stay", IF(G583&lt;=7,"Normal Stay", "Long Stay"))</f>
        <v>Long Stay</v>
      </c>
      <c r="AF583" t="str">
        <f>IF(F583&gt;60000,"Expensive",IF(F583&gt;30000,"Moderate","Affordable"))</f>
        <v>Affordable</v>
      </c>
      <c r="AG583" t="str">
        <f>IF(J583&gt;=4.5,"Excellent",IF(J583&gt;=3.5,"Good",IF(J583&gt;=2.5,"Average","Poor")))</f>
        <v>Good</v>
      </c>
      <c r="AH583" t="str">
        <f>IF(OR(TEXT(N583,"dddd")="Saturday",TEXT(N583,"dddd")="Sunday"),"Weekend","Weekday")</f>
        <v>Weekday</v>
      </c>
    </row>
    <row r="584" spans="1:34" x14ac:dyDescent="0.3">
      <c r="A584">
        <v>592</v>
      </c>
      <c r="B584">
        <v>60</v>
      </c>
      <c r="C584" t="s">
        <v>21</v>
      </c>
      <c r="D584" t="s">
        <v>73</v>
      </c>
      <c r="E584" t="s">
        <v>74</v>
      </c>
      <c r="F584">
        <v>8000</v>
      </c>
      <c r="G584">
        <v>45</v>
      </c>
      <c r="H584" t="s">
        <v>38</v>
      </c>
      <c r="I584" t="s">
        <v>25</v>
      </c>
      <c r="J584">
        <v>3</v>
      </c>
      <c r="K584" t="s">
        <v>175</v>
      </c>
      <c r="L584" t="s">
        <v>1291</v>
      </c>
      <c r="M584" t="s">
        <v>1292</v>
      </c>
      <c r="N584" s="2">
        <v>46240</v>
      </c>
      <c r="O584" s="2">
        <v>46285</v>
      </c>
      <c r="P584" t="s">
        <v>43</v>
      </c>
      <c r="Q584" t="s">
        <v>52</v>
      </c>
      <c r="R584" t="s">
        <v>45</v>
      </c>
      <c r="S584" t="s">
        <v>72</v>
      </c>
      <c r="T584" t="s">
        <v>33</v>
      </c>
      <c r="U584" t="s">
        <v>78</v>
      </c>
      <c r="V584" t="str">
        <f>IF(B584&lt;=18,"Children",IF(B584&lt;=35,"Young adult",IF(B584&lt;=60,"Adult", "Senior Citizen")))</f>
        <v>Adult</v>
      </c>
      <c r="W584" t="str">
        <f t="shared" si="63"/>
        <v>Aug</v>
      </c>
      <c r="X584">
        <f t="shared" si="64"/>
        <v>8</v>
      </c>
      <c r="Y584" t="str">
        <f t="shared" si="65"/>
        <v>Q3</v>
      </c>
      <c r="Z584">
        <f t="shared" si="66"/>
        <v>2026</v>
      </c>
      <c r="AA584" t="str">
        <f t="shared" si="67"/>
        <v>Thursday</v>
      </c>
      <c r="AB584">
        <f t="shared" si="68"/>
        <v>-45</v>
      </c>
      <c r="AC584" t="str">
        <f>IF(OR(D584="Heart Disease",D584="Cancer",D584="Stroke"),"High",IF(OR(D584="Diabetes",D584="Asthma"),"Medium","Low"))</f>
        <v>Low</v>
      </c>
      <c r="AD584" t="str">
        <f t="shared" si="69"/>
        <v>No</v>
      </c>
      <c r="AE584" t="str">
        <f>IF(G584&lt;=2,"Short Stay", IF(G584&lt;=7,"Normal Stay", "Long Stay"))</f>
        <v>Long Stay</v>
      </c>
      <c r="AF584" t="str">
        <f>IF(F584&gt;60000,"Expensive",IF(F584&gt;30000,"Moderate","Affordable"))</f>
        <v>Affordable</v>
      </c>
      <c r="AG584" t="str">
        <f>IF(J584&gt;=4.5,"Excellent",IF(J584&gt;=3.5,"Good",IF(J584&gt;=2.5,"Average","Poor")))</f>
        <v>Average</v>
      </c>
      <c r="AH584" t="str">
        <f>IF(OR(TEXT(N584,"dddd")="Saturday",TEXT(N584,"dddd")="Sunday"),"Weekend","Weekday")</f>
        <v>Weekday</v>
      </c>
    </row>
    <row r="585" spans="1:34" x14ac:dyDescent="0.3">
      <c r="A585">
        <v>593</v>
      </c>
      <c r="B585">
        <v>45</v>
      </c>
      <c r="C585" t="s">
        <v>35</v>
      </c>
      <c r="D585" t="s">
        <v>79</v>
      </c>
      <c r="E585" t="s">
        <v>80</v>
      </c>
      <c r="F585">
        <v>3000</v>
      </c>
      <c r="G585">
        <v>45</v>
      </c>
      <c r="H585" t="s">
        <v>24</v>
      </c>
      <c r="I585" t="s">
        <v>25</v>
      </c>
      <c r="J585">
        <v>4</v>
      </c>
      <c r="K585" t="s">
        <v>250</v>
      </c>
      <c r="L585" t="s">
        <v>1293</v>
      </c>
      <c r="M585" t="s">
        <v>1294</v>
      </c>
      <c r="N585" s="2">
        <v>46241</v>
      </c>
      <c r="O585" s="2">
        <v>46286</v>
      </c>
      <c r="P585" t="s">
        <v>43</v>
      </c>
      <c r="Q585" t="s">
        <v>71</v>
      </c>
      <c r="R585" t="s">
        <v>45</v>
      </c>
      <c r="S585" t="s">
        <v>32</v>
      </c>
      <c r="T585" t="s">
        <v>33</v>
      </c>
      <c r="U585" t="s">
        <v>46</v>
      </c>
      <c r="V585" t="str">
        <f>IF(B585&lt;=18,"Children",IF(B585&lt;=35,"Young adult",IF(B585&lt;=60,"Adult", "Senior Citizen")))</f>
        <v>Adult</v>
      </c>
      <c r="W585" t="str">
        <f t="shared" si="63"/>
        <v>Aug</v>
      </c>
      <c r="X585">
        <f t="shared" si="64"/>
        <v>8</v>
      </c>
      <c r="Y585" t="str">
        <f t="shared" si="65"/>
        <v>Q3</v>
      </c>
      <c r="Z585">
        <f t="shared" si="66"/>
        <v>2026</v>
      </c>
      <c r="AA585" t="str">
        <f t="shared" si="67"/>
        <v>Friday</v>
      </c>
      <c r="AB585">
        <f t="shared" si="68"/>
        <v>-45</v>
      </c>
      <c r="AC585" t="str">
        <f>IF(OR(D585="Heart Disease",D585="Cancer",D585="Stroke"),"High",IF(OR(D585="Diabetes",D585="Asthma"),"Medium","Low"))</f>
        <v>Low</v>
      </c>
      <c r="AD585" t="str">
        <f t="shared" si="69"/>
        <v>No</v>
      </c>
      <c r="AE585" t="str">
        <f>IF(G585&lt;=2,"Short Stay", IF(G585&lt;=7,"Normal Stay", "Long Stay"))</f>
        <v>Long Stay</v>
      </c>
      <c r="AF585" t="str">
        <f>IF(F585&gt;60000,"Expensive",IF(F585&gt;30000,"Moderate","Affordable"))</f>
        <v>Affordable</v>
      </c>
      <c r="AG585" t="str">
        <f>IF(J585&gt;=4.5,"Excellent",IF(J585&gt;=3.5,"Good",IF(J585&gt;=2.5,"Average","Poor")))</f>
        <v>Good</v>
      </c>
      <c r="AH585" t="str">
        <f>IF(OR(TEXT(N585,"dddd")="Saturday",TEXT(N585,"dddd")="Sunday"),"Weekend","Weekday")</f>
        <v>Weekday</v>
      </c>
    </row>
    <row r="586" spans="1:34" x14ac:dyDescent="0.3">
      <c r="A586">
        <v>594</v>
      </c>
      <c r="B586">
        <v>75</v>
      </c>
      <c r="C586" t="s">
        <v>21</v>
      </c>
      <c r="D586" t="s">
        <v>85</v>
      </c>
      <c r="E586" t="s">
        <v>86</v>
      </c>
      <c r="F586">
        <v>18000</v>
      </c>
      <c r="G586">
        <v>47</v>
      </c>
      <c r="H586" t="s">
        <v>38</v>
      </c>
      <c r="I586" t="s">
        <v>39</v>
      </c>
      <c r="J586">
        <v>2</v>
      </c>
      <c r="K586" t="s">
        <v>429</v>
      </c>
      <c r="L586" t="s">
        <v>1295</v>
      </c>
      <c r="M586" t="s">
        <v>1296</v>
      </c>
      <c r="N586" s="2">
        <v>46242</v>
      </c>
      <c r="O586" s="2">
        <v>46289</v>
      </c>
      <c r="P586" t="s">
        <v>43</v>
      </c>
      <c r="Q586" t="s">
        <v>44</v>
      </c>
      <c r="R586" t="s">
        <v>45</v>
      </c>
      <c r="S586" t="s">
        <v>110</v>
      </c>
      <c r="T586" t="s">
        <v>33</v>
      </c>
      <c r="U586" t="s">
        <v>104</v>
      </c>
      <c r="V586" t="str">
        <f>IF(B586&lt;=18,"Children",IF(B586&lt;=35,"Young adult",IF(B586&lt;=60,"Adult", "Senior Citizen")))</f>
        <v>Senior Citizen</v>
      </c>
      <c r="W586" t="str">
        <f t="shared" si="63"/>
        <v>Aug</v>
      </c>
      <c r="X586">
        <f t="shared" si="64"/>
        <v>8</v>
      </c>
      <c r="Y586" t="str">
        <f t="shared" si="65"/>
        <v>Q3</v>
      </c>
      <c r="Z586">
        <f t="shared" si="66"/>
        <v>2026</v>
      </c>
      <c r="AA586" t="str">
        <f t="shared" si="67"/>
        <v>Saturday</v>
      </c>
      <c r="AB586">
        <f t="shared" si="68"/>
        <v>-47</v>
      </c>
      <c r="AC586" t="str">
        <f>IF(OR(D586="Heart Disease",D586="Cancer",D586="Stroke"),"High",IF(OR(D586="Diabetes",D586="Asthma"),"Medium","Low"))</f>
        <v>Low</v>
      </c>
      <c r="AD586" t="str">
        <f t="shared" si="69"/>
        <v>No</v>
      </c>
      <c r="AE586" t="str">
        <f>IF(G586&lt;=2,"Short Stay", IF(G586&lt;=7,"Normal Stay", "Long Stay"))</f>
        <v>Long Stay</v>
      </c>
      <c r="AF586" t="str">
        <f>IF(F586&gt;60000,"Expensive",IF(F586&gt;30000,"Moderate","Affordable"))</f>
        <v>Affordable</v>
      </c>
      <c r="AG586" t="str">
        <f>IF(J586&gt;=4.5,"Excellent",IF(J586&gt;=3.5,"Good",IF(J586&gt;=2.5,"Average","Poor")))</f>
        <v>Poor</v>
      </c>
      <c r="AH586" t="str">
        <f>IF(OR(TEXT(N586,"dddd")="Saturday",TEXT(N586,"dddd")="Sunday"),"Weekend","Weekday")</f>
        <v>Weekend</v>
      </c>
    </row>
    <row r="587" spans="1:34" x14ac:dyDescent="0.3">
      <c r="A587">
        <v>595</v>
      </c>
      <c r="B587">
        <v>28</v>
      </c>
      <c r="C587" t="s">
        <v>35</v>
      </c>
      <c r="D587" t="s">
        <v>89</v>
      </c>
      <c r="E587" t="s">
        <v>90</v>
      </c>
      <c r="F587">
        <v>100</v>
      </c>
      <c r="G587">
        <v>40</v>
      </c>
      <c r="H587" t="s">
        <v>24</v>
      </c>
      <c r="I587" t="s">
        <v>25</v>
      </c>
      <c r="J587">
        <v>5</v>
      </c>
      <c r="K587" t="s">
        <v>120</v>
      </c>
      <c r="L587" t="s">
        <v>1297</v>
      </c>
      <c r="M587" t="s">
        <v>1298</v>
      </c>
      <c r="N587" s="2">
        <v>46243</v>
      </c>
      <c r="O587" s="2">
        <v>46283</v>
      </c>
      <c r="P587" t="s">
        <v>43</v>
      </c>
      <c r="Q587" t="s">
        <v>139</v>
      </c>
      <c r="R587" t="s">
        <v>45</v>
      </c>
      <c r="S587" t="s">
        <v>77</v>
      </c>
      <c r="T587" t="s">
        <v>33</v>
      </c>
      <c r="U587" t="s">
        <v>46</v>
      </c>
      <c r="V587" t="str">
        <f>IF(B587&lt;=18,"Children",IF(B587&lt;=35,"Young adult",IF(B587&lt;=60,"Adult", "Senior Citizen")))</f>
        <v>Young adult</v>
      </c>
      <c r="W587" t="str">
        <f t="shared" si="63"/>
        <v>Aug</v>
      </c>
      <c r="X587">
        <f t="shared" si="64"/>
        <v>8</v>
      </c>
      <c r="Y587" t="str">
        <f t="shared" si="65"/>
        <v>Q3</v>
      </c>
      <c r="Z587">
        <f t="shared" si="66"/>
        <v>2026</v>
      </c>
      <c r="AA587" t="str">
        <f t="shared" si="67"/>
        <v>Sunday</v>
      </c>
      <c r="AB587">
        <f t="shared" si="68"/>
        <v>-40</v>
      </c>
      <c r="AC587" t="str">
        <f>IF(OR(D587="Heart Disease",D587="Cancer",D587="Stroke"),"High",IF(OR(D587="Diabetes",D587="Asthma"),"Medium","Low"))</f>
        <v>Low</v>
      </c>
      <c r="AD587" t="str">
        <f t="shared" si="69"/>
        <v>No</v>
      </c>
      <c r="AE587" t="str">
        <f>IF(G587&lt;=2,"Short Stay", IF(G587&lt;=7,"Normal Stay", "Long Stay"))</f>
        <v>Long Stay</v>
      </c>
      <c r="AF587" t="str">
        <f>IF(F587&gt;60000,"Expensive",IF(F587&gt;30000,"Moderate","Affordable"))</f>
        <v>Affordable</v>
      </c>
      <c r="AG587" t="str">
        <f>IF(J587&gt;=4.5,"Excellent",IF(J587&gt;=3.5,"Good",IF(J587&gt;=2.5,"Average","Poor")))</f>
        <v>Excellent</v>
      </c>
      <c r="AH587" t="str">
        <f>IF(OR(TEXT(N587,"dddd")="Saturday",TEXT(N587,"dddd")="Sunday"),"Weekend","Weekday")</f>
        <v>Weekend</v>
      </c>
    </row>
    <row r="588" spans="1:34" x14ac:dyDescent="0.3">
      <c r="A588">
        <v>596</v>
      </c>
      <c r="B588">
        <v>52</v>
      </c>
      <c r="C588" t="s">
        <v>21</v>
      </c>
      <c r="D588" t="s">
        <v>94</v>
      </c>
      <c r="E588" t="s">
        <v>95</v>
      </c>
      <c r="F588">
        <v>800</v>
      </c>
      <c r="G588">
        <v>41</v>
      </c>
      <c r="H588" t="s">
        <v>24</v>
      </c>
      <c r="I588" t="s">
        <v>39</v>
      </c>
      <c r="J588">
        <v>4</v>
      </c>
      <c r="K588" t="s">
        <v>178</v>
      </c>
      <c r="L588" t="s">
        <v>1299</v>
      </c>
      <c r="M588" t="s">
        <v>1300</v>
      </c>
      <c r="N588" s="2">
        <v>46244</v>
      </c>
      <c r="O588" s="2">
        <v>46285</v>
      </c>
      <c r="P588" t="s">
        <v>29</v>
      </c>
      <c r="Q588" t="s">
        <v>71</v>
      </c>
      <c r="R588" t="s">
        <v>45</v>
      </c>
      <c r="S588" t="s">
        <v>110</v>
      </c>
      <c r="T588" t="s">
        <v>33</v>
      </c>
      <c r="U588" t="s">
        <v>78</v>
      </c>
      <c r="V588" t="str">
        <f>IF(B588&lt;=18,"Children",IF(B588&lt;=35,"Young adult",IF(B588&lt;=60,"Adult", "Senior Citizen")))</f>
        <v>Adult</v>
      </c>
      <c r="W588" t="str">
        <f t="shared" si="63"/>
        <v>Aug</v>
      </c>
      <c r="X588">
        <f t="shared" si="64"/>
        <v>8</v>
      </c>
      <c r="Y588" t="str">
        <f t="shared" si="65"/>
        <v>Q3</v>
      </c>
      <c r="Z588">
        <f t="shared" si="66"/>
        <v>2026</v>
      </c>
      <c r="AA588" t="str">
        <f t="shared" si="67"/>
        <v>Monday</v>
      </c>
      <c r="AB588">
        <f t="shared" si="68"/>
        <v>-41</v>
      </c>
      <c r="AC588" t="str">
        <f>IF(OR(D588="Heart Disease",D588="Cancer",D588="Stroke"),"High",IF(OR(D588="Diabetes",D588="Asthma"),"Medium","Low"))</f>
        <v>Low</v>
      </c>
      <c r="AD588" t="str">
        <f t="shared" si="69"/>
        <v>No</v>
      </c>
      <c r="AE588" t="str">
        <f>IF(G588&lt;=2,"Short Stay", IF(G588&lt;=7,"Normal Stay", "Long Stay"))</f>
        <v>Long Stay</v>
      </c>
      <c r="AF588" t="str">
        <f>IF(F588&gt;60000,"Expensive",IF(F588&gt;30000,"Moderate","Affordable"))</f>
        <v>Affordable</v>
      </c>
      <c r="AG588" t="str">
        <f>IF(J588&gt;=4.5,"Excellent",IF(J588&gt;=3.5,"Good",IF(J588&gt;=2.5,"Average","Poor")))</f>
        <v>Good</v>
      </c>
      <c r="AH588" t="str">
        <f>IF(OR(TEXT(N588,"dddd")="Saturday",TEXT(N588,"dddd")="Sunday"),"Weekend","Weekday")</f>
        <v>Weekday</v>
      </c>
    </row>
    <row r="589" spans="1:34" x14ac:dyDescent="0.3">
      <c r="A589">
        <v>597</v>
      </c>
      <c r="B589">
        <v>67</v>
      </c>
      <c r="C589" t="s">
        <v>35</v>
      </c>
      <c r="D589" t="s">
        <v>99</v>
      </c>
      <c r="E589" t="s">
        <v>100</v>
      </c>
      <c r="F589">
        <v>20000</v>
      </c>
      <c r="G589">
        <v>48</v>
      </c>
      <c r="H589" t="s">
        <v>24</v>
      </c>
      <c r="I589" t="s">
        <v>25</v>
      </c>
      <c r="J589">
        <v>3</v>
      </c>
      <c r="K589" t="s">
        <v>187</v>
      </c>
      <c r="L589" t="s">
        <v>1301</v>
      </c>
      <c r="M589" t="s">
        <v>1302</v>
      </c>
      <c r="N589" s="2">
        <v>46245</v>
      </c>
      <c r="O589" s="2">
        <v>46293</v>
      </c>
      <c r="P589" t="s">
        <v>43</v>
      </c>
      <c r="Q589" t="s">
        <v>30</v>
      </c>
      <c r="R589" t="s">
        <v>45</v>
      </c>
      <c r="S589" t="s">
        <v>72</v>
      </c>
      <c r="T589" t="s">
        <v>33</v>
      </c>
      <c r="U589" t="s">
        <v>34</v>
      </c>
      <c r="V589" t="str">
        <f>IF(B589&lt;=18,"Children",IF(B589&lt;=35,"Young adult",IF(B589&lt;=60,"Adult", "Senior Citizen")))</f>
        <v>Senior Citizen</v>
      </c>
      <c r="W589" t="str">
        <f t="shared" si="63"/>
        <v>Aug</v>
      </c>
      <c r="X589">
        <f t="shared" si="64"/>
        <v>8</v>
      </c>
      <c r="Y589" t="str">
        <f t="shared" si="65"/>
        <v>Q3</v>
      </c>
      <c r="Z589">
        <f t="shared" si="66"/>
        <v>2026</v>
      </c>
      <c r="AA589" t="str">
        <f t="shared" si="67"/>
        <v>Tuesday</v>
      </c>
      <c r="AB589">
        <f t="shared" si="68"/>
        <v>-48</v>
      </c>
      <c r="AC589" t="str">
        <f>IF(OR(D589="Heart Disease",D589="Cancer",D589="Stroke"),"High",IF(OR(D589="Diabetes",D589="Asthma"),"Medium","Low"))</f>
        <v>Low</v>
      </c>
      <c r="AD589" t="str">
        <f t="shared" si="69"/>
        <v>No</v>
      </c>
      <c r="AE589" t="str">
        <f>IF(G589&lt;=2,"Short Stay", IF(G589&lt;=7,"Normal Stay", "Long Stay"))</f>
        <v>Long Stay</v>
      </c>
      <c r="AF589" t="str">
        <f>IF(F589&gt;60000,"Expensive",IF(F589&gt;30000,"Moderate","Affordable"))</f>
        <v>Affordable</v>
      </c>
      <c r="AG589" t="str">
        <f>IF(J589&gt;=4.5,"Excellent",IF(J589&gt;=3.5,"Good",IF(J589&gt;=2.5,"Average","Poor")))</f>
        <v>Average</v>
      </c>
      <c r="AH589" t="str">
        <f>IF(OR(TEXT(N589,"dddd")="Saturday",TEXT(N589,"dddd")="Sunday"),"Weekend","Weekday")</f>
        <v>Weekday</v>
      </c>
    </row>
    <row r="590" spans="1:34" x14ac:dyDescent="0.3">
      <c r="A590">
        <v>598</v>
      </c>
      <c r="B590">
        <v>35</v>
      </c>
      <c r="C590" t="s">
        <v>21</v>
      </c>
      <c r="D590" t="s">
        <v>105</v>
      </c>
      <c r="E590" t="s">
        <v>106</v>
      </c>
      <c r="F590">
        <v>12000</v>
      </c>
      <c r="G590">
        <v>42</v>
      </c>
      <c r="H590" t="s">
        <v>24</v>
      </c>
      <c r="I590" t="s">
        <v>25</v>
      </c>
      <c r="J590">
        <v>4</v>
      </c>
      <c r="K590" t="s">
        <v>482</v>
      </c>
      <c r="L590" t="s">
        <v>1303</v>
      </c>
      <c r="M590" t="s">
        <v>1304</v>
      </c>
      <c r="N590" s="2">
        <v>46246</v>
      </c>
      <c r="O590" s="2">
        <v>46288</v>
      </c>
      <c r="P590" t="s">
        <v>29</v>
      </c>
      <c r="Q590" t="s">
        <v>30</v>
      </c>
      <c r="R590" t="s">
        <v>45</v>
      </c>
      <c r="S590" t="s">
        <v>72</v>
      </c>
      <c r="T590" t="s">
        <v>33</v>
      </c>
      <c r="U590" t="s">
        <v>34</v>
      </c>
      <c r="V590" t="str">
        <f>IF(B590&lt;=18,"Children",IF(B590&lt;=35,"Young adult",IF(B590&lt;=60,"Adult", "Senior Citizen")))</f>
        <v>Young adult</v>
      </c>
      <c r="W590" t="str">
        <f t="shared" si="63"/>
        <v>Aug</v>
      </c>
      <c r="X590">
        <f t="shared" si="64"/>
        <v>8</v>
      </c>
      <c r="Y590" t="str">
        <f t="shared" si="65"/>
        <v>Q3</v>
      </c>
      <c r="Z590">
        <f t="shared" si="66"/>
        <v>2026</v>
      </c>
      <c r="AA590" t="str">
        <f t="shared" si="67"/>
        <v>Wednesday</v>
      </c>
      <c r="AB590">
        <f t="shared" si="68"/>
        <v>-42</v>
      </c>
      <c r="AC590" t="str">
        <f>IF(OR(D590="Heart Disease",D590="Cancer",D590="Stroke"),"High",IF(OR(D590="Diabetes",D590="Asthma"),"Medium","Low"))</f>
        <v>Low</v>
      </c>
      <c r="AD590" t="str">
        <f t="shared" si="69"/>
        <v>No</v>
      </c>
      <c r="AE590" t="str">
        <f>IF(G590&lt;=2,"Short Stay", IF(G590&lt;=7,"Normal Stay", "Long Stay"))</f>
        <v>Long Stay</v>
      </c>
      <c r="AF590" t="str">
        <f>IF(F590&gt;60000,"Expensive",IF(F590&gt;30000,"Moderate","Affordable"))</f>
        <v>Affordable</v>
      </c>
      <c r="AG590" t="str">
        <f>IF(J590&gt;=4.5,"Excellent",IF(J590&gt;=3.5,"Good",IF(J590&gt;=2.5,"Average","Poor")))</f>
        <v>Good</v>
      </c>
      <c r="AH590" t="str">
        <f>IF(OR(TEXT(N590,"dddd")="Saturday",TEXT(N590,"dddd")="Sunday"),"Weekend","Weekday")</f>
        <v>Weekday</v>
      </c>
    </row>
    <row r="591" spans="1:34" x14ac:dyDescent="0.3">
      <c r="A591">
        <v>599</v>
      </c>
      <c r="B591">
        <v>50</v>
      </c>
      <c r="C591" t="s">
        <v>35</v>
      </c>
      <c r="D591" t="s">
        <v>111</v>
      </c>
      <c r="E591" t="s">
        <v>112</v>
      </c>
      <c r="F591">
        <v>6000</v>
      </c>
      <c r="G591">
        <v>43</v>
      </c>
      <c r="H591" t="s">
        <v>24</v>
      </c>
      <c r="I591" t="s">
        <v>25</v>
      </c>
      <c r="J591">
        <v>3</v>
      </c>
      <c r="K591" t="s">
        <v>281</v>
      </c>
      <c r="L591" t="s">
        <v>1305</v>
      </c>
      <c r="M591" t="s">
        <v>1306</v>
      </c>
      <c r="N591" s="2">
        <v>46247</v>
      </c>
      <c r="O591" s="2">
        <v>46290</v>
      </c>
      <c r="P591" t="s">
        <v>29</v>
      </c>
      <c r="Q591" t="s">
        <v>52</v>
      </c>
      <c r="R591" t="s">
        <v>45</v>
      </c>
      <c r="S591" t="s">
        <v>77</v>
      </c>
      <c r="T591" t="s">
        <v>33</v>
      </c>
      <c r="U591" t="s">
        <v>104</v>
      </c>
      <c r="V591" t="str">
        <f>IF(B591&lt;=18,"Children",IF(B591&lt;=35,"Young adult",IF(B591&lt;=60,"Adult", "Senior Citizen")))</f>
        <v>Adult</v>
      </c>
      <c r="W591" t="str">
        <f t="shared" si="63"/>
        <v>Aug</v>
      </c>
      <c r="X591">
        <f t="shared" si="64"/>
        <v>8</v>
      </c>
      <c r="Y591" t="str">
        <f t="shared" si="65"/>
        <v>Q3</v>
      </c>
      <c r="Z591">
        <f t="shared" si="66"/>
        <v>2026</v>
      </c>
      <c r="AA591" t="str">
        <f t="shared" si="67"/>
        <v>Thursday</v>
      </c>
      <c r="AB591">
        <f t="shared" si="68"/>
        <v>-43</v>
      </c>
      <c r="AC591" t="str">
        <f>IF(OR(D591="Heart Disease",D591="Cancer",D591="Stroke"),"High",IF(OR(D591="Diabetes",D591="Asthma"),"Medium","Low"))</f>
        <v>Low</v>
      </c>
      <c r="AD591" t="str">
        <f t="shared" si="69"/>
        <v>No</v>
      </c>
      <c r="AE591" t="str">
        <f>IF(G591&lt;=2,"Short Stay", IF(G591&lt;=7,"Normal Stay", "Long Stay"))</f>
        <v>Long Stay</v>
      </c>
      <c r="AF591" t="str">
        <f>IF(F591&gt;60000,"Expensive",IF(F591&gt;30000,"Moderate","Affordable"))</f>
        <v>Affordable</v>
      </c>
      <c r="AG591" t="str">
        <f>IF(J591&gt;=4.5,"Excellent",IF(J591&gt;=3.5,"Good",IF(J591&gt;=2.5,"Average","Poor")))</f>
        <v>Average</v>
      </c>
      <c r="AH591" t="str">
        <f>IF(OR(TEXT(N591,"dddd")="Saturday",TEXT(N591,"dddd")="Sunday"),"Weekend","Weekday")</f>
        <v>Weekday</v>
      </c>
    </row>
    <row r="592" spans="1:34" x14ac:dyDescent="0.3">
      <c r="A592">
        <v>601</v>
      </c>
      <c r="B592">
        <v>48</v>
      </c>
      <c r="C592" t="s">
        <v>21</v>
      </c>
      <c r="D592" t="s">
        <v>22</v>
      </c>
      <c r="E592" t="s">
        <v>23</v>
      </c>
      <c r="F592">
        <v>15000</v>
      </c>
      <c r="G592">
        <v>45</v>
      </c>
      <c r="H592" t="s">
        <v>38</v>
      </c>
      <c r="I592" t="s">
        <v>25</v>
      </c>
      <c r="J592">
        <v>4</v>
      </c>
      <c r="K592" t="s">
        <v>81</v>
      </c>
      <c r="L592" t="s">
        <v>1307</v>
      </c>
      <c r="M592" t="s">
        <v>1308</v>
      </c>
      <c r="N592" s="2">
        <v>46248</v>
      </c>
      <c r="O592" s="2">
        <v>46293</v>
      </c>
      <c r="P592" t="s">
        <v>29</v>
      </c>
      <c r="Q592" t="s">
        <v>139</v>
      </c>
      <c r="R592" t="s">
        <v>31</v>
      </c>
      <c r="S592" t="s">
        <v>72</v>
      </c>
      <c r="T592" t="s">
        <v>33</v>
      </c>
      <c r="U592" t="s">
        <v>104</v>
      </c>
      <c r="V592" t="str">
        <f>IF(B592&lt;=18,"Children",IF(B592&lt;=35,"Young adult",IF(B592&lt;=60,"Adult", "Senior Citizen")))</f>
        <v>Adult</v>
      </c>
      <c r="W592" t="str">
        <f t="shared" si="63"/>
        <v>Aug</v>
      </c>
      <c r="X592">
        <f t="shared" si="64"/>
        <v>8</v>
      </c>
      <c r="Y592" t="str">
        <f t="shared" si="65"/>
        <v>Q3</v>
      </c>
      <c r="Z592">
        <f t="shared" si="66"/>
        <v>2026</v>
      </c>
      <c r="AA592" t="str">
        <f t="shared" si="67"/>
        <v>Friday</v>
      </c>
      <c r="AB592">
        <f t="shared" si="68"/>
        <v>-45</v>
      </c>
      <c r="AC592" t="str">
        <f>IF(OR(D592="Heart Disease",D592="Cancer",D592="Stroke"),"High",IF(OR(D592="Diabetes",D592="Asthma"),"Medium","Low"))</f>
        <v>High</v>
      </c>
      <c r="AD592" t="str">
        <f t="shared" si="69"/>
        <v>Yes</v>
      </c>
      <c r="AE592" t="str">
        <f>IF(G592&lt;=2,"Short Stay", IF(G592&lt;=7,"Normal Stay", "Long Stay"))</f>
        <v>Long Stay</v>
      </c>
      <c r="AF592" t="str">
        <f>IF(F592&gt;60000,"Expensive",IF(F592&gt;30000,"Moderate","Affordable"))</f>
        <v>Affordable</v>
      </c>
      <c r="AG592" t="str">
        <f>IF(J592&gt;=4.5,"Excellent",IF(J592&gt;=3.5,"Good",IF(J592&gt;=2.5,"Average","Poor")))</f>
        <v>Good</v>
      </c>
      <c r="AH592" t="str">
        <f>IF(OR(TEXT(N592,"dddd")="Saturday",TEXT(N592,"dddd")="Sunday"),"Weekend","Weekday")</f>
        <v>Weekday</v>
      </c>
    </row>
    <row r="593" spans="1:34" x14ac:dyDescent="0.3">
      <c r="A593">
        <v>602</v>
      </c>
      <c r="B593">
        <v>65</v>
      </c>
      <c r="C593" t="s">
        <v>35</v>
      </c>
      <c r="D593" t="s">
        <v>36</v>
      </c>
      <c r="E593" t="s">
        <v>37</v>
      </c>
      <c r="F593">
        <v>2000</v>
      </c>
      <c r="G593">
        <v>43</v>
      </c>
      <c r="H593" t="s">
        <v>24</v>
      </c>
      <c r="I593" t="s">
        <v>39</v>
      </c>
      <c r="J593">
        <v>3</v>
      </c>
      <c r="K593" t="s">
        <v>26</v>
      </c>
      <c r="L593" t="s">
        <v>1309</v>
      </c>
      <c r="M593" t="s">
        <v>1310</v>
      </c>
      <c r="N593" s="2">
        <v>46249</v>
      </c>
      <c r="O593" s="2">
        <v>46292</v>
      </c>
      <c r="P593" t="s">
        <v>29</v>
      </c>
      <c r="Q593" t="s">
        <v>71</v>
      </c>
      <c r="R593" t="s">
        <v>45</v>
      </c>
      <c r="S593" t="s">
        <v>53</v>
      </c>
      <c r="T593" t="s">
        <v>33</v>
      </c>
      <c r="U593" t="s">
        <v>46</v>
      </c>
      <c r="V593" t="str">
        <f>IF(B593&lt;=18,"Children",IF(B593&lt;=35,"Young adult",IF(B593&lt;=60,"Adult", "Senior Citizen")))</f>
        <v>Senior Citizen</v>
      </c>
      <c r="W593" t="str">
        <f t="shared" si="63"/>
        <v>Aug</v>
      </c>
      <c r="X593">
        <f t="shared" si="64"/>
        <v>8</v>
      </c>
      <c r="Y593" t="str">
        <f t="shared" si="65"/>
        <v>Q3</v>
      </c>
      <c r="Z593">
        <f t="shared" si="66"/>
        <v>2026</v>
      </c>
      <c r="AA593" t="str">
        <f t="shared" si="67"/>
        <v>Saturday</v>
      </c>
      <c r="AB593">
        <f t="shared" si="68"/>
        <v>-43</v>
      </c>
      <c r="AC593" t="str">
        <f>IF(OR(D593="Heart Disease",D593="Cancer",D593="Stroke"),"High",IF(OR(D593="Diabetes",D593="Asthma"),"Medium","Low"))</f>
        <v>Medium</v>
      </c>
      <c r="AD593" t="str">
        <f t="shared" si="69"/>
        <v>No</v>
      </c>
      <c r="AE593" t="str">
        <f>IF(G593&lt;=2,"Short Stay", IF(G593&lt;=7,"Normal Stay", "Long Stay"))</f>
        <v>Long Stay</v>
      </c>
      <c r="AF593" t="str">
        <f>IF(F593&gt;60000,"Expensive",IF(F593&gt;30000,"Moderate","Affordable"))</f>
        <v>Affordable</v>
      </c>
      <c r="AG593" t="str">
        <f>IF(J593&gt;=4.5,"Excellent",IF(J593&gt;=3.5,"Good",IF(J593&gt;=2.5,"Average","Poor")))</f>
        <v>Average</v>
      </c>
      <c r="AH593" t="str">
        <f>IF(OR(TEXT(N593,"dddd")="Saturday",TEXT(N593,"dddd")="Sunday"),"Weekend","Weekday")</f>
        <v>Weekend</v>
      </c>
    </row>
    <row r="594" spans="1:34" x14ac:dyDescent="0.3">
      <c r="A594">
        <v>603</v>
      </c>
      <c r="B594">
        <v>30</v>
      </c>
      <c r="C594" t="s">
        <v>21</v>
      </c>
      <c r="D594" t="s">
        <v>47</v>
      </c>
      <c r="E594" t="s">
        <v>48</v>
      </c>
      <c r="F594">
        <v>500</v>
      </c>
      <c r="G594">
        <v>41</v>
      </c>
      <c r="H594" t="s">
        <v>24</v>
      </c>
      <c r="I594" t="s">
        <v>25</v>
      </c>
      <c r="J594">
        <v>5</v>
      </c>
      <c r="K594" t="s">
        <v>223</v>
      </c>
      <c r="L594" t="s">
        <v>1311</v>
      </c>
      <c r="M594" t="s">
        <v>1312</v>
      </c>
      <c r="N594" s="2">
        <v>46250</v>
      </c>
      <c r="O594" s="2">
        <v>46291</v>
      </c>
      <c r="P594" t="s">
        <v>29</v>
      </c>
      <c r="Q594" t="s">
        <v>30</v>
      </c>
      <c r="R594" t="s">
        <v>45</v>
      </c>
      <c r="S594" t="s">
        <v>77</v>
      </c>
      <c r="T594" t="s">
        <v>33</v>
      </c>
      <c r="U594" t="s">
        <v>104</v>
      </c>
      <c r="V594" t="str">
        <f>IF(B594&lt;=18,"Children",IF(B594&lt;=35,"Young adult",IF(B594&lt;=60,"Adult", "Senior Citizen")))</f>
        <v>Young adult</v>
      </c>
      <c r="W594" t="str">
        <f t="shared" si="63"/>
        <v>Aug</v>
      </c>
      <c r="X594">
        <f t="shared" si="64"/>
        <v>8</v>
      </c>
      <c r="Y594" t="str">
        <f t="shared" si="65"/>
        <v>Q3</v>
      </c>
      <c r="Z594">
        <f t="shared" si="66"/>
        <v>2026</v>
      </c>
      <c r="AA594" t="str">
        <f t="shared" si="67"/>
        <v>Sunday</v>
      </c>
      <c r="AB594">
        <f t="shared" si="68"/>
        <v>-41</v>
      </c>
      <c r="AC594" t="str">
        <f>IF(OR(D594="Heart Disease",D594="Cancer",D594="Stroke"),"High",IF(OR(D594="Diabetes",D594="Asthma"),"Medium","Low"))</f>
        <v>Low</v>
      </c>
      <c r="AD594" t="str">
        <f t="shared" si="69"/>
        <v>No</v>
      </c>
      <c r="AE594" t="str">
        <f>IF(G594&lt;=2,"Short Stay", IF(G594&lt;=7,"Normal Stay", "Long Stay"))</f>
        <v>Long Stay</v>
      </c>
      <c r="AF594" t="str">
        <f>IF(F594&gt;60000,"Expensive",IF(F594&gt;30000,"Moderate","Affordable"))</f>
        <v>Affordable</v>
      </c>
      <c r="AG594" t="str">
        <f>IF(J594&gt;=4.5,"Excellent",IF(J594&gt;=3.5,"Good",IF(J594&gt;=2.5,"Average","Poor")))</f>
        <v>Excellent</v>
      </c>
      <c r="AH594" t="str">
        <f>IF(OR(TEXT(N594,"dddd")="Saturday",TEXT(N594,"dddd")="Sunday"),"Weekend","Weekday")</f>
        <v>Weekend</v>
      </c>
    </row>
    <row r="595" spans="1:34" x14ac:dyDescent="0.3">
      <c r="A595">
        <v>604</v>
      </c>
      <c r="B595">
        <v>70</v>
      </c>
      <c r="C595" t="s">
        <v>35</v>
      </c>
      <c r="D595" t="s">
        <v>54</v>
      </c>
      <c r="E595" t="s">
        <v>55</v>
      </c>
      <c r="F595">
        <v>10000</v>
      </c>
      <c r="G595">
        <v>48</v>
      </c>
      <c r="H595" t="s">
        <v>38</v>
      </c>
      <c r="I595" t="s">
        <v>39</v>
      </c>
      <c r="J595">
        <v>2</v>
      </c>
      <c r="K595" t="s">
        <v>107</v>
      </c>
      <c r="L595" t="s">
        <v>1313</v>
      </c>
      <c r="M595" t="s">
        <v>1314</v>
      </c>
      <c r="N595" s="2">
        <v>46251</v>
      </c>
      <c r="O595" s="2">
        <v>46299</v>
      </c>
      <c r="P595" t="s">
        <v>43</v>
      </c>
      <c r="Q595" t="s">
        <v>71</v>
      </c>
      <c r="R595" t="s">
        <v>59</v>
      </c>
      <c r="S595" t="s">
        <v>32</v>
      </c>
      <c r="T595" t="s">
        <v>33</v>
      </c>
      <c r="U595" t="s">
        <v>78</v>
      </c>
      <c r="V595" t="str">
        <f>IF(B595&lt;=18,"Children",IF(B595&lt;=35,"Young adult",IF(B595&lt;=60,"Adult", "Senior Citizen")))</f>
        <v>Senior Citizen</v>
      </c>
      <c r="W595" t="str">
        <f t="shared" si="63"/>
        <v>Aug</v>
      </c>
      <c r="X595">
        <f t="shared" si="64"/>
        <v>8</v>
      </c>
      <c r="Y595" t="str">
        <f t="shared" si="65"/>
        <v>Q3</v>
      </c>
      <c r="Z595">
        <f t="shared" si="66"/>
        <v>2026</v>
      </c>
      <c r="AA595" t="str">
        <f t="shared" si="67"/>
        <v>Monday</v>
      </c>
      <c r="AB595">
        <f t="shared" si="68"/>
        <v>-48</v>
      </c>
      <c r="AC595" t="str">
        <f>IF(OR(D595="Heart Disease",D595="Cancer",D595="Stroke"),"High",IF(OR(D595="Diabetes",D595="Asthma"),"Medium","Low"))</f>
        <v>High</v>
      </c>
      <c r="AD595" t="str">
        <f t="shared" si="69"/>
        <v>Yes</v>
      </c>
      <c r="AE595" t="str">
        <f>IF(G595&lt;=2,"Short Stay", IF(G595&lt;=7,"Normal Stay", "Long Stay"))</f>
        <v>Long Stay</v>
      </c>
      <c r="AF595" t="str">
        <f>IF(F595&gt;60000,"Expensive",IF(F595&gt;30000,"Moderate","Affordable"))</f>
        <v>Affordable</v>
      </c>
      <c r="AG595" t="str">
        <f>IF(J595&gt;=4.5,"Excellent",IF(J595&gt;=3.5,"Good",IF(J595&gt;=2.5,"Average","Poor")))</f>
        <v>Poor</v>
      </c>
      <c r="AH595" t="str">
        <f>IF(OR(TEXT(N595,"dddd")="Saturday",TEXT(N595,"dddd")="Sunday"),"Weekend","Weekday")</f>
        <v>Weekday</v>
      </c>
    </row>
    <row r="596" spans="1:34" x14ac:dyDescent="0.3">
      <c r="A596">
        <v>605</v>
      </c>
      <c r="B596">
        <v>55</v>
      </c>
      <c r="C596" t="s">
        <v>21</v>
      </c>
      <c r="D596" t="s">
        <v>60</v>
      </c>
      <c r="E596" t="s">
        <v>61</v>
      </c>
      <c r="F596">
        <v>25000</v>
      </c>
      <c r="G596">
        <v>50</v>
      </c>
      <c r="H596" t="s">
        <v>24</v>
      </c>
      <c r="I596" t="s">
        <v>25</v>
      </c>
      <c r="J596">
        <v>4</v>
      </c>
      <c r="K596" t="s">
        <v>107</v>
      </c>
      <c r="L596" t="s">
        <v>1315</v>
      </c>
      <c r="M596" t="s">
        <v>1316</v>
      </c>
      <c r="N596" s="2">
        <v>46252</v>
      </c>
      <c r="O596" s="2">
        <v>46302</v>
      </c>
      <c r="P596" t="s">
        <v>29</v>
      </c>
      <c r="Q596" t="s">
        <v>52</v>
      </c>
      <c r="R596" t="s">
        <v>65</v>
      </c>
      <c r="S596" t="s">
        <v>84</v>
      </c>
      <c r="T596" t="s">
        <v>33</v>
      </c>
      <c r="U596" t="s">
        <v>78</v>
      </c>
      <c r="V596" t="str">
        <f>IF(B596&lt;=18,"Children",IF(B596&lt;=35,"Young adult",IF(B596&lt;=60,"Adult", "Senior Citizen")))</f>
        <v>Adult</v>
      </c>
      <c r="W596" t="str">
        <f t="shared" si="63"/>
        <v>Aug</v>
      </c>
      <c r="X596">
        <f t="shared" si="64"/>
        <v>8</v>
      </c>
      <c r="Y596" t="str">
        <f t="shared" si="65"/>
        <v>Q3</v>
      </c>
      <c r="Z596">
        <f t="shared" si="66"/>
        <v>2026</v>
      </c>
      <c r="AA596" t="str">
        <f t="shared" si="67"/>
        <v>Tuesday</v>
      </c>
      <c r="AB596">
        <f t="shared" si="68"/>
        <v>-50</v>
      </c>
      <c r="AC596" t="str">
        <f>IF(OR(D596="Heart Disease",D596="Cancer",D596="Stroke"),"High",IF(OR(D596="Diabetes",D596="Asthma"),"Medium","Low"))</f>
        <v>High</v>
      </c>
      <c r="AD596" t="str">
        <f t="shared" si="69"/>
        <v>Yes</v>
      </c>
      <c r="AE596" t="str">
        <f>IF(G596&lt;=2,"Short Stay", IF(G596&lt;=7,"Normal Stay", "Long Stay"))</f>
        <v>Long Stay</v>
      </c>
      <c r="AF596" t="str">
        <f>IF(F596&gt;60000,"Expensive",IF(F596&gt;30000,"Moderate","Affordable"))</f>
        <v>Affordable</v>
      </c>
      <c r="AG596" t="str">
        <f>IF(J596&gt;=4.5,"Excellent",IF(J596&gt;=3.5,"Good",IF(J596&gt;=2.5,"Average","Poor")))</f>
        <v>Good</v>
      </c>
      <c r="AH596" t="str">
        <f>IF(OR(TEXT(N596,"dddd")="Saturday",TEXT(N596,"dddd")="Sunday"),"Weekend","Weekday")</f>
        <v>Weekday</v>
      </c>
    </row>
    <row r="597" spans="1:34" x14ac:dyDescent="0.3">
      <c r="A597">
        <v>606</v>
      </c>
      <c r="B597">
        <v>68</v>
      </c>
      <c r="C597" t="s">
        <v>35</v>
      </c>
      <c r="D597" t="s">
        <v>66</v>
      </c>
      <c r="E597" t="s">
        <v>67</v>
      </c>
      <c r="F597">
        <v>1000</v>
      </c>
      <c r="G597">
        <v>44</v>
      </c>
      <c r="H597" t="s">
        <v>24</v>
      </c>
      <c r="I597" t="s">
        <v>39</v>
      </c>
      <c r="J597">
        <v>4</v>
      </c>
      <c r="K597" t="s">
        <v>113</v>
      </c>
      <c r="L597" t="s">
        <v>1317</v>
      </c>
      <c r="M597" t="s">
        <v>1318</v>
      </c>
      <c r="N597" s="2">
        <v>46253</v>
      </c>
      <c r="O597" s="2">
        <v>46297</v>
      </c>
      <c r="P597" t="s">
        <v>43</v>
      </c>
      <c r="Q597" t="s">
        <v>52</v>
      </c>
      <c r="R597" t="s">
        <v>45</v>
      </c>
      <c r="S597" t="s">
        <v>32</v>
      </c>
      <c r="T597" t="s">
        <v>33</v>
      </c>
      <c r="U597" t="s">
        <v>78</v>
      </c>
      <c r="V597" t="str">
        <f>IF(B597&lt;=18,"Children",IF(B597&lt;=35,"Young adult",IF(B597&lt;=60,"Adult", "Senior Citizen")))</f>
        <v>Senior Citizen</v>
      </c>
      <c r="W597" t="str">
        <f t="shared" si="63"/>
        <v>Aug</v>
      </c>
      <c r="X597">
        <f t="shared" si="64"/>
        <v>8</v>
      </c>
      <c r="Y597" t="str">
        <f t="shared" si="65"/>
        <v>Q3</v>
      </c>
      <c r="Z597">
        <f t="shared" si="66"/>
        <v>2026</v>
      </c>
      <c r="AA597" t="str">
        <f t="shared" si="67"/>
        <v>Wednesday</v>
      </c>
      <c r="AB597">
        <f t="shared" si="68"/>
        <v>-44</v>
      </c>
      <c r="AC597" t="str">
        <f>IF(OR(D597="Heart Disease",D597="Cancer",D597="Stroke"),"High",IF(OR(D597="Diabetes",D597="Asthma"),"Medium","Low"))</f>
        <v>Low</v>
      </c>
      <c r="AD597" t="str">
        <f t="shared" si="69"/>
        <v>No</v>
      </c>
      <c r="AE597" t="str">
        <f>IF(G597&lt;=2,"Short Stay", IF(G597&lt;=7,"Normal Stay", "Long Stay"))</f>
        <v>Long Stay</v>
      </c>
      <c r="AF597" t="str">
        <f>IF(F597&gt;60000,"Expensive",IF(F597&gt;30000,"Moderate","Affordable"))</f>
        <v>Affordable</v>
      </c>
      <c r="AG597" t="str">
        <f>IF(J597&gt;=4.5,"Excellent",IF(J597&gt;=3.5,"Good",IF(J597&gt;=2.5,"Average","Poor")))</f>
        <v>Good</v>
      </c>
      <c r="AH597" t="str">
        <f>IF(OR(TEXT(N597,"dddd")="Saturday",TEXT(N597,"dddd")="Sunday"),"Weekend","Weekday")</f>
        <v>Weekday</v>
      </c>
    </row>
    <row r="598" spans="1:34" x14ac:dyDescent="0.3">
      <c r="A598">
        <v>607</v>
      </c>
      <c r="B598">
        <v>45</v>
      </c>
      <c r="C598" t="s">
        <v>21</v>
      </c>
      <c r="D598" t="s">
        <v>73</v>
      </c>
      <c r="E598" t="s">
        <v>74</v>
      </c>
      <c r="F598">
        <v>8000</v>
      </c>
      <c r="G598">
        <v>46</v>
      </c>
      <c r="H598" t="s">
        <v>24</v>
      </c>
      <c r="I598" t="s">
        <v>25</v>
      </c>
      <c r="J598">
        <v>3</v>
      </c>
      <c r="K598" t="s">
        <v>380</v>
      </c>
      <c r="L598" t="s">
        <v>1319</v>
      </c>
      <c r="M598" t="s">
        <v>1320</v>
      </c>
      <c r="N598" s="2">
        <v>46254</v>
      </c>
      <c r="O598" s="2">
        <v>46300</v>
      </c>
      <c r="P598" t="s">
        <v>43</v>
      </c>
      <c r="Q598" t="s">
        <v>30</v>
      </c>
      <c r="R598" t="s">
        <v>45</v>
      </c>
      <c r="S598" t="s">
        <v>32</v>
      </c>
      <c r="T598" t="s">
        <v>33</v>
      </c>
      <c r="U598" t="s">
        <v>46</v>
      </c>
      <c r="V598" t="str">
        <f>IF(B598&lt;=18,"Children",IF(B598&lt;=35,"Young adult",IF(B598&lt;=60,"Adult", "Senior Citizen")))</f>
        <v>Adult</v>
      </c>
      <c r="W598" t="str">
        <f t="shared" si="63"/>
        <v>Aug</v>
      </c>
      <c r="X598">
        <f t="shared" si="64"/>
        <v>8</v>
      </c>
      <c r="Y598" t="str">
        <f t="shared" si="65"/>
        <v>Q3</v>
      </c>
      <c r="Z598">
        <f t="shared" si="66"/>
        <v>2026</v>
      </c>
      <c r="AA598" t="str">
        <f t="shared" si="67"/>
        <v>Thursday</v>
      </c>
      <c r="AB598">
        <f t="shared" si="68"/>
        <v>-46</v>
      </c>
      <c r="AC598" t="str">
        <f>IF(OR(D598="Heart Disease",D598="Cancer",D598="Stroke"),"High",IF(OR(D598="Diabetes",D598="Asthma"),"Medium","Low"))</f>
        <v>Low</v>
      </c>
      <c r="AD598" t="str">
        <f t="shared" si="69"/>
        <v>No</v>
      </c>
      <c r="AE598" t="str">
        <f>IF(G598&lt;=2,"Short Stay", IF(G598&lt;=7,"Normal Stay", "Long Stay"))</f>
        <v>Long Stay</v>
      </c>
      <c r="AF598" t="str">
        <f>IF(F598&gt;60000,"Expensive",IF(F598&gt;30000,"Moderate","Affordable"))</f>
        <v>Affordable</v>
      </c>
      <c r="AG598" t="str">
        <f>IF(J598&gt;=4.5,"Excellent",IF(J598&gt;=3.5,"Good",IF(J598&gt;=2.5,"Average","Poor")))</f>
        <v>Average</v>
      </c>
      <c r="AH598" t="str">
        <f>IF(OR(TEXT(N598,"dddd")="Saturday",TEXT(N598,"dddd")="Sunday"),"Weekend","Weekday")</f>
        <v>Weekday</v>
      </c>
    </row>
    <row r="599" spans="1:34" x14ac:dyDescent="0.3">
      <c r="A599">
        <v>608</v>
      </c>
      <c r="B599">
        <v>40</v>
      </c>
      <c r="C599" t="s">
        <v>35</v>
      </c>
      <c r="D599" t="s">
        <v>79</v>
      </c>
      <c r="E599" t="s">
        <v>80</v>
      </c>
      <c r="F599">
        <v>3000</v>
      </c>
      <c r="G599">
        <v>46</v>
      </c>
      <c r="H599" t="s">
        <v>24</v>
      </c>
      <c r="I599" t="s">
        <v>25</v>
      </c>
      <c r="J599">
        <v>4</v>
      </c>
      <c r="K599" t="s">
        <v>482</v>
      </c>
      <c r="L599" t="s">
        <v>1321</v>
      </c>
      <c r="M599" t="s">
        <v>1322</v>
      </c>
      <c r="N599" s="2">
        <v>46255</v>
      </c>
      <c r="O599" s="2">
        <v>46301</v>
      </c>
      <c r="P599" t="s">
        <v>29</v>
      </c>
      <c r="Q599" t="s">
        <v>71</v>
      </c>
      <c r="R599" t="s">
        <v>45</v>
      </c>
      <c r="S599" t="s">
        <v>72</v>
      </c>
      <c r="T599" t="s">
        <v>33</v>
      </c>
      <c r="U599" t="s">
        <v>34</v>
      </c>
      <c r="V599" t="str">
        <f>IF(B599&lt;=18,"Children",IF(B599&lt;=35,"Young adult",IF(B599&lt;=60,"Adult", "Senior Citizen")))</f>
        <v>Adult</v>
      </c>
      <c r="W599" t="str">
        <f t="shared" si="63"/>
        <v>Aug</v>
      </c>
      <c r="X599">
        <f t="shared" si="64"/>
        <v>8</v>
      </c>
      <c r="Y599" t="str">
        <f t="shared" si="65"/>
        <v>Q3</v>
      </c>
      <c r="Z599">
        <f t="shared" si="66"/>
        <v>2026</v>
      </c>
      <c r="AA599" t="str">
        <f t="shared" si="67"/>
        <v>Friday</v>
      </c>
      <c r="AB599">
        <f t="shared" si="68"/>
        <v>-46</v>
      </c>
      <c r="AC599" t="str">
        <f>IF(OR(D599="Heart Disease",D599="Cancer",D599="Stroke"),"High",IF(OR(D599="Diabetes",D599="Asthma"),"Medium","Low"))</f>
        <v>Low</v>
      </c>
      <c r="AD599" t="str">
        <f t="shared" si="69"/>
        <v>No</v>
      </c>
      <c r="AE599" t="str">
        <f>IF(G599&lt;=2,"Short Stay", IF(G599&lt;=7,"Normal Stay", "Long Stay"))</f>
        <v>Long Stay</v>
      </c>
      <c r="AF599" t="str">
        <f>IF(F599&gt;60000,"Expensive",IF(F599&gt;30000,"Moderate","Affordable"))</f>
        <v>Affordable</v>
      </c>
      <c r="AG599" t="str">
        <f>IF(J599&gt;=4.5,"Excellent",IF(J599&gt;=3.5,"Good",IF(J599&gt;=2.5,"Average","Poor")))</f>
        <v>Good</v>
      </c>
      <c r="AH599" t="str">
        <f>IF(OR(TEXT(N599,"dddd")="Saturday",TEXT(N599,"dddd")="Sunday"),"Weekend","Weekday")</f>
        <v>Weekday</v>
      </c>
    </row>
    <row r="600" spans="1:34" x14ac:dyDescent="0.3">
      <c r="A600">
        <v>609</v>
      </c>
      <c r="B600">
        <v>78</v>
      </c>
      <c r="C600" t="s">
        <v>21</v>
      </c>
      <c r="D600" t="s">
        <v>85</v>
      </c>
      <c r="E600" t="s">
        <v>86</v>
      </c>
      <c r="F600">
        <v>18000</v>
      </c>
      <c r="G600">
        <v>48</v>
      </c>
      <c r="H600" t="s">
        <v>38</v>
      </c>
      <c r="I600" t="s">
        <v>39</v>
      </c>
      <c r="J600">
        <v>2</v>
      </c>
      <c r="K600" t="s">
        <v>197</v>
      </c>
      <c r="L600" t="s">
        <v>1323</v>
      </c>
      <c r="M600" t="s">
        <v>1324</v>
      </c>
      <c r="N600" s="2">
        <v>46256</v>
      </c>
      <c r="O600" s="2">
        <v>46304</v>
      </c>
      <c r="P600" t="s">
        <v>29</v>
      </c>
      <c r="Q600" t="s">
        <v>71</v>
      </c>
      <c r="R600" t="s">
        <v>45</v>
      </c>
      <c r="S600" t="s">
        <v>72</v>
      </c>
      <c r="T600" t="s">
        <v>33</v>
      </c>
      <c r="U600" t="s">
        <v>34</v>
      </c>
      <c r="V600" t="str">
        <f>IF(B600&lt;=18,"Children",IF(B600&lt;=35,"Young adult",IF(B600&lt;=60,"Adult", "Senior Citizen")))</f>
        <v>Senior Citizen</v>
      </c>
      <c r="W600" t="str">
        <f t="shared" si="63"/>
        <v>Aug</v>
      </c>
      <c r="X600">
        <f t="shared" si="64"/>
        <v>8</v>
      </c>
      <c r="Y600" t="str">
        <f t="shared" si="65"/>
        <v>Q3</v>
      </c>
      <c r="Z600">
        <f t="shared" si="66"/>
        <v>2026</v>
      </c>
      <c r="AA600" t="str">
        <f t="shared" si="67"/>
        <v>Saturday</v>
      </c>
      <c r="AB600">
        <f t="shared" si="68"/>
        <v>-48</v>
      </c>
      <c r="AC600" t="str">
        <f>IF(OR(D600="Heart Disease",D600="Cancer",D600="Stroke"),"High",IF(OR(D600="Diabetes",D600="Asthma"),"Medium","Low"))</f>
        <v>Low</v>
      </c>
      <c r="AD600" t="str">
        <f t="shared" si="69"/>
        <v>No</v>
      </c>
      <c r="AE600" t="str">
        <f>IF(G600&lt;=2,"Short Stay", IF(G600&lt;=7,"Normal Stay", "Long Stay"))</f>
        <v>Long Stay</v>
      </c>
      <c r="AF600" t="str">
        <f>IF(F600&gt;60000,"Expensive",IF(F600&gt;30000,"Moderate","Affordable"))</f>
        <v>Affordable</v>
      </c>
      <c r="AG600" t="str">
        <f>IF(J600&gt;=4.5,"Excellent",IF(J600&gt;=3.5,"Good",IF(J600&gt;=2.5,"Average","Poor")))</f>
        <v>Poor</v>
      </c>
      <c r="AH600" t="str">
        <f>IF(OR(TEXT(N600,"dddd")="Saturday",TEXT(N600,"dddd")="Sunday"),"Weekend","Weekday")</f>
        <v>Weekend</v>
      </c>
    </row>
    <row r="601" spans="1:34" x14ac:dyDescent="0.3">
      <c r="A601">
        <v>610</v>
      </c>
      <c r="B601">
        <v>25</v>
      </c>
      <c r="C601" t="s">
        <v>35</v>
      </c>
      <c r="D601" t="s">
        <v>89</v>
      </c>
      <c r="E601" t="s">
        <v>90</v>
      </c>
      <c r="F601">
        <v>100</v>
      </c>
      <c r="G601">
        <v>41</v>
      </c>
      <c r="H601" t="s">
        <v>24</v>
      </c>
      <c r="I601" t="s">
        <v>25</v>
      </c>
      <c r="J601">
        <v>5</v>
      </c>
      <c r="K601" t="s">
        <v>178</v>
      </c>
      <c r="L601" t="s">
        <v>1325</v>
      </c>
      <c r="M601" t="s">
        <v>1326</v>
      </c>
      <c r="N601" s="2">
        <v>46257</v>
      </c>
      <c r="O601" s="2">
        <v>46298</v>
      </c>
      <c r="P601" t="s">
        <v>43</v>
      </c>
      <c r="Q601" t="s">
        <v>71</v>
      </c>
      <c r="R601" t="s">
        <v>45</v>
      </c>
      <c r="S601" t="s">
        <v>77</v>
      </c>
      <c r="T601" t="s">
        <v>33</v>
      </c>
      <c r="U601" t="s">
        <v>34</v>
      </c>
      <c r="V601" t="str">
        <f>IF(B601&lt;=18,"Children",IF(B601&lt;=35,"Young adult",IF(B601&lt;=60,"Adult", "Senior Citizen")))</f>
        <v>Young adult</v>
      </c>
      <c r="W601" t="str">
        <f t="shared" si="63"/>
        <v>Aug</v>
      </c>
      <c r="X601">
        <f t="shared" si="64"/>
        <v>8</v>
      </c>
      <c r="Y601" t="str">
        <f t="shared" si="65"/>
        <v>Q3</v>
      </c>
      <c r="Z601">
        <f t="shared" si="66"/>
        <v>2026</v>
      </c>
      <c r="AA601" t="str">
        <f t="shared" si="67"/>
        <v>Sunday</v>
      </c>
      <c r="AB601">
        <f t="shared" si="68"/>
        <v>-41</v>
      </c>
      <c r="AC601" t="str">
        <f>IF(OR(D601="Heart Disease",D601="Cancer",D601="Stroke"),"High",IF(OR(D601="Diabetes",D601="Asthma"),"Medium","Low"))</f>
        <v>Low</v>
      </c>
      <c r="AD601" t="str">
        <f t="shared" si="69"/>
        <v>No</v>
      </c>
      <c r="AE601" t="str">
        <f>IF(G601&lt;=2,"Short Stay", IF(G601&lt;=7,"Normal Stay", "Long Stay"))</f>
        <v>Long Stay</v>
      </c>
      <c r="AF601" t="str">
        <f>IF(F601&gt;60000,"Expensive",IF(F601&gt;30000,"Moderate","Affordable"))</f>
        <v>Affordable</v>
      </c>
      <c r="AG601" t="str">
        <f>IF(J601&gt;=4.5,"Excellent",IF(J601&gt;=3.5,"Good",IF(J601&gt;=2.5,"Average","Poor")))</f>
        <v>Excellent</v>
      </c>
      <c r="AH601" t="str">
        <f>IF(OR(TEXT(N601,"dddd")="Saturday",TEXT(N601,"dddd")="Sunday"),"Weekend","Weekday")</f>
        <v>Weekend</v>
      </c>
    </row>
    <row r="602" spans="1:34" x14ac:dyDescent="0.3">
      <c r="A602">
        <v>611</v>
      </c>
      <c r="B602">
        <v>52</v>
      </c>
      <c r="C602" t="s">
        <v>21</v>
      </c>
      <c r="D602" t="s">
        <v>94</v>
      </c>
      <c r="E602" t="s">
        <v>95</v>
      </c>
      <c r="F602">
        <v>800</v>
      </c>
      <c r="G602">
        <v>42</v>
      </c>
      <c r="H602" t="s">
        <v>24</v>
      </c>
      <c r="I602" t="s">
        <v>39</v>
      </c>
      <c r="J602">
        <v>4</v>
      </c>
      <c r="K602" t="s">
        <v>194</v>
      </c>
      <c r="L602" t="s">
        <v>1327</v>
      </c>
      <c r="M602" t="s">
        <v>1328</v>
      </c>
      <c r="N602" s="2">
        <v>46258</v>
      </c>
      <c r="O602" s="2">
        <v>46300</v>
      </c>
      <c r="P602" t="s">
        <v>43</v>
      </c>
      <c r="Q602" t="s">
        <v>139</v>
      </c>
      <c r="R602" t="s">
        <v>45</v>
      </c>
      <c r="S602" t="s">
        <v>77</v>
      </c>
      <c r="T602" t="s">
        <v>33</v>
      </c>
      <c r="U602" t="s">
        <v>46</v>
      </c>
      <c r="V602" t="str">
        <f>IF(B602&lt;=18,"Children",IF(B602&lt;=35,"Young adult",IF(B602&lt;=60,"Adult", "Senior Citizen")))</f>
        <v>Adult</v>
      </c>
      <c r="W602" t="str">
        <f t="shared" si="63"/>
        <v>Aug</v>
      </c>
      <c r="X602">
        <f t="shared" si="64"/>
        <v>8</v>
      </c>
      <c r="Y602" t="str">
        <f t="shared" si="65"/>
        <v>Q3</v>
      </c>
      <c r="Z602">
        <f t="shared" si="66"/>
        <v>2026</v>
      </c>
      <c r="AA602" t="str">
        <f t="shared" si="67"/>
        <v>Monday</v>
      </c>
      <c r="AB602">
        <f t="shared" si="68"/>
        <v>-42</v>
      </c>
      <c r="AC602" t="str">
        <f>IF(OR(D602="Heart Disease",D602="Cancer",D602="Stroke"),"High",IF(OR(D602="Diabetes",D602="Asthma"),"Medium","Low"))</f>
        <v>Low</v>
      </c>
      <c r="AD602" t="str">
        <f t="shared" si="69"/>
        <v>No</v>
      </c>
      <c r="AE602" t="str">
        <f>IF(G602&lt;=2,"Short Stay", IF(G602&lt;=7,"Normal Stay", "Long Stay"))</f>
        <v>Long Stay</v>
      </c>
      <c r="AF602" t="str">
        <f>IF(F602&gt;60000,"Expensive",IF(F602&gt;30000,"Moderate","Affordable"))</f>
        <v>Affordable</v>
      </c>
      <c r="AG602" t="str">
        <f>IF(J602&gt;=4.5,"Excellent",IF(J602&gt;=3.5,"Good",IF(J602&gt;=2.5,"Average","Poor")))</f>
        <v>Good</v>
      </c>
      <c r="AH602" t="str">
        <f>IF(OR(TEXT(N602,"dddd")="Saturday",TEXT(N602,"dddd")="Sunday"),"Weekend","Weekday")</f>
        <v>Weekday</v>
      </c>
    </row>
    <row r="603" spans="1:34" x14ac:dyDescent="0.3">
      <c r="A603">
        <v>612</v>
      </c>
      <c r="B603">
        <v>58</v>
      </c>
      <c r="C603" t="s">
        <v>35</v>
      </c>
      <c r="D603" t="s">
        <v>99</v>
      </c>
      <c r="E603" t="s">
        <v>100</v>
      </c>
      <c r="F603">
        <v>20000</v>
      </c>
      <c r="G603">
        <v>49</v>
      </c>
      <c r="H603" t="s">
        <v>24</v>
      </c>
      <c r="I603" t="s">
        <v>25</v>
      </c>
      <c r="J603">
        <v>3</v>
      </c>
      <c r="K603" t="s">
        <v>175</v>
      </c>
      <c r="L603" t="s">
        <v>1329</v>
      </c>
      <c r="M603" t="s">
        <v>1330</v>
      </c>
      <c r="N603" s="2">
        <v>46259</v>
      </c>
      <c r="O603" s="2">
        <v>46308</v>
      </c>
      <c r="P603" t="s">
        <v>29</v>
      </c>
      <c r="Q603" t="s">
        <v>71</v>
      </c>
      <c r="R603" t="s">
        <v>45</v>
      </c>
      <c r="S603" t="s">
        <v>72</v>
      </c>
      <c r="T603" t="s">
        <v>33</v>
      </c>
      <c r="U603" t="s">
        <v>46</v>
      </c>
      <c r="V603" t="str">
        <f>IF(B603&lt;=18,"Children",IF(B603&lt;=35,"Young adult",IF(B603&lt;=60,"Adult", "Senior Citizen")))</f>
        <v>Adult</v>
      </c>
      <c r="W603" t="str">
        <f t="shared" si="63"/>
        <v>Aug</v>
      </c>
      <c r="X603">
        <f t="shared" si="64"/>
        <v>8</v>
      </c>
      <c r="Y603" t="str">
        <f t="shared" si="65"/>
        <v>Q3</v>
      </c>
      <c r="Z603">
        <f t="shared" si="66"/>
        <v>2026</v>
      </c>
      <c r="AA603" t="str">
        <f t="shared" si="67"/>
        <v>Tuesday</v>
      </c>
      <c r="AB603">
        <f t="shared" si="68"/>
        <v>-49</v>
      </c>
      <c r="AC603" t="str">
        <f>IF(OR(D603="Heart Disease",D603="Cancer",D603="Stroke"),"High",IF(OR(D603="Diabetes",D603="Asthma"),"Medium","Low"))</f>
        <v>Low</v>
      </c>
      <c r="AD603" t="str">
        <f t="shared" si="69"/>
        <v>No</v>
      </c>
      <c r="AE603" t="str">
        <f>IF(G603&lt;=2,"Short Stay", IF(G603&lt;=7,"Normal Stay", "Long Stay"))</f>
        <v>Long Stay</v>
      </c>
      <c r="AF603" t="str">
        <f>IF(F603&gt;60000,"Expensive",IF(F603&gt;30000,"Moderate","Affordable"))</f>
        <v>Affordable</v>
      </c>
      <c r="AG603" t="str">
        <f>IF(J603&gt;=4.5,"Excellent",IF(J603&gt;=3.5,"Good",IF(J603&gt;=2.5,"Average","Poor")))</f>
        <v>Average</v>
      </c>
      <c r="AH603" t="str">
        <f>IF(OR(TEXT(N603,"dddd")="Saturday",TEXT(N603,"dddd")="Sunday"),"Weekend","Weekday")</f>
        <v>Weekday</v>
      </c>
    </row>
    <row r="604" spans="1:34" x14ac:dyDescent="0.3">
      <c r="A604">
        <v>613</v>
      </c>
      <c r="B604">
        <v>32</v>
      </c>
      <c r="C604" t="s">
        <v>21</v>
      </c>
      <c r="D604" t="s">
        <v>105</v>
      </c>
      <c r="E604" t="s">
        <v>106</v>
      </c>
      <c r="F604">
        <v>12000</v>
      </c>
      <c r="G604">
        <v>43</v>
      </c>
      <c r="H604" t="s">
        <v>24</v>
      </c>
      <c r="I604" t="s">
        <v>25</v>
      </c>
      <c r="J604">
        <v>4</v>
      </c>
      <c r="K604" t="s">
        <v>482</v>
      </c>
      <c r="L604" t="s">
        <v>1331</v>
      </c>
      <c r="M604" t="s">
        <v>1332</v>
      </c>
      <c r="N604" s="2">
        <v>46260</v>
      </c>
      <c r="O604" s="2">
        <v>46303</v>
      </c>
      <c r="P604" t="s">
        <v>43</v>
      </c>
      <c r="Q604" t="s">
        <v>52</v>
      </c>
      <c r="R604" t="s">
        <v>45</v>
      </c>
      <c r="S604" t="s">
        <v>72</v>
      </c>
      <c r="T604" t="s">
        <v>33</v>
      </c>
      <c r="U604" t="s">
        <v>78</v>
      </c>
      <c r="V604" t="str">
        <f>IF(B604&lt;=18,"Children",IF(B604&lt;=35,"Young adult",IF(B604&lt;=60,"Adult", "Senior Citizen")))</f>
        <v>Young adult</v>
      </c>
      <c r="W604" t="str">
        <f t="shared" si="63"/>
        <v>Aug</v>
      </c>
      <c r="X604">
        <f t="shared" si="64"/>
        <v>8</v>
      </c>
      <c r="Y604" t="str">
        <f t="shared" si="65"/>
        <v>Q3</v>
      </c>
      <c r="Z604">
        <f t="shared" si="66"/>
        <v>2026</v>
      </c>
      <c r="AA604" t="str">
        <f t="shared" si="67"/>
        <v>Wednesday</v>
      </c>
      <c r="AB604">
        <f t="shared" si="68"/>
        <v>-43</v>
      </c>
      <c r="AC604" t="str">
        <f>IF(OR(D604="Heart Disease",D604="Cancer",D604="Stroke"),"High",IF(OR(D604="Diabetes",D604="Asthma"),"Medium","Low"))</f>
        <v>Low</v>
      </c>
      <c r="AD604" t="str">
        <f t="shared" si="69"/>
        <v>No</v>
      </c>
      <c r="AE604" t="str">
        <f>IF(G604&lt;=2,"Short Stay", IF(G604&lt;=7,"Normal Stay", "Long Stay"))</f>
        <v>Long Stay</v>
      </c>
      <c r="AF604" t="str">
        <f>IF(F604&gt;60000,"Expensive",IF(F604&gt;30000,"Moderate","Affordable"))</f>
        <v>Affordable</v>
      </c>
      <c r="AG604" t="str">
        <f>IF(J604&gt;=4.5,"Excellent",IF(J604&gt;=3.5,"Good",IF(J604&gt;=2.5,"Average","Poor")))</f>
        <v>Good</v>
      </c>
      <c r="AH604" t="str">
        <f>IF(OR(TEXT(N604,"dddd")="Saturday",TEXT(N604,"dddd")="Sunday"),"Weekend","Weekday")</f>
        <v>Weekday</v>
      </c>
    </row>
    <row r="605" spans="1:34" x14ac:dyDescent="0.3">
      <c r="A605">
        <v>614</v>
      </c>
      <c r="B605">
        <v>55</v>
      </c>
      <c r="C605" t="s">
        <v>35</v>
      </c>
      <c r="D605" t="s">
        <v>111</v>
      </c>
      <c r="E605" t="s">
        <v>112</v>
      </c>
      <c r="F605">
        <v>6000</v>
      </c>
      <c r="G605">
        <v>44</v>
      </c>
      <c r="H605" t="s">
        <v>24</v>
      </c>
      <c r="I605" t="s">
        <v>25</v>
      </c>
      <c r="J605">
        <v>3</v>
      </c>
      <c r="K605" t="s">
        <v>345</v>
      </c>
      <c r="L605" t="s">
        <v>1333</v>
      </c>
      <c r="M605" t="s">
        <v>1334</v>
      </c>
      <c r="N605" s="2">
        <v>46261</v>
      </c>
      <c r="O605" s="2">
        <v>46305</v>
      </c>
      <c r="P605" t="s">
        <v>29</v>
      </c>
      <c r="Q605" t="s">
        <v>71</v>
      </c>
      <c r="R605" t="s">
        <v>45</v>
      </c>
      <c r="S605" t="s">
        <v>53</v>
      </c>
      <c r="T605" t="s">
        <v>33</v>
      </c>
      <c r="U605" t="s">
        <v>46</v>
      </c>
      <c r="V605" t="str">
        <f>IF(B605&lt;=18,"Children",IF(B605&lt;=35,"Young adult",IF(B605&lt;=60,"Adult", "Senior Citizen")))</f>
        <v>Adult</v>
      </c>
      <c r="W605" t="str">
        <f t="shared" si="63"/>
        <v>Aug</v>
      </c>
      <c r="X605">
        <f t="shared" si="64"/>
        <v>8</v>
      </c>
      <c r="Y605" t="str">
        <f t="shared" si="65"/>
        <v>Q3</v>
      </c>
      <c r="Z605">
        <f t="shared" si="66"/>
        <v>2026</v>
      </c>
      <c r="AA605" t="str">
        <f t="shared" si="67"/>
        <v>Thursday</v>
      </c>
      <c r="AB605">
        <f t="shared" si="68"/>
        <v>-44</v>
      </c>
      <c r="AC605" t="str">
        <f>IF(OR(D605="Heart Disease",D605="Cancer",D605="Stroke"),"High",IF(OR(D605="Diabetes",D605="Asthma"),"Medium","Low"))</f>
        <v>Low</v>
      </c>
      <c r="AD605" t="str">
        <f t="shared" si="69"/>
        <v>No</v>
      </c>
      <c r="AE605" t="str">
        <f>IF(G605&lt;=2,"Short Stay", IF(G605&lt;=7,"Normal Stay", "Long Stay"))</f>
        <v>Long Stay</v>
      </c>
      <c r="AF605" t="str">
        <f>IF(F605&gt;60000,"Expensive",IF(F605&gt;30000,"Moderate","Affordable"))</f>
        <v>Affordable</v>
      </c>
      <c r="AG605" t="str">
        <f>IF(J605&gt;=4.5,"Excellent",IF(J605&gt;=3.5,"Good",IF(J605&gt;=2.5,"Average","Poor")))</f>
        <v>Average</v>
      </c>
      <c r="AH605" t="str">
        <f>IF(OR(TEXT(N605,"dddd")="Saturday",TEXT(N605,"dddd")="Sunday"),"Weekend","Weekday")</f>
        <v>Weekday</v>
      </c>
    </row>
    <row r="606" spans="1:34" x14ac:dyDescent="0.3">
      <c r="A606">
        <v>615</v>
      </c>
      <c r="B606">
        <v>65</v>
      </c>
      <c r="C606" t="s">
        <v>21</v>
      </c>
      <c r="D606" t="s">
        <v>116</v>
      </c>
      <c r="E606" t="s">
        <v>117</v>
      </c>
      <c r="F606">
        <v>4000</v>
      </c>
      <c r="G606">
        <v>45</v>
      </c>
      <c r="H606" t="s">
        <v>24</v>
      </c>
      <c r="I606" t="s">
        <v>39</v>
      </c>
      <c r="J606">
        <v>4</v>
      </c>
      <c r="K606" t="s">
        <v>281</v>
      </c>
      <c r="L606" t="s">
        <v>1335</v>
      </c>
      <c r="M606" t="s">
        <v>1336</v>
      </c>
      <c r="N606" s="2">
        <v>46262</v>
      </c>
      <c r="O606" s="2">
        <v>46307</v>
      </c>
      <c r="P606" t="s">
        <v>43</v>
      </c>
      <c r="Q606" t="s">
        <v>44</v>
      </c>
      <c r="R606" t="s">
        <v>45</v>
      </c>
      <c r="S606" t="s">
        <v>32</v>
      </c>
      <c r="T606" t="s">
        <v>33</v>
      </c>
      <c r="U606" t="s">
        <v>78</v>
      </c>
      <c r="V606" t="str">
        <f>IF(B606&lt;=18,"Children",IF(B606&lt;=35,"Young adult",IF(B606&lt;=60,"Adult", "Senior Citizen")))</f>
        <v>Senior Citizen</v>
      </c>
      <c r="W606" t="str">
        <f t="shared" si="63"/>
        <v>Aug</v>
      </c>
      <c r="X606">
        <f t="shared" si="64"/>
        <v>8</v>
      </c>
      <c r="Y606" t="str">
        <f t="shared" si="65"/>
        <v>Q3</v>
      </c>
      <c r="Z606">
        <f t="shared" si="66"/>
        <v>2026</v>
      </c>
      <c r="AA606" t="str">
        <f t="shared" si="67"/>
        <v>Friday</v>
      </c>
      <c r="AB606">
        <f t="shared" si="68"/>
        <v>-45</v>
      </c>
      <c r="AC606" t="str">
        <f>IF(OR(D606="Heart Disease",D606="Cancer",D606="Stroke"),"High",IF(OR(D606="Diabetes",D606="Asthma"),"Medium","Low"))</f>
        <v>Low</v>
      </c>
      <c r="AD606" t="str">
        <f t="shared" si="69"/>
        <v>No</v>
      </c>
      <c r="AE606" t="str">
        <f>IF(G606&lt;=2,"Short Stay", IF(G606&lt;=7,"Normal Stay", "Long Stay"))</f>
        <v>Long Stay</v>
      </c>
      <c r="AF606" t="str">
        <f>IF(F606&gt;60000,"Expensive",IF(F606&gt;30000,"Moderate","Affordable"))</f>
        <v>Affordable</v>
      </c>
      <c r="AG606" t="str">
        <f>IF(J606&gt;=4.5,"Excellent",IF(J606&gt;=3.5,"Good",IF(J606&gt;=2.5,"Average","Poor")))</f>
        <v>Good</v>
      </c>
      <c r="AH606" t="str">
        <f>IF(OR(TEXT(N606,"dddd")="Saturday",TEXT(N606,"dddd")="Sunday"),"Weekend","Weekday")</f>
        <v>Weekday</v>
      </c>
    </row>
    <row r="607" spans="1:34" x14ac:dyDescent="0.3">
      <c r="A607">
        <v>616</v>
      </c>
      <c r="B607">
        <v>55</v>
      </c>
      <c r="C607" t="s">
        <v>21</v>
      </c>
      <c r="D607" t="s">
        <v>22</v>
      </c>
      <c r="E607" t="s">
        <v>23</v>
      </c>
      <c r="F607">
        <v>15000</v>
      </c>
      <c r="G607">
        <v>46</v>
      </c>
      <c r="H607" t="s">
        <v>38</v>
      </c>
      <c r="I607" t="s">
        <v>25</v>
      </c>
      <c r="J607">
        <v>3</v>
      </c>
      <c r="K607" t="s">
        <v>62</v>
      </c>
      <c r="L607" t="s">
        <v>1337</v>
      </c>
      <c r="M607" t="s">
        <v>1338</v>
      </c>
      <c r="N607" s="2">
        <v>46263</v>
      </c>
      <c r="O607" s="2">
        <v>46309</v>
      </c>
      <c r="P607" t="s">
        <v>43</v>
      </c>
      <c r="Q607" t="s">
        <v>44</v>
      </c>
      <c r="R607" t="s">
        <v>31</v>
      </c>
      <c r="S607" t="s">
        <v>72</v>
      </c>
      <c r="T607" t="s">
        <v>33</v>
      </c>
      <c r="U607" t="s">
        <v>34</v>
      </c>
      <c r="V607" t="str">
        <f>IF(B607&lt;=18,"Children",IF(B607&lt;=35,"Young adult",IF(B607&lt;=60,"Adult", "Senior Citizen")))</f>
        <v>Adult</v>
      </c>
      <c r="W607" t="str">
        <f t="shared" si="63"/>
        <v>Aug</v>
      </c>
      <c r="X607">
        <f t="shared" si="64"/>
        <v>8</v>
      </c>
      <c r="Y607" t="str">
        <f t="shared" si="65"/>
        <v>Q3</v>
      </c>
      <c r="Z607">
        <f t="shared" si="66"/>
        <v>2026</v>
      </c>
      <c r="AA607" t="str">
        <f t="shared" si="67"/>
        <v>Saturday</v>
      </c>
      <c r="AB607">
        <f t="shared" si="68"/>
        <v>-46</v>
      </c>
      <c r="AC607" t="str">
        <f>IF(OR(D607="Heart Disease",D607="Cancer",D607="Stroke"),"High",IF(OR(D607="Diabetes",D607="Asthma"),"Medium","Low"))</f>
        <v>High</v>
      </c>
      <c r="AD607" t="str">
        <f t="shared" si="69"/>
        <v>Yes</v>
      </c>
      <c r="AE607" t="str">
        <f>IF(G607&lt;=2,"Short Stay", IF(G607&lt;=7,"Normal Stay", "Long Stay"))</f>
        <v>Long Stay</v>
      </c>
      <c r="AF607" t="str">
        <f>IF(F607&gt;60000,"Expensive",IF(F607&gt;30000,"Moderate","Affordable"))</f>
        <v>Affordable</v>
      </c>
      <c r="AG607" t="str">
        <f>IF(J607&gt;=4.5,"Excellent",IF(J607&gt;=3.5,"Good",IF(J607&gt;=2.5,"Average","Poor")))</f>
        <v>Average</v>
      </c>
      <c r="AH607" t="str">
        <f>IF(OR(TEXT(N607,"dddd")="Saturday",TEXT(N607,"dddd")="Sunday"),"Weekend","Weekday")</f>
        <v>Weekend</v>
      </c>
    </row>
    <row r="608" spans="1:34" x14ac:dyDescent="0.3">
      <c r="A608">
        <v>617</v>
      </c>
      <c r="B608">
        <v>62</v>
      </c>
      <c r="C608" t="s">
        <v>35</v>
      </c>
      <c r="D608" t="s">
        <v>36</v>
      </c>
      <c r="E608" t="s">
        <v>37</v>
      </c>
      <c r="F608">
        <v>2000</v>
      </c>
      <c r="G608">
        <v>44</v>
      </c>
      <c r="H608" t="s">
        <v>24</v>
      </c>
      <c r="I608" t="s">
        <v>39</v>
      </c>
      <c r="J608">
        <v>4</v>
      </c>
      <c r="K608" t="s">
        <v>210</v>
      </c>
      <c r="L608" t="s">
        <v>1339</v>
      </c>
      <c r="M608" t="s">
        <v>1340</v>
      </c>
      <c r="N608" s="2">
        <v>46264</v>
      </c>
      <c r="O608" s="2">
        <v>46308</v>
      </c>
      <c r="P608" t="s">
        <v>29</v>
      </c>
      <c r="Q608" t="s">
        <v>44</v>
      </c>
      <c r="R608" t="s">
        <v>45</v>
      </c>
      <c r="S608" t="s">
        <v>110</v>
      </c>
      <c r="T608" t="s">
        <v>33</v>
      </c>
      <c r="U608" t="s">
        <v>46</v>
      </c>
      <c r="V608" t="str">
        <f>IF(B608&lt;=18,"Children",IF(B608&lt;=35,"Young adult",IF(B608&lt;=60,"Adult", "Senior Citizen")))</f>
        <v>Senior Citizen</v>
      </c>
      <c r="W608" t="str">
        <f t="shared" si="63"/>
        <v>Aug</v>
      </c>
      <c r="X608">
        <f t="shared" si="64"/>
        <v>8</v>
      </c>
      <c r="Y608" t="str">
        <f t="shared" si="65"/>
        <v>Q3</v>
      </c>
      <c r="Z608">
        <f t="shared" si="66"/>
        <v>2026</v>
      </c>
      <c r="AA608" t="str">
        <f t="shared" si="67"/>
        <v>Sunday</v>
      </c>
      <c r="AB608">
        <f t="shared" si="68"/>
        <v>-44</v>
      </c>
      <c r="AC608" t="str">
        <f>IF(OR(D608="Heart Disease",D608="Cancer",D608="Stroke"),"High",IF(OR(D608="Diabetes",D608="Asthma"),"Medium","Low"))</f>
        <v>Medium</v>
      </c>
      <c r="AD608" t="str">
        <f t="shared" si="69"/>
        <v>No</v>
      </c>
      <c r="AE608" t="str">
        <f>IF(G608&lt;=2,"Short Stay", IF(G608&lt;=7,"Normal Stay", "Long Stay"))</f>
        <v>Long Stay</v>
      </c>
      <c r="AF608" t="str">
        <f>IF(F608&gt;60000,"Expensive",IF(F608&gt;30000,"Moderate","Affordable"))</f>
        <v>Affordable</v>
      </c>
      <c r="AG608" t="str">
        <f>IF(J608&gt;=4.5,"Excellent",IF(J608&gt;=3.5,"Good",IF(J608&gt;=2.5,"Average","Poor")))</f>
        <v>Good</v>
      </c>
      <c r="AH608" t="str">
        <f>IF(OR(TEXT(N608,"dddd")="Saturday",TEXT(N608,"dddd")="Sunday"),"Weekend","Weekday")</f>
        <v>Weekend</v>
      </c>
    </row>
    <row r="609" spans="1:34" x14ac:dyDescent="0.3">
      <c r="A609">
        <v>618</v>
      </c>
      <c r="B609">
        <v>35</v>
      </c>
      <c r="C609" t="s">
        <v>21</v>
      </c>
      <c r="D609" t="s">
        <v>47</v>
      </c>
      <c r="E609" t="s">
        <v>48</v>
      </c>
      <c r="F609">
        <v>500</v>
      </c>
      <c r="G609">
        <v>42</v>
      </c>
      <c r="H609" t="s">
        <v>38</v>
      </c>
      <c r="I609" t="s">
        <v>25</v>
      </c>
      <c r="J609">
        <v>5</v>
      </c>
      <c r="K609" t="s">
        <v>242</v>
      </c>
      <c r="L609" t="s">
        <v>1341</v>
      </c>
      <c r="M609" t="s">
        <v>1342</v>
      </c>
      <c r="N609" s="2">
        <v>46265</v>
      </c>
      <c r="O609" s="2">
        <v>46307</v>
      </c>
      <c r="P609" t="s">
        <v>43</v>
      </c>
      <c r="Q609" t="s">
        <v>139</v>
      </c>
      <c r="R609" t="s">
        <v>45</v>
      </c>
      <c r="S609" t="s">
        <v>53</v>
      </c>
      <c r="T609" t="s">
        <v>33</v>
      </c>
      <c r="U609" t="s">
        <v>34</v>
      </c>
      <c r="V609" t="str">
        <f>IF(B609&lt;=18,"Children",IF(B609&lt;=35,"Young adult",IF(B609&lt;=60,"Adult", "Senior Citizen")))</f>
        <v>Young adult</v>
      </c>
      <c r="W609" t="str">
        <f t="shared" si="63"/>
        <v>Aug</v>
      </c>
      <c r="X609">
        <f t="shared" si="64"/>
        <v>8</v>
      </c>
      <c r="Y609" t="str">
        <f t="shared" si="65"/>
        <v>Q3</v>
      </c>
      <c r="Z609">
        <f t="shared" si="66"/>
        <v>2026</v>
      </c>
      <c r="AA609" t="str">
        <f t="shared" si="67"/>
        <v>Monday</v>
      </c>
      <c r="AB609">
        <f t="shared" si="68"/>
        <v>-42</v>
      </c>
      <c r="AC609" t="str">
        <f>IF(OR(D609="Heart Disease",D609="Cancer",D609="Stroke"),"High",IF(OR(D609="Diabetes",D609="Asthma"),"Medium","Low"))</f>
        <v>Low</v>
      </c>
      <c r="AD609" t="str">
        <f t="shared" si="69"/>
        <v>No</v>
      </c>
      <c r="AE609" t="str">
        <f>IF(G609&lt;=2,"Short Stay", IF(G609&lt;=7,"Normal Stay", "Long Stay"))</f>
        <v>Long Stay</v>
      </c>
      <c r="AF609" t="str">
        <f>IF(F609&gt;60000,"Expensive",IF(F609&gt;30000,"Moderate","Affordable"))</f>
        <v>Affordable</v>
      </c>
      <c r="AG609" t="str">
        <f>IF(J609&gt;=4.5,"Excellent",IF(J609&gt;=3.5,"Good",IF(J609&gt;=2.5,"Average","Poor")))</f>
        <v>Excellent</v>
      </c>
      <c r="AH609" t="str">
        <f>IF(OR(TEXT(N609,"dddd")="Saturday",TEXT(N609,"dddd")="Sunday"),"Weekend","Weekday")</f>
        <v>Weekday</v>
      </c>
    </row>
    <row r="610" spans="1:34" x14ac:dyDescent="0.3">
      <c r="A610">
        <v>619</v>
      </c>
      <c r="B610">
        <v>78</v>
      </c>
      <c r="C610" t="s">
        <v>35</v>
      </c>
      <c r="D610" t="s">
        <v>54</v>
      </c>
      <c r="E610" t="s">
        <v>55</v>
      </c>
      <c r="F610">
        <v>10000</v>
      </c>
      <c r="G610">
        <v>49</v>
      </c>
      <c r="H610" t="s">
        <v>24</v>
      </c>
      <c r="I610" t="s">
        <v>39</v>
      </c>
      <c r="J610">
        <v>2</v>
      </c>
      <c r="K610" t="s">
        <v>96</v>
      </c>
      <c r="L610" t="s">
        <v>1343</v>
      </c>
      <c r="M610" t="s">
        <v>1344</v>
      </c>
      <c r="N610" s="2">
        <v>46266</v>
      </c>
      <c r="O610" s="2">
        <v>46315</v>
      </c>
      <c r="P610" t="s">
        <v>29</v>
      </c>
      <c r="Q610" t="s">
        <v>71</v>
      </c>
      <c r="R610" t="s">
        <v>59</v>
      </c>
      <c r="S610" t="s">
        <v>72</v>
      </c>
      <c r="T610" t="s">
        <v>33</v>
      </c>
      <c r="U610" t="s">
        <v>104</v>
      </c>
      <c r="V610" t="str">
        <f>IF(B610&lt;=18,"Children",IF(B610&lt;=35,"Young adult",IF(B610&lt;=60,"Adult", "Senior Citizen")))</f>
        <v>Senior Citizen</v>
      </c>
      <c r="W610" t="str">
        <f t="shared" si="63"/>
        <v>Sep</v>
      </c>
      <c r="X610">
        <f t="shared" si="64"/>
        <v>9</v>
      </c>
      <c r="Y610" t="str">
        <f t="shared" si="65"/>
        <v>Q3</v>
      </c>
      <c r="Z610">
        <f t="shared" si="66"/>
        <v>2026</v>
      </c>
      <c r="AA610" t="str">
        <f t="shared" si="67"/>
        <v>Tuesday</v>
      </c>
      <c r="AB610">
        <f t="shared" si="68"/>
        <v>-49</v>
      </c>
      <c r="AC610" t="str">
        <f>IF(OR(D610="Heart Disease",D610="Cancer",D610="Stroke"),"High",IF(OR(D610="Diabetes",D610="Asthma"),"Medium","Low"))</f>
        <v>High</v>
      </c>
      <c r="AD610" t="str">
        <f t="shared" si="69"/>
        <v>Yes</v>
      </c>
      <c r="AE610" t="str">
        <f>IF(G610&lt;=2,"Short Stay", IF(G610&lt;=7,"Normal Stay", "Long Stay"))</f>
        <v>Long Stay</v>
      </c>
      <c r="AF610" t="str">
        <f>IF(F610&gt;60000,"Expensive",IF(F610&gt;30000,"Moderate","Affordable"))</f>
        <v>Affordable</v>
      </c>
      <c r="AG610" t="str">
        <f>IF(J610&gt;=4.5,"Excellent",IF(J610&gt;=3.5,"Good",IF(J610&gt;=2.5,"Average","Poor")))</f>
        <v>Poor</v>
      </c>
      <c r="AH610" t="str">
        <f>IF(OR(TEXT(N610,"dddd")="Saturday",TEXT(N610,"dddd")="Sunday"),"Weekend","Weekday")</f>
        <v>Weekday</v>
      </c>
    </row>
    <row r="611" spans="1:34" x14ac:dyDescent="0.3">
      <c r="A611">
        <v>620</v>
      </c>
      <c r="B611">
        <v>53</v>
      </c>
      <c r="C611" t="s">
        <v>21</v>
      </c>
      <c r="D611" t="s">
        <v>60</v>
      </c>
      <c r="E611" t="s">
        <v>61</v>
      </c>
      <c r="F611">
        <v>25000</v>
      </c>
      <c r="G611">
        <v>51</v>
      </c>
      <c r="H611" t="s">
        <v>38</v>
      </c>
      <c r="I611" t="s">
        <v>25</v>
      </c>
      <c r="J611">
        <v>4</v>
      </c>
      <c r="K611" t="s">
        <v>62</v>
      </c>
      <c r="L611" t="s">
        <v>1345</v>
      </c>
      <c r="M611" t="s">
        <v>1346</v>
      </c>
      <c r="N611" s="2">
        <v>46267</v>
      </c>
      <c r="O611" s="2">
        <v>46318</v>
      </c>
      <c r="P611" t="s">
        <v>29</v>
      </c>
      <c r="Q611" t="s">
        <v>52</v>
      </c>
      <c r="R611" t="s">
        <v>65</v>
      </c>
      <c r="S611" t="s">
        <v>110</v>
      </c>
      <c r="T611" t="s">
        <v>33</v>
      </c>
      <c r="U611" t="s">
        <v>46</v>
      </c>
      <c r="V611" t="str">
        <f>IF(B611&lt;=18,"Children",IF(B611&lt;=35,"Young adult",IF(B611&lt;=60,"Adult", "Senior Citizen")))</f>
        <v>Adult</v>
      </c>
      <c r="W611" t="str">
        <f t="shared" si="63"/>
        <v>Sep</v>
      </c>
      <c r="X611">
        <f t="shared" si="64"/>
        <v>9</v>
      </c>
      <c r="Y611" t="str">
        <f t="shared" si="65"/>
        <v>Q3</v>
      </c>
      <c r="Z611">
        <f t="shared" si="66"/>
        <v>2026</v>
      </c>
      <c r="AA611" t="str">
        <f t="shared" si="67"/>
        <v>Wednesday</v>
      </c>
      <c r="AB611">
        <f t="shared" si="68"/>
        <v>-51</v>
      </c>
      <c r="AC611" t="str">
        <f>IF(OR(D611="Heart Disease",D611="Cancer",D611="Stroke"),"High",IF(OR(D611="Diabetes",D611="Asthma"),"Medium","Low"))</f>
        <v>High</v>
      </c>
      <c r="AD611" t="str">
        <f t="shared" si="69"/>
        <v>Yes</v>
      </c>
      <c r="AE611" t="str">
        <f>IF(G611&lt;=2,"Short Stay", IF(G611&lt;=7,"Normal Stay", "Long Stay"))</f>
        <v>Long Stay</v>
      </c>
      <c r="AF611" t="str">
        <f>IF(F611&gt;60000,"Expensive",IF(F611&gt;30000,"Moderate","Affordable"))</f>
        <v>Affordable</v>
      </c>
      <c r="AG611" t="str">
        <f>IF(J611&gt;=4.5,"Excellent",IF(J611&gt;=3.5,"Good",IF(J611&gt;=2.5,"Average","Poor")))</f>
        <v>Good</v>
      </c>
      <c r="AH611" t="str">
        <f>IF(OR(TEXT(N611,"dddd")="Saturday",TEXT(N611,"dddd")="Sunday"),"Weekend","Weekday")</f>
        <v>Weekday</v>
      </c>
    </row>
    <row r="612" spans="1:34" x14ac:dyDescent="0.3">
      <c r="A612">
        <v>621</v>
      </c>
      <c r="B612">
        <v>72</v>
      </c>
      <c r="C612" t="s">
        <v>35</v>
      </c>
      <c r="D612" t="s">
        <v>66</v>
      </c>
      <c r="E612" t="s">
        <v>67</v>
      </c>
      <c r="F612">
        <v>1000</v>
      </c>
      <c r="G612">
        <v>45</v>
      </c>
      <c r="H612" t="s">
        <v>24</v>
      </c>
      <c r="I612" t="s">
        <v>39</v>
      </c>
      <c r="J612">
        <v>4</v>
      </c>
      <c r="K612" t="s">
        <v>172</v>
      </c>
      <c r="L612" t="s">
        <v>1347</v>
      </c>
      <c r="M612" t="s">
        <v>1348</v>
      </c>
      <c r="N612" s="2">
        <v>46268</v>
      </c>
      <c r="O612" s="2">
        <v>46313</v>
      </c>
      <c r="P612" t="s">
        <v>29</v>
      </c>
      <c r="Q612" t="s">
        <v>71</v>
      </c>
      <c r="R612" t="s">
        <v>45</v>
      </c>
      <c r="S612" t="s">
        <v>110</v>
      </c>
      <c r="T612" t="s">
        <v>33</v>
      </c>
      <c r="U612" t="s">
        <v>34</v>
      </c>
      <c r="V612" t="str">
        <f>IF(B612&lt;=18,"Children",IF(B612&lt;=35,"Young adult",IF(B612&lt;=60,"Adult", "Senior Citizen")))</f>
        <v>Senior Citizen</v>
      </c>
      <c r="W612" t="str">
        <f t="shared" si="63"/>
        <v>Sep</v>
      </c>
      <c r="X612">
        <f t="shared" si="64"/>
        <v>9</v>
      </c>
      <c r="Y612" t="str">
        <f t="shared" si="65"/>
        <v>Q3</v>
      </c>
      <c r="Z612">
        <f t="shared" si="66"/>
        <v>2026</v>
      </c>
      <c r="AA612" t="str">
        <f t="shared" si="67"/>
        <v>Thursday</v>
      </c>
      <c r="AB612">
        <f t="shared" si="68"/>
        <v>-45</v>
      </c>
      <c r="AC612" t="str">
        <f>IF(OR(D612="Heart Disease",D612="Cancer",D612="Stroke"),"High",IF(OR(D612="Diabetes",D612="Asthma"),"Medium","Low"))</f>
        <v>Low</v>
      </c>
      <c r="AD612" t="str">
        <f t="shared" si="69"/>
        <v>No</v>
      </c>
      <c r="AE612" t="str">
        <f>IF(G612&lt;=2,"Short Stay", IF(G612&lt;=7,"Normal Stay", "Long Stay"))</f>
        <v>Long Stay</v>
      </c>
      <c r="AF612" t="str">
        <f>IF(F612&gt;60000,"Expensive",IF(F612&gt;30000,"Moderate","Affordable"))</f>
        <v>Affordable</v>
      </c>
      <c r="AG612" t="str">
        <f>IF(J612&gt;=4.5,"Excellent",IF(J612&gt;=3.5,"Good",IF(J612&gt;=2.5,"Average","Poor")))</f>
        <v>Good</v>
      </c>
      <c r="AH612" t="str">
        <f>IF(OR(TEXT(N612,"dddd")="Saturday",TEXT(N612,"dddd")="Sunday"),"Weekend","Weekday")</f>
        <v>Weekday</v>
      </c>
    </row>
    <row r="613" spans="1:34" x14ac:dyDescent="0.3">
      <c r="A613">
        <v>622</v>
      </c>
      <c r="B613">
        <v>60</v>
      </c>
      <c r="C613" t="s">
        <v>21</v>
      </c>
      <c r="D613" t="s">
        <v>73</v>
      </c>
      <c r="E613" t="s">
        <v>74</v>
      </c>
      <c r="F613">
        <v>8000</v>
      </c>
      <c r="G613">
        <v>47</v>
      </c>
      <c r="H613" t="s">
        <v>38</v>
      </c>
      <c r="I613" t="s">
        <v>25</v>
      </c>
      <c r="J613">
        <v>3</v>
      </c>
      <c r="K613" t="s">
        <v>223</v>
      </c>
      <c r="L613" t="s">
        <v>1349</v>
      </c>
      <c r="M613" t="s">
        <v>1350</v>
      </c>
      <c r="N613" s="2">
        <v>46269</v>
      </c>
      <c r="O613" s="2">
        <v>46316</v>
      </c>
      <c r="P613" t="s">
        <v>29</v>
      </c>
      <c r="Q613" t="s">
        <v>44</v>
      </c>
      <c r="R613" t="s">
        <v>45</v>
      </c>
      <c r="S613" t="s">
        <v>84</v>
      </c>
      <c r="T613" t="s">
        <v>33</v>
      </c>
      <c r="U613" t="s">
        <v>104</v>
      </c>
      <c r="V613" t="str">
        <f>IF(B613&lt;=18,"Children",IF(B613&lt;=35,"Young adult",IF(B613&lt;=60,"Adult", "Senior Citizen")))</f>
        <v>Adult</v>
      </c>
      <c r="W613" t="str">
        <f t="shared" si="63"/>
        <v>Sep</v>
      </c>
      <c r="X613">
        <f t="shared" si="64"/>
        <v>9</v>
      </c>
      <c r="Y613" t="str">
        <f t="shared" si="65"/>
        <v>Q3</v>
      </c>
      <c r="Z613">
        <f t="shared" si="66"/>
        <v>2026</v>
      </c>
      <c r="AA613" t="str">
        <f t="shared" si="67"/>
        <v>Friday</v>
      </c>
      <c r="AB613">
        <f t="shared" si="68"/>
        <v>-47</v>
      </c>
      <c r="AC613" t="str">
        <f>IF(OR(D613="Heart Disease",D613="Cancer",D613="Stroke"),"High",IF(OR(D613="Diabetes",D613="Asthma"),"Medium","Low"))</f>
        <v>Low</v>
      </c>
      <c r="AD613" t="str">
        <f t="shared" si="69"/>
        <v>No</v>
      </c>
      <c r="AE613" t="str">
        <f>IF(G613&lt;=2,"Short Stay", IF(G613&lt;=7,"Normal Stay", "Long Stay"))</f>
        <v>Long Stay</v>
      </c>
      <c r="AF613" t="str">
        <f>IF(F613&gt;60000,"Expensive",IF(F613&gt;30000,"Moderate","Affordable"))</f>
        <v>Affordable</v>
      </c>
      <c r="AG613" t="str">
        <f>IF(J613&gt;=4.5,"Excellent",IF(J613&gt;=3.5,"Good",IF(J613&gt;=2.5,"Average","Poor")))</f>
        <v>Average</v>
      </c>
      <c r="AH613" t="str">
        <f>IF(OR(TEXT(N613,"dddd")="Saturday",TEXT(N613,"dddd")="Sunday"),"Weekend","Weekday")</f>
        <v>Weekday</v>
      </c>
    </row>
    <row r="614" spans="1:34" x14ac:dyDescent="0.3">
      <c r="A614">
        <v>623</v>
      </c>
      <c r="B614">
        <v>45</v>
      </c>
      <c r="C614" t="s">
        <v>35</v>
      </c>
      <c r="D614" t="s">
        <v>79</v>
      </c>
      <c r="E614" t="s">
        <v>80</v>
      </c>
      <c r="F614">
        <v>3000</v>
      </c>
      <c r="G614">
        <v>47</v>
      </c>
      <c r="H614" t="s">
        <v>24</v>
      </c>
      <c r="I614" t="s">
        <v>25</v>
      </c>
      <c r="J614">
        <v>4</v>
      </c>
      <c r="K614" t="s">
        <v>250</v>
      </c>
      <c r="L614" t="s">
        <v>1351</v>
      </c>
      <c r="M614" t="s">
        <v>1352</v>
      </c>
      <c r="N614" s="2">
        <v>46270</v>
      </c>
      <c r="O614" s="2">
        <v>46317</v>
      </c>
      <c r="P614" t="s">
        <v>29</v>
      </c>
      <c r="Q614" t="s">
        <v>30</v>
      </c>
      <c r="R614" t="s">
        <v>45</v>
      </c>
      <c r="S614" t="s">
        <v>72</v>
      </c>
      <c r="T614" t="s">
        <v>33</v>
      </c>
      <c r="U614" t="s">
        <v>78</v>
      </c>
      <c r="V614" t="str">
        <f>IF(B614&lt;=18,"Children",IF(B614&lt;=35,"Young adult",IF(B614&lt;=60,"Adult", "Senior Citizen")))</f>
        <v>Adult</v>
      </c>
      <c r="W614" t="str">
        <f t="shared" si="63"/>
        <v>Sep</v>
      </c>
      <c r="X614">
        <f t="shared" si="64"/>
        <v>9</v>
      </c>
      <c r="Y614" t="str">
        <f t="shared" si="65"/>
        <v>Q3</v>
      </c>
      <c r="Z614">
        <f t="shared" si="66"/>
        <v>2026</v>
      </c>
      <c r="AA614" t="str">
        <f t="shared" si="67"/>
        <v>Saturday</v>
      </c>
      <c r="AB614">
        <f t="shared" si="68"/>
        <v>-47</v>
      </c>
      <c r="AC614" t="str">
        <f>IF(OR(D614="Heart Disease",D614="Cancer",D614="Stroke"),"High",IF(OR(D614="Diabetes",D614="Asthma"),"Medium","Low"))</f>
        <v>Low</v>
      </c>
      <c r="AD614" t="str">
        <f t="shared" si="69"/>
        <v>No</v>
      </c>
      <c r="AE614" t="str">
        <f>IF(G614&lt;=2,"Short Stay", IF(G614&lt;=7,"Normal Stay", "Long Stay"))</f>
        <v>Long Stay</v>
      </c>
      <c r="AF614" t="str">
        <f>IF(F614&gt;60000,"Expensive",IF(F614&gt;30000,"Moderate","Affordable"))</f>
        <v>Affordable</v>
      </c>
      <c r="AG614" t="str">
        <f>IF(J614&gt;=4.5,"Excellent",IF(J614&gt;=3.5,"Good",IF(J614&gt;=2.5,"Average","Poor")))</f>
        <v>Good</v>
      </c>
      <c r="AH614" t="str">
        <f>IF(OR(TEXT(N614,"dddd")="Saturday",TEXT(N614,"dddd")="Sunday"),"Weekend","Weekday")</f>
        <v>Weekend</v>
      </c>
    </row>
    <row r="615" spans="1:34" x14ac:dyDescent="0.3">
      <c r="A615">
        <v>624</v>
      </c>
      <c r="B615">
        <v>75</v>
      </c>
      <c r="C615" t="s">
        <v>21</v>
      </c>
      <c r="D615" t="s">
        <v>85</v>
      </c>
      <c r="E615" t="s">
        <v>86</v>
      </c>
      <c r="F615">
        <v>18000</v>
      </c>
      <c r="G615">
        <v>49</v>
      </c>
      <c r="H615" t="s">
        <v>38</v>
      </c>
      <c r="I615" t="s">
        <v>39</v>
      </c>
      <c r="J615">
        <v>2</v>
      </c>
      <c r="K615" t="s">
        <v>215</v>
      </c>
      <c r="L615" t="s">
        <v>1353</v>
      </c>
      <c r="M615" t="s">
        <v>1354</v>
      </c>
      <c r="N615" s="2">
        <v>46271</v>
      </c>
      <c r="O615" s="2">
        <v>46320</v>
      </c>
      <c r="P615" t="s">
        <v>43</v>
      </c>
      <c r="Q615" t="s">
        <v>139</v>
      </c>
      <c r="R615" t="s">
        <v>45</v>
      </c>
      <c r="S615" t="s">
        <v>77</v>
      </c>
      <c r="T615" t="s">
        <v>33</v>
      </c>
      <c r="U615" t="s">
        <v>46</v>
      </c>
      <c r="V615" t="str">
        <f>IF(B615&lt;=18,"Children",IF(B615&lt;=35,"Young adult",IF(B615&lt;=60,"Adult", "Senior Citizen")))</f>
        <v>Senior Citizen</v>
      </c>
      <c r="W615" t="str">
        <f t="shared" si="63"/>
        <v>Sep</v>
      </c>
      <c r="X615">
        <f t="shared" si="64"/>
        <v>9</v>
      </c>
      <c r="Y615" t="str">
        <f t="shared" si="65"/>
        <v>Q3</v>
      </c>
      <c r="Z615">
        <f t="shared" si="66"/>
        <v>2026</v>
      </c>
      <c r="AA615" t="str">
        <f t="shared" si="67"/>
        <v>Sunday</v>
      </c>
      <c r="AB615">
        <f t="shared" si="68"/>
        <v>-49</v>
      </c>
      <c r="AC615" t="str">
        <f>IF(OR(D615="Heart Disease",D615="Cancer",D615="Stroke"),"High",IF(OR(D615="Diabetes",D615="Asthma"),"Medium","Low"))</f>
        <v>Low</v>
      </c>
      <c r="AD615" t="str">
        <f t="shared" si="69"/>
        <v>No</v>
      </c>
      <c r="AE615" t="str">
        <f>IF(G615&lt;=2,"Short Stay", IF(G615&lt;=7,"Normal Stay", "Long Stay"))</f>
        <v>Long Stay</v>
      </c>
      <c r="AF615" t="str">
        <f>IF(F615&gt;60000,"Expensive",IF(F615&gt;30000,"Moderate","Affordable"))</f>
        <v>Affordable</v>
      </c>
      <c r="AG615" t="str">
        <f>IF(J615&gt;=4.5,"Excellent",IF(J615&gt;=3.5,"Good",IF(J615&gt;=2.5,"Average","Poor")))</f>
        <v>Poor</v>
      </c>
      <c r="AH615" t="str">
        <f>IF(OR(TEXT(N615,"dddd")="Saturday",TEXT(N615,"dddd")="Sunday"),"Weekend","Weekday")</f>
        <v>Weekend</v>
      </c>
    </row>
    <row r="616" spans="1:34" x14ac:dyDescent="0.3">
      <c r="A616">
        <v>625</v>
      </c>
      <c r="B616">
        <v>28</v>
      </c>
      <c r="C616" t="s">
        <v>35</v>
      </c>
      <c r="D616" t="s">
        <v>89</v>
      </c>
      <c r="E616" t="s">
        <v>90</v>
      </c>
      <c r="F616">
        <v>100</v>
      </c>
      <c r="G616">
        <v>42</v>
      </c>
      <c r="H616" t="s">
        <v>24</v>
      </c>
      <c r="I616" t="s">
        <v>25</v>
      </c>
      <c r="J616">
        <v>5</v>
      </c>
      <c r="K616" t="s">
        <v>215</v>
      </c>
      <c r="L616" t="s">
        <v>1355</v>
      </c>
      <c r="M616" t="s">
        <v>1356</v>
      </c>
      <c r="N616" s="2">
        <v>46272</v>
      </c>
      <c r="O616" s="2">
        <v>46314</v>
      </c>
      <c r="P616" t="s">
        <v>43</v>
      </c>
      <c r="Q616" t="s">
        <v>71</v>
      </c>
      <c r="R616" t="s">
        <v>45</v>
      </c>
      <c r="S616" t="s">
        <v>84</v>
      </c>
      <c r="T616" t="s">
        <v>33</v>
      </c>
      <c r="U616" t="s">
        <v>34</v>
      </c>
      <c r="V616" t="str">
        <f>IF(B616&lt;=18,"Children",IF(B616&lt;=35,"Young adult",IF(B616&lt;=60,"Adult", "Senior Citizen")))</f>
        <v>Young adult</v>
      </c>
      <c r="W616" t="str">
        <f t="shared" si="63"/>
        <v>Sep</v>
      </c>
      <c r="X616">
        <f t="shared" si="64"/>
        <v>9</v>
      </c>
      <c r="Y616" t="str">
        <f t="shared" si="65"/>
        <v>Q3</v>
      </c>
      <c r="Z616">
        <f t="shared" si="66"/>
        <v>2026</v>
      </c>
      <c r="AA616" t="str">
        <f t="shared" si="67"/>
        <v>Monday</v>
      </c>
      <c r="AB616">
        <f t="shared" si="68"/>
        <v>-42</v>
      </c>
      <c r="AC616" t="str">
        <f>IF(OR(D616="Heart Disease",D616="Cancer",D616="Stroke"),"High",IF(OR(D616="Diabetes",D616="Asthma"),"Medium","Low"))</f>
        <v>Low</v>
      </c>
      <c r="AD616" t="str">
        <f t="shared" si="69"/>
        <v>No</v>
      </c>
      <c r="AE616" t="str">
        <f>IF(G616&lt;=2,"Short Stay", IF(G616&lt;=7,"Normal Stay", "Long Stay"))</f>
        <v>Long Stay</v>
      </c>
      <c r="AF616" t="str">
        <f>IF(F616&gt;60000,"Expensive",IF(F616&gt;30000,"Moderate","Affordable"))</f>
        <v>Affordable</v>
      </c>
      <c r="AG616" t="str">
        <f>IF(J616&gt;=4.5,"Excellent",IF(J616&gt;=3.5,"Good",IF(J616&gt;=2.5,"Average","Poor")))</f>
        <v>Excellent</v>
      </c>
      <c r="AH616" t="str">
        <f>IF(OR(TEXT(N616,"dddd")="Saturday",TEXT(N616,"dddd")="Sunday"),"Weekend","Weekday")</f>
        <v>Weekday</v>
      </c>
    </row>
    <row r="617" spans="1:34" x14ac:dyDescent="0.3">
      <c r="A617">
        <v>626</v>
      </c>
      <c r="B617">
        <v>52</v>
      </c>
      <c r="C617" t="s">
        <v>21</v>
      </c>
      <c r="D617" t="s">
        <v>94</v>
      </c>
      <c r="E617" t="s">
        <v>95</v>
      </c>
      <c r="F617">
        <v>800</v>
      </c>
      <c r="G617">
        <v>43</v>
      </c>
      <c r="H617" t="s">
        <v>24</v>
      </c>
      <c r="I617" t="s">
        <v>39</v>
      </c>
      <c r="J617">
        <v>4</v>
      </c>
      <c r="K617" t="s">
        <v>380</v>
      </c>
      <c r="L617" t="s">
        <v>1357</v>
      </c>
      <c r="M617" t="s">
        <v>1358</v>
      </c>
      <c r="N617" s="2">
        <v>46273</v>
      </c>
      <c r="O617" s="2">
        <v>46316</v>
      </c>
      <c r="P617" t="s">
        <v>43</v>
      </c>
      <c r="Q617" t="s">
        <v>139</v>
      </c>
      <c r="R617" t="s">
        <v>45</v>
      </c>
      <c r="S617" t="s">
        <v>77</v>
      </c>
      <c r="T617" t="s">
        <v>33</v>
      </c>
      <c r="U617" t="s">
        <v>34</v>
      </c>
      <c r="V617" t="str">
        <f>IF(B617&lt;=18,"Children",IF(B617&lt;=35,"Young adult",IF(B617&lt;=60,"Adult", "Senior Citizen")))</f>
        <v>Adult</v>
      </c>
      <c r="W617" t="str">
        <f t="shared" si="63"/>
        <v>Sep</v>
      </c>
      <c r="X617">
        <f t="shared" si="64"/>
        <v>9</v>
      </c>
      <c r="Y617" t="str">
        <f t="shared" si="65"/>
        <v>Q3</v>
      </c>
      <c r="Z617">
        <f t="shared" si="66"/>
        <v>2026</v>
      </c>
      <c r="AA617" t="str">
        <f t="shared" si="67"/>
        <v>Tuesday</v>
      </c>
      <c r="AB617">
        <f t="shared" si="68"/>
        <v>-43</v>
      </c>
      <c r="AC617" t="str">
        <f>IF(OR(D617="Heart Disease",D617="Cancer",D617="Stroke"),"High",IF(OR(D617="Diabetes",D617="Asthma"),"Medium","Low"))</f>
        <v>Low</v>
      </c>
      <c r="AD617" t="str">
        <f t="shared" si="69"/>
        <v>No</v>
      </c>
      <c r="AE617" t="str">
        <f>IF(G617&lt;=2,"Short Stay", IF(G617&lt;=7,"Normal Stay", "Long Stay"))</f>
        <v>Long Stay</v>
      </c>
      <c r="AF617" t="str">
        <f>IF(F617&gt;60000,"Expensive",IF(F617&gt;30000,"Moderate","Affordable"))</f>
        <v>Affordable</v>
      </c>
      <c r="AG617" t="str">
        <f>IF(J617&gt;=4.5,"Excellent",IF(J617&gt;=3.5,"Good",IF(J617&gt;=2.5,"Average","Poor")))</f>
        <v>Good</v>
      </c>
      <c r="AH617" t="str">
        <f>IF(OR(TEXT(N617,"dddd")="Saturday",TEXT(N617,"dddd")="Sunday"),"Weekend","Weekday")</f>
        <v>Weekday</v>
      </c>
    </row>
    <row r="618" spans="1:34" x14ac:dyDescent="0.3">
      <c r="A618">
        <v>627</v>
      </c>
      <c r="B618">
        <v>67</v>
      </c>
      <c r="C618" t="s">
        <v>35</v>
      </c>
      <c r="D618" t="s">
        <v>99</v>
      </c>
      <c r="E618" t="s">
        <v>100</v>
      </c>
      <c r="F618">
        <v>20000</v>
      </c>
      <c r="G618">
        <v>50</v>
      </c>
      <c r="H618" t="s">
        <v>24</v>
      </c>
      <c r="I618" t="s">
        <v>25</v>
      </c>
      <c r="J618">
        <v>3</v>
      </c>
      <c r="K618" t="s">
        <v>49</v>
      </c>
      <c r="L618" t="s">
        <v>1359</v>
      </c>
      <c r="M618" t="s">
        <v>1360</v>
      </c>
      <c r="N618" s="2">
        <v>46274</v>
      </c>
      <c r="O618" s="2">
        <v>46324</v>
      </c>
      <c r="P618" t="s">
        <v>29</v>
      </c>
      <c r="Q618" t="s">
        <v>139</v>
      </c>
      <c r="R618" t="s">
        <v>45</v>
      </c>
      <c r="S618" t="s">
        <v>77</v>
      </c>
      <c r="T618" t="s">
        <v>33</v>
      </c>
      <c r="U618" t="s">
        <v>78</v>
      </c>
      <c r="V618" t="str">
        <f>IF(B618&lt;=18,"Children",IF(B618&lt;=35,"Young adult",IF(B618&lt;=60,"Adult", "Senior Citizen")))</f>
        <v>Senior Citizen</v>
      </c>
      <c r="W618" t="str">
        <f t="shared" si="63"/>
        <v>Sep</v>
      </c>
      <c r="X618">
        <f t="shared" si="64"/>
        <v>9</v>
      </c>
      <c r="Y618" t="str">
        <f t="shared" si="65"/>
        <v>Q3</v>
      </c>
      <c r="Z618">
        <f t="shared" si="66"/>
        <v>2026</v>
      </c>
      <c r="AA618" t="str">
        <f t="shared" si="67"/>
        <v>Wednesday</v>
      </c>
      <c r="AB618">
        <f t="shared" si="68"/>
        <v>-50</v>
      </c>
      <c r="AC618" t="str">
        <f>IF(OR(D618="Heart Disease",D618="Cancer",D618="Stroke"),"High",IF(OR(D618="Diabetes",D618="Asthma"),"Medium","Low"))</f>
        <v>Low</v>
      </c>
      <c r="AD618" t="str">
        <f t="shared" si="69"/>
        <v>No</v>
      </c>
      <c r="AE618" t="str">
        <f>IF(G618&lt;=2,"Short Stay", IF(G618&lt;=7,"Normal Stay", "Long Stay"))</f>
        <v>Long Stay</v>
      </c>
      <c r="AF618" t="str">
        <f>IF(F618&gt;60000,"Expensive",IF(F618&gt;30000,"Moderate","Affordable"))</f>
        <v>Affordable</v>
      </c>
      <c r="AG618" t="str">
        <f>IF(J618&gt;=4.5,"Excellent",IF(J618&gt;=3.5,"Good",IF(J618&gt;=2.5,"Average","Poor")))</f>
        <v>Average</v>
      </c>
      <c r="AH618" t="str">
        <f>IF(OR(TEXT(N618,"dddd")="Saturday",TEXT(N618,"dddd")="Sunday"),"Weekend","Weekday")</f>
        <v>Weekday</v>
      </c>
    </row>
    <row r="619" spans="1:34" x14ac:dyDescent="0.3">
      <c r="A619">
        <v>628</v>
      </c>
      <c r="B619">
        <v>35</v>
      </c>
      <c r="C619" t="s">
        <v>21</v>
      </c>
      <c r="D619" t="s">
        <v>105</v>
      </c>
      <c r="E619" t="s">
        <v>106</v>
      </c>
      <c r="F619">
        <v>12000</v>
      </c>
      <c r="G619">
        <v>44</v>
      </c>
      <c r="H619" t="s">
        <v>24</v>
      </c>
      <c r="I619" t="s">
        <v>25</v>
      </c>
      <c r="J619">
        <v>4</v>
      </c>
      <c r="K619" t="s">
        <v>157</v>
      </c>
      <c r="L619" t="s">
        <v>1361</v>
      </c>
      <c r="M619" t="s">
        <v>1362</v>
      </c>
      <c r="N619" s="2">
        <v>46275</v>
      </c>
      <c r="O619" s="2">
        <v>46319</v>
      </c>
      <c r="P619" t="s">
        <v>43</v>
      </c>
      <c r="Q619" t="s">
        <v>30</v>
      </c>
      <c r="R619" t="s">
        <v>45</v>
      </c>
      <c r="S619" t="s">
        <v>77</v>
      </c>
      <c r="T619" t="s">
        <v>33</v>
      </c>
      <c r="U619" t="s">
        <v>34</v>
      </c>
      <c r="V619" t="str">
        <f>IF(B619&lt;=18,"Children",IF(B619&lt;=35,"Young adult",IF(B619&lt;=60,"Adult", "Senior Citizen")))</f>
        <v>Young adult</v>
      </c>
      <c r="W619" t="str">
        <f t="shared" si="63"/>
        <v>Sep</v>
      </c>
      <c r="X619">
        <f t="shared" si="64"/>
        <v>9</v>
      </c>
      <c r="Y619" t="str">
        <f t="shared" si="65"/>
        <v>Q3</v>
      </c>
      <c r="Z619">
        <f t="shared" si="66"/>
        <v>2026</v>
      </c>
      <c r="AA619" t="str">
        <f t="shared" si="67"/>
        <v>Thursday</v>
      </c>
      <c r="AB619">
        <f t="shared" si="68"/>
        <v>-44</v>
      </c>
      <c r="AC619" t="str">
        <f>IF(OR(D619="Heart Disease",D619="Cancer",D619="Stroke"),"High",IF(OR(D619="Diabetes",D619="Asthma"),"Medium","Low"))</f>
        <v>Low</v>
      </c>
      <c r="AD619" t="str">
        <f t="shared" si="69"/>
        <v>No</v>
      </c>
      <c r="AE619" t="str">
        <f>IF(G619&lt;=2,"Short Stay", IF(G619&lt;=7,"Normal Stay", "Long Stay"))</f>
        <v>Long Stay</v>
      </c>
      <c r="AF619" t="str">
        <f>IF(F619&gt;60000,"Expensive",IF(F619&gt;30000,"Moderate","Affordable"))</f>
        <v>Affordable</v>
      </c>
      <c r="AG619" t="str">
        <f>IF(J619&gt;=4.5,"Excellent",IF(J619&gt;=3.5,"Good",IF(J619&gt;=2.5,"Average","Poor")))</f>
        <v>Good</v>
      </c>
      <c r="AH619" t="str">
        <f>IF(OR(TEXT(N619,"dddd")="Saturday",TEXT(N619,"dddd")="Sunday"),"Weekend","Weekday")</f>
        <v>Weekday</v>
      </c>
    </row>
    <row r="620" spans="1:34" x14ac:dyDescent="0.3">
      <c r="A620">
        <v>629</v>
      </c>
      <c r="B620">
        <v>50</v>
      </c>
      <c r="C620" t="s">
        <v>35</v>
      </c>
      <c r="D620" t="s">
        <v>111</v>
      </c>
      <c r="E620" t="s">
        <v>112</v>
      </c>
      <c r="F620">
        <v>6000</v>
      </c>
      <c r="G620">
        <v>45</v>
      </c>
      <c r="H620" t="s">
        <v>24</v>
      </c>
      <c r="I620" t="s">
        <v>25</v>
      </c>
      <c r="J620">
        <v>3</v>
      </c>
      <c r="K620" t="s">
        <v>101</v>
      </c>
      <c r="L620" t="s">
        <v>1363</v>
      </c>
      <c r="M620" t="s">
        <v>1364</v>
      </c>
      <c r="N620" s="2">
        <v>46276</v>
      </c>
      <c r="O620" s="2">
        <v>46321</v>
      </c>
      <c r="P620" t="s">
        <v>29</v>
      </c>
      <c r="Q620" t="s">
        <v>52</v>
      </c>
      <c r="R620" t="s">
        <v>45</v>
      </c>
      <c r="S620" t="s">
        <v>72</v>
      </c>
      <c r="T620" t="s">
        <v>33</v>
      </c>
      <c r="U620" t="s">
        <v>46</v>
      </c>
      <c r="V620" t="str">
        <f>IF(B620&lt;=18,"Children",IF(B620&lt;=35,"Young adult",IF(B620&lt;=60,"Adult", "Senior Citizen")))</f>
        <v>Adult</v>
      </c>
      <c r="W620" t="str">
        <f t="shared" si="63"/>
        <v>Sep</v>
      </c>
      <c r="X620">
        <f t="shared" si="64"/>
        <v>9</v>
      </c>
      <c r="Y620" t="str">
        <f t="shared" si="65"/>
        <v>Q3</v>
      </c>
      <c r="Z620">
        <f t="shared" si="66"/>
        <v>2026</v>
      </c>
      <c r="AA620" t="str">
        <f t="shared" si="67"/>
        <v>Friday</v>
      </c>
      <c r="AB620">
        <f t="shared" si="68"/>
        <v>-45</v>
      </c>
      <c r="AC620" t="str">
        <f>IF(OR(D620="Heart Disease",D620="Cancer",D620="Stroke"),"High",IF(OR(D620="Diabetes",D620="Asthma"),"Medium","Low"))</f>
        <v>Low</v>
      </c>
      <c r="AD620" t="str">
        <f t="shared" si="69"/>
        <v>No</v>
      </c>
      <c r="AE620" t="str">
        <f>IF(G620&lt;=2,"Short Stay", IF(G620&lt;=7,"Normal Stay", "Long Stay"))</f>
        <v>Long Stay</v>
      </c>
      <c r="AF620" t="str">
        <f>IF(F620&gt;60000,"Expensive",IF(F620&gt;30000,"Moderate","Affordable"))</f>
        <v>Affordable</v>
      </c>
      <c r="AG620" t="str">
        <f>IF(J620&gt;=4.5,"Excellent",IF(J620&gt;=3.5,"Good",IF(J620&gt;=2.5,"Average","Poor")))</f>
        <v>Average</v>
      </c>
      <c r="AH620" t="str">
        <f>IF(OR(TEXT(N620,"dddd")="Saturday",TEXT(N620,"dddd")="Sunday"),"Weekend","Weekday")</f>
        <v>Weekday</v>
      </c>
    </row>
    <row r="621" spans="1:34" x14ac:dyDescent="0.3">
      <c r="A621">
        <v>630</v>
      </c>
      <c r="B621">
        <v>60</v>
      </c>
      <c r="C621" t="s">
        <v>21</v>
      </c>
      <c r="D621" t="s">
        <v>116</v>
      </c>
      <c r="E621" t="s">
        <v>117</v>
      </c>
      <c r="F621">
        <v>4000</v>
      </c>
      <c r="G621">
        <v>46</v>
      </c>
      <c r="H621" t="s">
        <v>24</v>
      </c>
      <c r="I621" t="s">
        <v>39</v>
      </c>
      <c r="J621">
        <v>4</v>
      </c>
      <c r="K621" t="s">
        <v>223</v>
      </c>
      <c r="L621" t="s">
        <v>1365</v>
      </c>
      <c r="M621" t="s">
        <v>1366</v>
      </c>
      <c r="N621" s="2">
        <v>46277</v>
      </c>
      <c r="O621" s="2">
        <v>46323</v>
      </c>
      <c r="P621" t="s">
        <v>43</v>
      </c>
      <c r="Q621" t="s">
        <v>139</v>
      </c>
      <c r="R621" t="s">
        <v>45</v>
      </c>
      <c r="S621" t="s">
        <v>110</v>
      </c>
      <c r="T621" t="s">
        <v>33</v>
      </c>
      <c r="U621" t="s">
        <v>46</v>
      </c>
      <c r="V621" t="str">
        <f>IF(B621&lt;=18,"Children",IF(B621&lt;=35,"Young adult",IF(B621&lt;=60,"Adult", "Senior Citizen")))</f>
        <v>Adult</v>
      </c>
      <c r="W621" t="str">
        <f t="shared" si="63"/>
        <v>Sep</v>
      </c>
      <c r="X621">
        <f t="shared" si="64"/>
        <v>9</v>
      </c>
      <c r="Y621" t="str">
        <f t="shared" si="65"/>
        <v>Q3</v>
      </c>
      <c r="Z621">
        <f t="shared" si="66"/>
        <v>2026</v>
      </c>
      <c r="AA621" t="str">
        <f t="shared" si="67"/>
        <v>Saturday</v>
      </c>
      <c r="AB621">
        <f t="shared" si="68"/>
        <v>-46</v>
      </c>
      <c r="AC621" t="str">
        <f>IF(OR(D621="Heart Disease",D621="Cancer",D621="Stroke"),"High",IF(OR(D621="Diabetes",D621="Asthma"),"Medium","Low"))</f>
        <v>Low</v>
      </c>
      <c r="AD621" t="str">
        <f t="shared" si="69"/>
        <v>No</v>
      </c>
      <c r="AE621" t="str">
        <f>IF(G621&lt;=2,"Short Stay", IF(G621&lt;=7,"Normal Stay", "Long Stay"))</f>
        <v>Long Stay</v>
      </c>
      <c r="AF621" t="str">
        <f>IF(F621&gt;60000,"Expensive",IF(F621&gt;30000,"Moderate","Affordable"))</f>
        <v>Affordable</v>
      </c>
      <c r="AG621" t="str">
        <f>IF(J621&gt;=4.5,"Excellent",IF(J621&gt;=3.5,"Good",IF(J621&gt;=2.5,"Average","Poor")))</f>
        <v>Good</v>
      </c>
      <c r="AH621" t="str">
        <f>IF(OR(TEXT(N621,"dddd")="Saturday",TEXT(N621,"dddd")="Sunday"),"Weekend","Weekday")</f>
        <v>Weekend</v>
      </c>
    </row>
    <row r="622" spans="1:34" x14ac:dyDescent="0.3">
      <c r="A622">
        <v>631</v>
      </c>
      <c r="B622">
        <v>48</v>
      </c>
      <c r="C622" t="s">
        <v>21</v>
      </c>
      <c r="D622" t="s">
        <v>22</v>
      </c>
      <c r="E622" t="s">
        <v>23</v>
      </c>
      <c r="F622">
        <v>15000</v>
      </c>
      <c r="G622">
        <v>47</v>
      </c>
      <c r="H622" t="s">
        <v>38</v>
      </c>
      <c r="I622" t="s">
        <v>25</v>
      </c>
      <c r="J622">
        <v>4</v>
      </c>
      <c r="K622" t="s">
        <v>68</v>
      </c>
      <c r="L622" t="s">
        <v>1367</v>
      </c>
      <c r="M622" t="s">
        <v>1368</v>
      </c>
      <c r="N622" s="2">
        <v>46278</v>
      </c>
      <c r="O622" s="2">
        <v>46325</v>
      </c>
      <c r="P622" t="s">
        <v>43</v>
      </c>
      <c r="Q622" t="s">
        <v>71</v>
      </c>
      <c r="R622" t="s">
        <v>31</v>
      </c>
      <c r="S622" t="s">
        <v>53</v>
      </c>
      <c r="T622" t="s">
        <v>33</v>
      </c>
      <c r="U622" t="s">
        <v>104</v>
      </c>
      <c r="V622" t="str">
        <f>IF(B622&lt;=18,"Children",IF(B622&lt;=35,"Young adult",IF(B622&lt;=60,"Adult", "Senior Citizen")))</f>
        <v>Adult</v>
      </c>
      <c r="W622" t="str">
        <f t="shared" si="63"/>
        <v>Sep</v>
      </c>
      <c r="X622">
        <f t="shared" si="64"/>
        <v>9</v>
      </c>
      <c r="Y622" t="str">
        <f t="shared" si="65"/>
        <v>Q3</v>
      </c>
      <c r="Z622">
        <f t="shared" si="66"/>
        <v>2026</v>
      </c>
      <c r="AA622" t="str">
        <f t="shared" si="67"/>
        <v>Sunday</v>
      </c>
      <c r="AB622">
        <f t="shared" si="68"/>
        <v>-47</v>
      </c>
      <c r="AC622" t="str">
        <f>IF(OR(D622="Heart Disease",D622="Cancer",D622="Stroke"),"High",IF(OR(D622="Diabetes",D622="Asthma"),"Medium","Low"))</f>
        <v>High</v>
      </c>
      <c r="AD622" t="str">
        <f t="shared" si="69"/>
        <v>Yes</v>
      </c>
      <c r="AE622" t="str">
        <f>IF(G622&lt;=2,"Short Stay", IF(G622&lt;=7,"Normal Stay", "Long Stay"))</f>
        <v>Long Stay</v>
      </c>
      <c r="AF622" t="str">
        <f>IF(F622&gt;60000,"Expensive",IF(F622&gt;30000,"Moderate","Affordable"))</f>
        <v>Affordable</v>
      </c>
      <c r="AG622" t="str">
        <f>IF(J622&gt;=4.5,"Excellent",IF(J622&gt;=3.5,"Good",IF(J622&gt;=2.5,"Average","Poor")))</f>
        <v>Good</v>
      </c>
      <c r="AH622" t="str">
        <f>IF(OR(TEXT(N622,"dddd")="Saturday",TEXT(N622,"dddd")="Sunday"),"Weekend","Weekday")</f>
        <v>Weekend</v>
      </c>
    </row>
    <row r="623" spans="1:34" x14ac:dyDescent="0.3">
      <c r="A623">
        <v>632</v>
      </c>
      <c r="B623">
        <v>65</v>
      </c>
      <c r="C623" t="s">
        <v>35</v>
      </c>
      <c r="D623" t="s">
        <v>36</v>
      </c>
      <c r="E623" t="s">
        <v>37</v>
      </c>
      <c r="F623">
        <v>2000</v>
      </c>
      <c r="G623">
        <v>45</v>
      </c>
      <c r="H623" t="s">
        <v>24</v>
      </c>
      <c r="I623" t="s">
        <v>39</v>
      </c>
      <c r="J623">
        <v>3</v>
      </c>
      <c r="K623" t="s">
        <v>317</v>
      </c>
      <c r="L623" t="s">
        <v>1369</v>
      </c>
      <c r="M623" t="s">
        <v>1370</v>
      </c>
      <c r="N623" s="2">
        <v>46279</v>
      </c>
      <c r="O623" s="2">
        <v>46324</v>
      </c>
      <c r="P623" t="s">
        <v>29</v>
      </c>
      <c r="Q623" t="s">
        <v>139</v>
      </c>
      <c r="R623" t="s">
        <v>45</v>
      </c>
      <c r="S623" t="s">
        <v>84</v>
      </c>
      <c r="T623" t="s">
        <v>33</v>
      </c>
      <c r="U623" t="s">
        <v>78</v>
      </c>
      <c r="V623" t="str">
        <f>IF(B623&lt;=18,"Children",IF(B623&lt;=35,"Young adult",IF(B623&lt;=60,"Adult", "Senior Citizen")))</f>
        <v>Senior Citizen</v>
      </c>
      <c r="W623" t="str">
        <f t="shared" si="63"/>
        <v>Sep</v>
      </c>
      <c r="X623">
        <f t="shared" si="64"/>
        <v>9</v>
      </c>
      <c r="Y623" t="str">
        <f t="shared" si="65"/>
        <v>Q3</v>
      </c>
      <c r="Z623">
        <f t="shared" si="66"/>
        <v>2026</v>
      </c>
      <c r="AA623" t="str">
        <f t="shared" si="67"/>
        <v>Monday</v>
      </c>
      <c r="AB623">
        <f t="shared" si="68"/>
        <v>-45</v>
      </c>
      <c r="AC623" t="str">
        <f>IF(OR(D623="Heart Disease",D623="Cancer",D623="Stroke"),"High",IF(OR(D623="Diabetes",D623="Asthma"),"Medium","Low"))</f>
        <v>Medium</v>
      </c>
      <c r="AD623" t="str">
        <f t="shared" si="69"/>
        <v>No</v>
      </c>
      <c r="AE623" t="str">
        <f>IF(G623&lt;=2,"Short Stay", IF(G623&lt;=7,"Normal Stay", "Long Stay"))</f>
        <v>Long Stay</v>
      </c>
      <c r="AF623" t="str">
        <f>IF(F623&gt;60000,"Expensive",IF(F623&gt;30000,"Moderate","Affordable"))</f>
        <v>Affordable</v>
      </c>
      <c r="AG623" t="str">
        <f>IF(J623&gt;=4.5,"Excellent",IF(J623&gt;=3.5,"Good",IF(J623&gt;=2.5,"Average","Poor")))</f>
        <v>Average</v>
      </c>
      <c r="AH623" t="str">
        <f>IF(OR(TEXT(N623,"dddd")="Saturday",TEXT(N623,"dddd")="Sunday"),"Weekend","Weekday")</f>
        <v>Weekday</v>
      </c>
    </row>
    <row r="624" spans="1:34" x14ac:dyDescent="0.3">
      <c r="A624">
        <v>633</v>
      </c>
      <c r="B624">
        <v>30</v>
      </c>
      <c r="C624" t="s">
        <v>21</v>
      </c>
      <c r="D624" t="s">
        <v>47</v>
      </c>
      <c r="E624" t="s">
        <v>48</v>
      </c>
      <c r="F624">
        <v>500</v>
      </c>
      <c r="G624">
        <v>43</v>
      </c>
      <c r="H624" t="s">
        <v>24</v>
      </c>
      <c r="I624" t="s">
        <v>25</v>
      </c>
      <c r="J624">
        <v>5</v>
      </c>
      <c r="K624" t="s">
        <v>329</v>
      </c>
      <c r="L624" t="s">
        <v>1371</v>
      </c>
      <c r="M624" t="s">
        <v>1372</v>
      </c>
      <c r="N624" s="2">
        <v>46280</v>
      </c>
      <c r="O624" s="2">
        <v>46323</v>
      </c>
      <c r="P624" t="s">
        <v>29</v>
      </c>
      <c r="Q624" t="s">
        <v>139</v>
      </c>
      <c r="R624" t="s">
        <v>45</v>
      </c>
      <c r="S624" t="s">
        <v>110</v>
      </c>
      <c r="T624" t="s">
        <v>33</v>
      </c>
      <c r="U624" t="s">
        <v>46</v>
      </c>
      <c r="V624" t="str">
        <f>IF(B624&lt;=18,"Children",IF(B624&lt;=35,"Young adult",IF(B624&lt;=60,"Adult", "Senior Citizen")))</f>
        <v>Young adult</v>
      </c>
      <c r="W624" t="str">
        <f t="shared" si="63"/>
        <v>Sep</v>
      </c>
      <c r="X624">
        <f t="shared" si="64"/>
        <v>9</v>
      </c>
      <c r="Y624" t="str">
        <f t="shared" si="65"/>
        <v>Q3</v>
      </c>
      <c r="Z624">
        <f t="shared" si="66"/>
        <v>2026</v>
      </c>
      <c r="AA624" t="str">
        <f t="shared" si="67"/>
        <v>Tuesday</v>
      </c>
      <c r="AB624">
        <f t="shared" si="68"/>
        <v>-43</v>
      </c>
      <c r="AC624" t="str">
        <f>IF(OR(D624="Heart Disease",D624="Cancer",D624="Stroke"),"High",IF(OR(D624="Diabetes",D624="Asthma"),"Medium","Low"))</f>
        <v>Low</v>
      </c>
      <c r="AD624" t="str">
        <f t="shared" si="69"/>
        <v>No</v>
      </c>
      <c r="AE624" t="str">
        <f>IF(G624&lt;=2,"Short Stay", IF(G624&lt;=7,"Normal Stay", "Long Stay"))</f>
        <v>Long Stay</v>
      </c>
      <c r="AF624" t="str">
        <f>IF(F624&gt;60000,"Expensive",IF(F624&gt;30000,"Moderate","Affordable"))</f>
        <v>Affordable</v>
      </c>
      <c r="AG624" t="str">
        <f>IF(J624&gt;=4.5,"Excellent",IF(J624&gt;=3.5,"Good",IF(J624&gt;=2.5,"Average","Poor")))</f>
        <v>Excellent</v>
      </c>
      <c r="AH624" t="str">
        <f>IF(OR(TEXT(N624,"dddd")="Saturday",TEXT(N624,"dddd")="Sunday"),"Weekend","Weekday")</f>
        <v>Weekday</v>
      </c>
    </row>
    <row r="625" spans="1:34" x14ac:dyDescent="0.3">
      <c r="A625">
        <v>634</v>
      </c>
      <c r="B625">
        <v>70</v>
      </c>
      <c r="C625" t="s">
        <v>35</v>
      </c>
      <c r="D625" t="s">
        <v>54</v>
      </c>
      <c r="E625" t="s">
        <v>55</v>
      </c>
      <c r="F625">
        <v>10000</v>
      </c>
      <c r="G625">
        <v>50</v>
      </c>
      <c r="H625" t="s">
        <v>38</v>
      </c>
      <c r="I625" t="s">
        <v>39</v>
      </c>
      <c r="J625">
        <v>2</v>
      </c>
      <c r="K625" t="s">
        <v>125</v>
      </c>
      <c r="L625" t="s">
        <v>1373</v>
      </c>
      <c r="M625" t="s">
        <v>1374</v>
      </c>
      <c r="N625" s="2">
        <v>46281</v>
      </c>
      <c r="O625" s="2">
        <v>46331</v>
      </c>
      <c r="P625" t="s">
        <v>29</v>
      </c>
      <c r="Q625" t="s">
        <v>44</v>
      </c>
      <c r="R625" t="s">
        <v>59</v>
      </c>
      <c r="S625" t="s">
        <v>110</v>
      </c>
      <c r="T625" t="s">
        <v>33</v>
      </c>
      <c r="U625" t="s">
        <v>104</v>
      </c>
      <c r="V625" t="str">
        <f>IF(B625&lt;=18,"Children",IF(B625&lt;=35,"Young adult",IF(B625&lt;=60,"Adult", "Senior Citizen")))</f>
        <v>Senior Citizen</v>
      </c>
      <c r="W625" t="str">
        <f t="shared" si="63"/>
        <v>Sep</v>
      </c>
      <c r="X625">
        <f t="shared" si="64"/>
        <v>9</v>
      </c>
      <c r="Y625" t="str">
        <f t="shared" si="65"/>
        <v>Q3</v>
      </c>
      <c r="Z625">
        <f t="shared" si="66"/>
        <v>2026</v>
      </c>
      <c r="AA625" t="str">
        <f t="shared" si="67"/>
        <v>Wednesday</v>
      </c>
      <c r="AB625">
        <f t="shared" si="68"/>
        <v>-50</v>
      </c>
      <c r="AC625" t="str">
        <f>IF(OR(D625="Heart Disease",D625="Cancer",D625="Stroke"),"High",IF(OR(D625="Diabetes",D625="Asthma"),"Medium","Low"))</f>
        <v>High</v>
      </c>
      <c r="AD625" t="str">
        <f t="shared" si="69"/>
        <v>Yes</v>
      </c>
      <c r="AE625" t="str">
        <f>IF(G625&lt;=2,"Short Stay", IF(G625&lt;=7,"Normal Stay", "Long Stay"))</f>
        <v>Long Stay</v>
      </c>
      <c r="AF625" t="str">
        <f>IF(F625&gt;60000,"Expensive",IF(F625&gt;30000,"Moderate","Affordable"))</f>
        <v>Affordable</v>
      </c>
      <c r="AG625" t="str">
        <f>IF(J625&gt;=4.5,"Excellent",IF(J625&gt;=3.5,"Good",IF(J625&gt;=2.5,"Average","Poor")))</f>
        <v>Poor</v>
      </c>
      <c r="AH625" t="str">
        <f>IF(OR(TEXT(N625,"dddd")="Saturday",TEXT(N625,"dddd")="Sunday"),"Weekend","Weekday")</f>
        <v>Weekday</v>
      </c>
    </row>
    <row r="626" spans="1:34" x14ac:dyDescent="0.3">
      <c r="A626">
        <v>635</v>
      </c>
      <c r="B626">
        <v>55</v>
      </c>
      <c r="C626" t="s">
        <v>21</v>
      </c>
      <c r="D626" t="s">
        <v>60</v>
      </c>
      <c r="E626" t="s">
        <v>61</v>
      </c>
      <c r="F626">
        <v>25000</v>
      </c>
      <c r="G626">
        <v>52</v>
      </c>
      <c r="H626" t="s">
        <v>24</v>
      </c>
      <c r="I626" t="s">
        <v>25</v>
      </c>
      <c r="J626">
        <v>4</v>
      </c>
      <c r="K626" t="s">
        <v>169</v>
      </c>
      <c r="L626" t="s">
        <v>1375</v>
      </c>
      <c r="M626" t="s">
        <v>1376</v>
      </c>
      <c r="N626" s="2">
        <v>46282</v>
      </c>
      <c r="O626" s="2">
        <v>46334</v>
      </c>
      <c r="P626" t="s">
        <v>29</v>
      </c>
      <c r="Q626" t="s">
        <v>52</v>
      </c>
      <c r="R626" t="s">
        <v>65</v>
      </c>
      <c r="S626" t="s">
        <v>53</v>
      </c>
      <c r="T626" t="s">
        <v>33</v>
      </c>
      <c r="U626" t="s">
        <v>78</v>
      </c>
      <c r="V626" t="str">
        <f>IF(B626&lt;=18,"Children",IF(B626&lt;=35,"Young adult",IF(B626&lt;=60,"Adult", "Senior Citizen")))</f>
        <v>Adult</v>
      </c>
      <c r="W626" t="str">
        <f t="shared" si="63"/>
        <v>Sep</v>
      </c>
      <c r="X626">
        <f t="shared" si="64"/>
        <v>9</v>
      </c>
      <c r="Y626" t="str">
        <f t="shared" si="65"/>
        <v>Q3</v>
      </c>
      <c r="Z626">
        <f t="shared" si="66"/>
        <v>2026</v>
      </c>
      <c r="AA626" t="str">
        <f t="shared" si="67"/>
        <v>Thursday</v>
      </c>
      <c r="AB626">
        <f t="shared" si="68"/>
        <v>-52</v>
      </c>
      <c r="AC626" t="str">
        <f>IF(OR(D626="Heart Disease",D626="Cancer",D626="Stroke"),"High",IF(OR(D626="Diabetes",D626="Asthma"),"Medium","Low"))</f>
        <v>High</v>
      </c>
      <c r="AD626" t="str">
        <f t="shared" si="69"/>
        <v>Yes</v>
      </c>
      <c r="AE626" t="str">
        <f>IF(G626&lt;=2,"Short Stay", IF(G626&lt;=7,"Normal Stay", "Long Stay"))</f>
        <v>Long Stay</v>
      </c>
      <c r="AF626" t="str">
        <f>IF(F626&gt;60000,"Expensive",IF(F626&gt;30000,"Moderate","Affordable"))</f>
        <v>Affordable</v>
      </c>
      <c r="AG626" t="str">
        <f>IF(J626&gt;=4.5,"Excellent",IF(J626&gt;=3.5,"Good",IF(J626&gt;=2.5,"Average","Poor")))</f>
        <v>Good</v>
      </c>
      <c r="AH626" t="str">
        <f>IF(OR(TEXT(N626,"dddd")="Saturday",TEXT(N626,"dddd")="Sunday"),"Weekend","Weekday")</f>
        <v>Weekday</v>
      </c>
    </row>
    <row r="627" spans="1:34" x14ac:dyDescent="0.3">
      <c r="A627">
        <v>636</v>
      </c>
      <c r="B627">
        <v>68</v>
      </c>
      <c r="C627" t="s">
        <v>35</v>
      </c>
      <c r="D627" t="s">
        <v>66</v>
      </c>
      <c r="E627" t="s">
        <v>67</v>
      </c>
      <c r="F627">
        <v>1000</v>
      </c>
      <c r="G627">
        <v>46</v>
      </c>
      <c r="H627" t="s">
        <v>24</v>
      </c>
      <c r="I627" t="s">
        <v>39</v>
      </c>
      <c r="J627">
        <v>4</v>
      </c>
      <c r="K627" t="s">
        <v>218</v>
      </c>
      <c r="L627" t="s">
        <v>1377</v>
      </c>
      <c r="M627" t="s">
        <v>1378</v>
      </c>
      <c r="N627" s="2">
        <v>46283</v>
      </c>
      <c r="O627" s="2">
        <v>46329</v>
      </c>
      <c r="P627" t="s">
        <v>29</v>
      </c>
      <c r="Q627" t="s">
        <v>52</v>
      </c>
      <c r="R627" t="s">
        <v>45</v>
      </c>
      <c r="S627" t="s">
        <v>32</v>
      </c>
      <c r="T627" t="s">
        <v>33</v>
      </c>
      <c r="U627" t="s">
        <v>78</v>
      </c>
      <c r="V627" t="str">
        <f>IF(B627&lt;=18,"Children",IF(B627&lt;=35,"Young adult",IF(B627&lt;=60,"Adult", "Senior Citizen")))</f>
        <v>Senior Citizen</v>
      </c>
      <c r="W627" t="str">
        <f t="shared" si="63"/>
        <v>Sep</v>
      </c>
      <c r="X627">
        <f t="shared" si="64"/>
        <v>9</v>
      </c>
      <c r="Y627" t="str">
        <f t="shared" si="65"/>
        <v>Q3</v>
      </c>
      <c r="Z627">
        <f t="shared" si="66"/>
        <v>2026</v>
      </c>
      <c r="AA627" t="str">
        <f t="shared" si="67"/>
        <v>Friday</v>
      </c>
      <c r="AB627">
        <f t="shared" si="68"/>
        <v>-46</v>
      </c>
      <c r="AC627" t="str">
        <f>IF(OR(D627="Heart Disease",D627="Cancer",D627="Stroke"),"High",IF(OR(D627="Diabetes",D627="Asthma"),"Medium","Low"))</f>
        <v>Low</v>
      </c>
      <c r="AD627" t="str">
        <f t="shared" si="69"/>
        <v>No</v>
      </c>
      <c r="AE627" t="str">
        <f>IF(G627&lt;=2,"Short Stay", IF(G627&lt;=7,"Normal Stay", "Long Stay"))</f>
        <v>Long Stay</v>
      </c>
      <c r="AF627" t="str">
        <f>IF(F627&gt;60000,"Expensive",IF(F627&gt;30000,"Moderate","Affordable"))</f>
        <v>Affordable</v>
      </c>
      <c r="AG627" t="str">
        <f>IF(J627&gt;=4.5,"Excellent",IF(J627&gt;=3.5,"Good",IF(J627&gt;=2.5,"Average","Poor")))</f>
        <v>Good</v>
      </c>
      <c r="AH627" t="str">
        <f>IF(OR(TEXT(N627,"dddd")="Saturday",TEXT(N627,"dddd")="Sunday"),"Weekend","Weekday")</f>
        <v>Weekday</v>
      </c>
    </row>
    <row r="628" spans="1:34" x14ac:dyDescent="0.3">
      <c r="A628">
        <v>637</v>
      </c>
      <c r="B628">
        <v>45</v>
      </c>
      <c r="C628" t="s">
        <v>21</v>
      </c>
      <c r="D628" t="s">
        <v>73</v>
      </c>
      <c r="E628" t="s">
        <v>74</v>
      </c>
      <c r="F628">
        <v>8000</v>
      </c>
      <c r="G628">
        <v>48</v>
      </c>
      <c r="H628" t="s">
        <v>24</v>
      </c>
      <c r="I628" t="s">
        <v>25</v>
      </c>
      <c r="J628">
        <v>3</v>
      </c>
      <c r="K628" t="s">
        <v>281</v>
      </c>
      <c r="L628" t="s">
        <v>1379</v>
      </c>
      <c r="M628" t="s">
        <v>1380</v>
      </c>
      <c r="N628" s="2">
        <v>46284</v>
      </c>
      <c r="O628" s="2">
        <v>46332</v>
      </c>
      <c r="P628" t="s">
        <v>43</v>
      </c>
      <c r="Q628" t="s">
        <v>30</v>
      </c>
      <c r="R628" t="s">
        <v>45</v>
      </c>
      <c r="S628" t="s">
        <v>84</v>
      </c>
      <c r="T628" t="s">
        <v>33</v>
      </c>
      <c r="U628" t="s">
        <v>34</v>
      </c>
      <c r="V628" t="str">
        <f>IF(B628&lt;=18,"Children",IF(B628&lt;=35,"Young adult",IF(B628&lt;=60,"Adult", "Senior Citizen")))</f>
        <v>Adult</v>
      </c>
      <c r="W628" t="str">
        <f t="shared" si="63"/>
        <v>Sep</v>
      </c>
      <c r="X628">
        <f t="shared" si="64"/>
        <v>9</v>
      </c>
      <c r="Y628" t="str">
        <f t="shared" si="65"/>
        <v>Q3</v>
      </c>
      <c r="Z628">
        <f t="shared" si="66"/>
        <v>2026</v>
      </c>
      <c r="AA628" t="str">
        <f t="shared" si="67"/>
        <v>Saturday</v>
      </c>
      <c r="AB628">
        <f t="shared" si="68"/>
        <v>-48</v>
      </c>
      <c r="AC628" t="str">
        <f>IF(OR(D628="Heart Disease",D628="Cancer",D628="Stroke"),"High",IF(OR(D628="Diabetes",D628="Asthma"),"Medium","Low"))</f>
        <v>Low</v>
      </c>
      <c r="AD628" t="str">
        <f t="shared" si="69"/>
        <v>No</v>
      </c>
      <c r="AE628" t="str">
        <f>IF(G628&lt;=2,"Short Stay", IF(G628&lt;=7,"Normal Stay", "Long Stay"))</f>
        <v>Long Stay</v>
      </c>
      <c r="AF628" t="str">
        <f>IF(F628&gt;60000,"Expensive",IF(F628&gt;30000,"Moderate","Affordable"))</f>
        <v>Affordable</v>
      </c>
      <c r="AG628" t="str">
        <f>IF(J628&gt;=4.5,"Excellent",IF(J628&gt;=3.5,"Good",IF(J628&gt;=2.5,"Average","Poor")))</f>
        <v>Average</v>
      </c>
      <c r="AH628" t="str">
        <f>IF(OR(TEXT(N628,"dddd")="Saturday",TEXT(N628,"dddd")="Sunday"),"Weekend","Weekday")</f>
        <v>Weekend</v>
      </c>
    </row>
    <row r="629" spans="1:34" x14ac:dyDescent="0.3">
      <c r="A629">
        <v>638</v>
      </c>
      <c r="B629">
        <v>40</v>
      </c>
      <c r="C629" t="s">
        <v>35</v>
      </c>
      <c r="D629" t="s">
        <v>79</v>
      </c>
      <c r="E629" t="s">
        <v>80</v>
      </c>
      <c r="F629">
        <v>3000</v>
      </c>
      <c r="G629">
        <v>48</v>
      </c>
      <c r="H629" t="s">
        <v>24</v>
      </c>
      <c r="I629" t="s">
        <v>25</v>
      </c>
      <c r="J629">
        <v>4</v>
      </c>
      <c r="K629" t="s">
        <v>250</v>
      </c>
      <c r="L629" t="s">
        <v>1381</v>
      </c>
      <c r="M629" t="s">
        <v>1382</v>
      </c>
      <c r="N629" s="2">
        <v>46285</v>
      </c>
      <c r="O629" s="2">
        <v>46333</v>
      </c>
      <c r="P629" t="s">
        <v>29</v>
      </c>
      <c r="Q629" t="s">
        <v>52</v>
      </c>
      <c r="R629" t="s">
        <v>45</v>
      </c>
      <c r="S629" t="s">
        <v>77</v>
      </c>
      <c r="T629" t="s">
        <v>33</v>
      </c>
      <c r="U629" t="s">
        <v>104</v>
      </c>
      <c r="V629" t="str">
        <f>IF(B629&lt;=18,"Children",IF(B629&lt;=35,"Young adult",IF(B629&lt;=60,"Adult", "Senior Citizen")))</f>
        <v>Adult</v>
      </c>
      <c r="W629" t="str">
        <f t="shared" si="63"/>
        <v>Sep</v>
      </c>
      <c r="X629">
        <f t="shared" si="64"/>
        <v>9</v>
      </c>
      <c r="Y629" t="str">
        <f t="shared" si="65"/>
        <v>Q3</v>
      </c>
      <c r="Z629">
        <f t="shared" si="66"/>
        <v>2026</v>
      </c>
      <c r="AA629" t="str">
        <f t="shared" si="67"/>
        <v>Sunday</v>
      </c>
      <c r="AB629">
        <f t="shared" si="68"/>
        <v>-48</v>
      </c>
      <c r="AC629" t="str">
        <f>IF(OR(D629="Heart Disease",D629="Cancer",D629="Stroke"),"High",IF(OR(D629="Diabetes",D629="Asthma"),"Medium","Low"))</f>
        <v>Low</v>
      </c>
      <c r="AD629" t="str">
        <f t="shared" si="69"/>
        <v>No</v>
      </c>
      <c r="AE629" t="str">
        <f>IF(G629&lt;=2,"Short Stay", IF(G629&lt;=7,"Normal Stay", "Long Stay"))</f>
        <v>Long Stay</v>
      </c>
      <c r="AF629" t="str">
        <f>IF(F629&gt;60000,"Expensive",IF(F629&gt;30000,"Moderate","Affordable"))</f>
        <v>Affordable</v>
      </c>
      <c r="AG629" t="str">
        <f>IF(J629&gt;=4.5,"Excellent",IF(J629&gt;=3.5,"Good",IF(J629&gt;=2.5,"Average","Poor")))</f>
        <v>Good</v>
      </c>
      <c r="AH629" t="str">
        <f>IF(OR(TEXT(N629,"dddd")="Saturday",TEXT(N629,"dddd")="Sunday"),"Weekend","Weekday")</f>
        <v>Weekend</v>
      </c>
    </row>
    <row r="630" spans="1:34" x14ac:dyDescent="0.3">
      <c r="A630">
        <v>639</v>
      </c>
      <c r="B630">
        <v>78</v>
      </c>
      <c r="C630" t="s">
        <v>21</v>
      </c>
      <c r="D630" t="s">
        <v>85</v>
      </c>
      <c r="E630" t="s">
        <v>86</v>
      </c>
      <c r="F630">
        <v>18000</v>
      </c>
      <c r="G630">
        <v>50</v>
      </c>
      <c r="H630" t="s">
        <v>38</v>
      </c>
      <c r="I630" t="s">
        <v>39</v>
      </c>
      <c r="J630">
        <v>2</v>
      </c>
      <c r="K630" t="s">
        <v>56</v>
      </c>
      <c r="L630" t="s">
        <v>1383</v>
      </c>
      <c r="M630" t="s">
        <v>1384</v>
      </c>
      <c r="N630" s="2">
        <v>46286</v>
      </c>
      <c r="O630" s="2">
        <v>46336</v>
      </c>
      <c r="P630" t="s">
        <v>29</v>
      </c>
      <c r="Q630" t="s">
        <v>30</v>
      </c>
      <c r="R630" t="s">
        <v>45</v>
      </c>
      <c r="S630" t="s">
        <v>110</v>
      </c>
      <c r="T630" t="s">
        <v>33</v>
      </c>
      <c r="U630" t="s">
        <v>34</v>
      </c>
      <c r="V630" t="str">
        <f>IF(B630&lt;=18,"Children",IF(B630&lt;=35,"Young adult",IF(B630&lt;=60,"Adult", "Senior Citizen")))</f>
        <v>Senior Citizen</v>
      </c>
      <c r="W630" t="str">
        <f t="shared" si="63"/>
        <v>Sep</v>
      </c>
      <c r="X630">
        <f t="shared" si="64"/>
        <v>9</v>
      </c>
      <c r="Y630" t="str">
        <f t="shared" si="65"/>
        <v>Q3</v>
      </c>
      <c r="Z630">
        <f t="shared" si="66"/>
        <v>2026</v>
      </c>
      <c r="AA630" t="str">
        <f t="shared" si="67"/>
        <v>Monday</v>
      </c>
      <c r="AB630">
        <f t="shared" si="68"/>
        <v>-50</v>
      </c>
      <c r="AC630" t="str">
        <f>IF(OR(D630="Heart Disease",D630="Cancer",D630="Stroke"),"High",IF(OR(D630="Diabetes",D630="Asthma"),"Medium","Low"))</f>
        <v>Low</v>
      </c>
      <c r="AD630" t="str">
        <f t="shared" si="69"/>
        <v>No</v>
      </c>
      <c r="AE630" t="str">
        <f>IF(G630&lt;=2,"Short Stay", IF(G630&lt;=7,"Normal Stay", "Long Stay"))</f>
        <v>Long Stay</v>
      </c>
      <c r="AF630" t="str">
        <f>IF(F630&gt;60000,"Expensive",IF(F630&gt;30000,"Moderate","Affordable"))</f>
        <v>Affordable</v>
      </c>
      <c r="AG630" t="str">
        <f>IF(J630&gt;=4.5,"Excellent",IF(J630&gt;=3.5,"Good",IF(J630&gt;=2.5,"Average","Poor")))</f>
        <v>Poor</v>
      </c>
      <c r="AH630" t="str">
        <f>IF(OR(TEXT(N630,"dddd")="Saturday",TEXT(N630,"dddd")="Sunday"),"Weekend","Weekday")</f>
        <v>Weekday</v>
      </c>
    </row>
    <row r="631" spans="1:34" x14ac:dyDescent="0.3">
      <c r="A631">
        <v>640</v>
      </c>
      <c r="B631">
        <v>25</v>
      </c>
      <c r="C631" t="s">
        <v>35</v>
      </c>
      <c r="D631" t="s">
        <v>89</v>
      </c>
      <c r="E631" t="s">
        <v>90</v>
      </c>
      <c r="F631">
        <v>100</v>
      </c>
      <c r="G631">
        <v>43</v>
      </c>
      <c r="H631" t="s">
        <v>24</v>
      </c>
      <c r="I631" t="s">
        <v>25</v>
      </c>
      <c r="J631">
        <v>5</v>
      </c>
      <c r="K631" t="s">
        <v>324</v>
      </c>
      <c r="L631" t="s">
        <v>1385</v>
      </c>
      <c r="M631" t="s">
        <v>1386</v>
      </c>
      <c r="N631" s="2">
        <v>46287</v>
      </c>
      <c r="O631" s="2">
        <v>46330</v>
      </c>
      <c r="P631" t="s">
        <v>29</v>
      </c>
      <c r="Q631" t="s">
        <v>30</v>
      </c>
      <c r="R631" t="s">
        <v>45</v>
      </c>
      <c r="S631" t="s">
        <v>53</v>
      </c>
      <c r="T631" t="s">
        <v>33</v>
      </c>
      <c r="U631" t="s">
        <v>104</v>
      </c>
      <c r="V631" t="str">
        <f>IF(B631&lt;=18,"Children",IF(B631&lt;=35,"Young adult",IF(B631&lt;=60,"Adult", "Senior Citizen")))</f>
        <v>Young adult</v>
      </c>
      <c r="W631" t="str">
        <f t="shared" si="63"/>
        <v>Sep</v>
      </c>
      <c r="X631">
        <f t="shared" si="64"/>
        <v>9</v>
      </c>
      <c r="Y631" t="str">
        <f t="shared" si="65"/>
        <v>Q3</v>
      </c>
      <c r="Z631">
        <f t="shared" si="66"/>
        <v>2026</v>
      </c>
      <c r="AA631" t="str">
        <f t="shared" si="67"/>
        <v>Tuesday</v>
      </c>
      <c r="AB631">
        <f t="shared" si="68"/>
        <v>-43</v>
      </c>
      <c r="AC631" t="str">
        <f>IF(OR(D631="Heart Disease",D631="Cancer",D631="Stroke"),"High",IF(OR(D631="Diabetes",D631="Asthma"),"Medium","Low"))</f>
        <v>Low</v>
      </c>
      <c r="AD631" t="str">
        <f t="shared" si="69"/>
        <v>No</v>
      </c>
      <c r="AE631" t="str">
        <f>IF(G631&lt;=2,"Short Stay", IF(G631&lt;=7,"Normal Stay", "Long Stay"))</f>
        <v>Long Stay</v>
      </c>
      <c r="AF631" t="str">
        <f>IF(F631&gt;60000,"Expensive",IF(F631&gt;30000,"Moderate","Affordable"))</f>
        <v>Affordable</v>
      </c>
      <c r="AG631" t="str">
        <f>IF(J631&gt;=4.5,"Excellent",IF(J631&gt;=3.5,"Good",IF(J631&gt;=2.5,"Average","Poor")))</f>
        <v>Excellent</v>
      </c>
      <c r="AH631" t="str">
        <f>IF(OR(TEXT(N631,"dddd")="Saturday",TEXT(N631,"dddd")="Sunday"),"Weekend","Weekday")</f>
        <v>Weekday</v>
      </c>
    </row>
    <row r="632" spans="1:34" x14ac:dyDescent="0.3">
      <c r="A632">
        <v>641</v>
      </c>
      <c r="B632">
        <v>52</v>
      </c>
      <c r="C632" t="s">
        <v>21</v>
      </c>
      <c r="D632" t="s">
        <v>94</v>
      </c>
      <c r="E632" t="s">
        <v>95</v>
      </c>
      <c r="F632">
        <v>800</v>
      </c>
      <c r="G632">
        <v>44</v>
      </c>
      <c r="H632" t="s">
        <v>24</v>
      </c>
      <c r="I632" t="s">
        <v>39</v>
      </c>
      <c r="J632">
        <v>4</v>
      </c>
      <c r="K632" t="s">
        <v>157</v>
      </c>
      <c r="L632" t="s">
        <v>1387</v>
      </c>
      <c r="M632" t="s">
        <v>1388</v>
      </c>
      <c r="N632" s="2">
        <v>46288</v>
      </c>
      <c r="O632" s="2">
        <v>46332</v>
      </c>
      <c r="P632" t="s">
        <v>29</v>
      </c>
      <c r="Q632" t="s">
        <v>139</v>
      </c>
      <c r="R632" t="s">
        <v>45</v>
      </c>
      <c r="S632" t="s">
        <v>32</v>
      </c>
      <c r="T632" t="s">
        <v>33</v>
      </c>
      <c r="U632" t="s">
        <v>104</v>
      </c>
      <c r="V632" t="str">
        <f>IF(B632&lt;=18,"Children",IF(B632&lt;=35,"Young adult",IF(B632&lt;=60,"Adult", "Senior Citizen")))</f>
        <v>Adult</v>
      </c>
      <c r="W632" t="str">
        <f t="shared" si="63"/>
        <v>Sep</v>
      </c>
      <c r="X632">
        <f t="shared" si="64"/>
        <v>9</v>
      </c>
      <c r="Y632" t="str">
        <f t="shared" si="65"/>
        <v>Q3</v>
      </c>
      <c r="Z632">
        <f t="shared" si="66"/>
        <v>2026</v>
      </c>
      <c r="AA632" t="str">
        <f t="shared" si="67"/>
        <v>Wednesday</v>
      </c>
      <c r="AB632">
        <f t="shared" si="68"/>
        <v>-44</v>
      </c>
      <c r="AC632" t="str">
        <f>IF(OR(D632="Heart Disease",D632="Cancer",D632="Stroke"),"High",IF(OR(D632="Diabetes",D632="Asthma"),"Medium","Low"))</f>
        <v>Low</v>
      </c>
      <c r="AD632" t="str">
        <f t="shared" si="69"/>
        <v>No</v>
      </c>
      <c r="AE632" t="str">
        <f>IF(G632&lt;=2,"Short Stay", IF(G632&lt;=7,"Normal Stay", "Long Stay"))</f>
        <v>Long Stay</v>
      </c>
      <c r="AF632" t="str">
        <f>IF(F632&gt;60000,"Expensive",IF(F632&gt;30000,"Moderate","Affordable"))</f>
        <v>Affordable</v>
      </c>
      <c r="AG632" t="str">
        <f>IF(J632&gt;=4.5,"Excellent",IF(J632&gt;=3.5,"Good",IF(J632&gt;=2.5,"Average","Poor")))</f>
        <v>Good</v>
      </c>
      <c r="AH632" t="str">
        <f>IF(OR(TEXT(N632,"dddd")="Saturday",TEXT(N632,"dddd")="Sunday"),"Weekend","Weekday")</f>
        <v>Weekday</v>
      </c>
    </row>
    <row r="633" spans="1:34" x14ac:dyDescent="0.3">
      <c r="A633">
        <v>642</v>
      </c>
      <c r="B633">
        <v>58</v>
      </c>
      <c r="C633" t="s">
        <v>35</v>
      </c>
      <c r="D633" t="s">
        <v>99</v>
      </c>
      <c r="E633" t="s">
        <v>100</v>
      </c>
      <c r="F633">
        <v>20000</v>
      </c>
      <c r="G633">
        <v>51</v>
      </c>
      <c r="H633" t="s">
        <v>24</v>
      </c>
      <c r="I633" t="s">
        <v>25</v>
      </c>
      <c r="J633">
        <v>3</v>
      </c>
      <c r="K633" t="s">
        <v>133</v>
      </c>
      <c r="L633" t="s">
        <v>1389</v>
      </c>
      <c r="M633" t="s">
        <v>1390</v>
      </c>
      <c r="N633" s="2">
        <v>46289</v>
      </c>
      <c r="O633" s="2">
        <v>46340</v>
      </c>
      <c r="P633" t="s">
        <v>29</v>
      </c>
      <c r="Q633" t="s">
        <v>139</v>
      </c>
      <c r="R633" t="s">
        <v>45</v>
      </c>
      <c r="S633" t="s">
        <v>110</v>
      </c>
      <c r="T633" t="s">
        <v>33</v>
      </c>
      <c r="U633" t="s">
        <v>46</v>
      </c>
      <c r="V633" t="str">
        <f>IF(B633&lt;=18,"Children",IF(B633&lt;=35,"Young adult",IF(B633&lt;=60,"Adult", "Senior Citizen")))</f>
        <v>Adult</v>
      </c>
      <c r="W633" t="str">
        <f t="shared" si="63"/>
        <v>Sep</v>
      </c>
      <c r="X633">
        <f t="shared" si="64"/>
        <v>9</v>
      </c>
      <c r="Y633" t="str">
        <f t="shared" si="65"/>
        <v>Q3</v>
      </c>
      <c r="Z633">
        <f t="shared" si="66"/>
        <v>2026</v>
      </c>
      <c r="AA633" t="str">
        <f t="shared" si="67"/>
        <v>Thursday</v>
      </c>
      <c r="AB633">
        <f t="shared" si="68"/>
        <v>-51</v>
      </c>
      <c r="AC633" t="str">
        <f>IF(OR(D633="Heart Disease",D633="Cancer",D633="Stroke"),"High",IF(OR(D633="Diabetes",D633="Asthma"),"Medium","Low"))</f>
        <v>Low</v>
      </c>
      <c r="AD633" t="str">
        <f t="shared" si="69"/>
        <v>No</v>
      </c>
      <c r="AE633" t="str">
        <f>IF(G633&lt;=2,"Short Stay", IF(G633&lt;=7,"Normal Stay", "Long Stay"))</f>
        <v>Long Stay</v>
      </c>
      <c r="AF633" t="str">
        <f>IF(F633&gt;60000,"Expensive",IF(F633&gt;30000,"Moderate","Affordable"))</f>
        <v>Affordable</v>
      </c>
      <c r="AG633" t="str">
        <f>IF(J633&gt;=4.5,"Excellent",IF(J633&gt;=3.5,"Good",IF(J633&gt;=2.5,"Average","Poor")))</f>
        <v>Average</v>
      </c>
      <c r="AH633" t="str">
        <f>IF(OR(TEXT(N633,"dddd")="Saturday",TEXT(N633,"dddd")="Sunday"),"Weekend","Weekday")</f>
        <v>Weekday</v>
      </c>
    </row>
    <row r="634" spans="1:34" x14ac:dyDescent="0.3">
      <c r="A634">
        <v>643</v>
      </c>
      <c r="B634">
        <v>32</v>
      </c>
      <c r="C634" t="s">
        <v>21</v>
      </c>
      <c r="D634" t="s">
        <v>105</v>
      </c>
      <c r="E634" t="s">
        <v>106</v>
      </c>
      <c r="F634">
        <v>12000</v>
      </c>
      <c r="G634">
        <v>45</v>
      </c>
      <c r="H634" t="s">
        <v>24</v>
      </c>
      <c r="I634" t="s">
        <v>25</v>
      </c>
      <c r="J634">
        <v>4</v>
      </c>
      <c r="K634" t="s">
        <v>178</v>
      </c>
      <c r="L634" t="s">
        <v>1391</v>
      </c>
      <c r="M634" t="s">
        <v>1392</v>
      </c>
      <c r="N634" s="2">
        <v>46290</v>
      </c>
      <c r="O634" s="2">
        <v>46335</v>
      </c>
      <c r="P634" t="s">
        <v>43</v>
      </c>
      <c r="Q634" t="s">
        <v>71</v>
      </c>
      <c r="R634" t="s">
        <v>45</v>
      </c>
      <c r="S634" t="s">
        <v>110</v>
      </c>
      <c r="T634" t="s">
        <v>33</v>
      </c>
      <c r="U634" t="s">
        <v>46</v>
      </c>
      <c r="V634" t="str">
        <f>IF(B634&lt;=18,"Children",IF(B634&lt;=35,"Young adult",IF(B634&lt;=60,"Adult", "Senior Citizen")))</f>
        <v>Young adult</v>
      </c>
      <c r="W634" t="str">
        <f t="shared" si="63"/>
        <v>Sep</v>
      </c>
      <c r="X634">
        <f t="shared" si="64"/>
        <v>9</v>
      </c>
      <c r="Y634" t="str">
        <f t="shared" si="65"/>
        <v>Q3</v>
      </c>
      <c r="Z634">
        <f t="shared" si="66"/>
        <v>2026</v>
      </c>
      <c r="AA634" t="str">
        <f t="shared" si="67"/>
        <v>Friday</v>
      </c>
      <c r="AB634">
        <f t="shared" si="68"/>
        <v>-45</v>
      </c>
      <c r="AC634" t="str">
        <f>IF(OR(D634="Heart Disease",D634="Cancer",D634="Stroke"),"High",IF(OR(D634="Diabetes",D634="Asthma"),"Medium","Low"))</f>
        <v>Low</v>
      </c>
      <c r="AD634" t="str">
        <f t="shared" si="69"/>
        <v>No</v>
      </c>
      <c r="AE634" t="str">
        <f>IF(G634&lt;=2,"Short Stay", IF(G634&lt;=7,"Normal Stay", "Long Stay"))</f>
        <v>Long Stay</v>
      </c>
      <c r="AF634" t="str">
        <f>IF(F634&gt;60000,"Expensive",IF(F634&gt;30000,"Moderate","Affordable"))</f>
        <v>Affordable</v>
      </c>
      <c r="AG634" t="str">
        <f>IF(J634&gt;=4.5,"Excellent",IF(J634&gt;=3.5,"Good",IF(J634&gt;=2.5,"Average","Poor")))</f>
        <v>Good</v>
      </c>
      <c r="AH634" t="str">
        <f>IF(OR(TEXT(N634,"dddd")="Saturday",TEXT(N634,"dddd")="Sunday"),"Weekend","Weekday")</f>
        <v>Weekday</v>
      </c>
    </row>
    <row r="635" spans="1:34" x14ac:dyDescent="0.3">
      <c r="A635">
        <v>644</v>
      </c>
      <c r="B635">
        <v>55</v>
      </c>
      <c r="C635" t="s">
        <v>35</v>
      </c>
      <c r="D635" t="s">
        <v>111</v>
      </c>
      <c r="E635" t="s">
        <v>112</v>
      </c>
      <c r="F635">
        <v>6000</v>
      </c>
      <c r="G635">
        <v>46</v>
      </c>
      <c r="H635" t="s">
        <v>24</v>
      </c>
      <c r="I635" t="s">
        <v>25</v>
      </c>
      <c r="J635">
        <v>3</v>
      </c>
      <c r="K635" t="s">
        <v>101</v>
      </c>
      <c r="L635" t="s">
        <v>1393</v>
      </c>
      <c r="M635" t="s">
        <v>1394</v>
      </c>
      <c r="N635" s="2">
        <v>46291</v>
      </c>
      <c r="O635" s="2">
        <v>46337</v>
      </c>
      <c r="P635" t="s">
        <v>29</v>
      </c>
      <c r="Q635" t="s">
        <v>71</v>
      </c>
      <c r="R635" t="s">
        <v>45</v>
      </c>
      <c r="S635" t="s">
        <v>84</v>
      </c>
      <c r="T635" t="s">
        <v>33</v>
      </c>
      <c r="U635" t="s">
        <v>78</v>
      </c>
      <c r="V635" t="str">
        <f>IF(B635&lt;=18,"Children",IF(B635&lt;=35,"Young adult",IF(B635&lt;=60,"Adult", "Senior Citizen")))</f>
        <v>Adult</v>
      </c>
      <c r="W635" t="str">
        <f t="shared" si="63"/>
        <v>Sep</v>
      </c>
      <c r="X635">
        <f t="shared" si="64"/>
        <v>9</v>
      </c>
      <c r="Y635" t="str">
        <f t="shared" si="65"/>
        <v>Q3</v>
      </c>
      <c r="Z635">
        <f t="shared" si="66"/>
        <v>2026</v>
      </c>
      <c r="AA635" t="str">
        <f t="shared" si="67"/>
        <v>Saturday</v>
      </c>
      <c r="AB635">
        <f t="shared" si="68"/>
        <v>-46</v>
      </c>
      <c r="AC635" t="str">
        <f>IF(OR(D635="Heart Disease",D635="Cancer",D635="Stroke"),"High",IF(OR(D635="Diabetes",D635="Asthma"),"Medium","Low"))</f>
        <v>Low</v>
      </c>
      <c r="AD635" t="str">
        <f t="shared" si="69"/>
        <v>No</v>
      </c>
      <c r="AE635" t="str">
        <f>IF(G635&lt;=2,"Short Stay", IF(G635&lt;=7,"Normal Stay", "Long Stay"))</f>
        <v>Long Stay</v>
      </c>
      <c r="AF635" t="str">
        <f>IF(F635&gt;60000,"Expensive",IF(F635&gt;30000,"Moderate","Affordable"))</f>
        <v>Affordable</v>
      </c>
      <c r="AG635" t="str">
        <f>IF(J635&gt;=4.5,"Excellent",IF(J635&gt;=3.5,"Good",IF(J635&gt;=2.5,"Average","Poor")))</f>
        <v>Average</v>
      </c>
      <c r="AH635" t="str">
        <f>IF(OR(TEXT(N635,"dddd")="Saturday",TEXT(N635,"dddd")="Sunday"),"Weekend","Weekday")</f>
        <v>Weekend</v>
      </c>
    </row>
    <row r="636" spans="1:34" x14ac:dyDescent="0.3">
      <c r="A636">
        <v>645</v>
      </c>
      <c r="B636">
        <v>65</v>
      </c>
      <c r="C636" t="s">
        <v>21</v>
      </c>
      <c r="D636" t="s">
        <v>116</v>
      </c>
      <c r="E636" t="s">
        <v>117</v>
      </c>
      <c r="F636">
        <v>4000</v>
      </c>
      <c r="G636">
        <v>47</v>
      </c>
      <c r="H636" t="s">
        <v>24</v>
      </c>
      <c r="I636" t="s">
        <v>39</v>
      </c>
      <c r="J636">
        <v>4</v>
      </c>
      <c r="K636" t="s">
        <v>175</v>
      </c>
      <c r="L636" t="s">
        <v>1395</v>
      </c>
      <c r="M636" t="s">
        <v>1396</v>
      </c>
      <c r="N636" s="2">
        <v>46292</v>
      </c>
      <c r="O636" s="2">
        <v>46339</v>
      </c>
      <c r="P636" t="s">
        <v>29</v>
      </c>
      <c r="Q636" t="s">
        <v>71</v>
      </c>
      <c r="R636" t="s">
        <v>45</v>
      </c>
      <c r="S636" t="s">
        <v>110</v>
      </c>
      <c r="T636" t="s">
        <v>33</v>
      </c>
      <c r="U636" t="s">
        <v>104</v>
      </c>
      <c r="V636" t="str">
        <f>IF(B636&lt;=18,"Children",IF(B636&lt;=35,"Young adult",IF(B636&lt;=60,"Adult", "Senior Citizen")))</f>
        <v>Senior Citizen</v>
      </c>
      <c r="W636" t="str">
        <f t="shared" si="63"/>
        <v>Sep</v>
      </c>
      <c r="X636">
        <f t="shared" si="64"/>
        <v>9</v>
      </c>
      <c r="Y636" t="str">
        <f t="shared" si="65"/>
        <v>Q3</v>
      </c>
      <c r="Z636">
        <f t="shared" si="66"/>
        <v>2026</v>
      </c>
      <c r="AA636" t="str">
        <f t="shared" si="67"/>
        <v>Sunday</v>
      </c>
      <c r="AB636">
        <f t="shared" si="68"/>
        <v>-47</v>
      </c>
      <c r="AC636" t="str">
        <f>IF(OR(D636="Heart Disease",D636="Cancer",D636="Stroke"),"High",IF(OR(D636="Diabetes",D636="Asthma"),"Medium","Low"))</f>
        <v>Low</v>
      </c>
      <c r="AD636" t="str">
        <f t="shared" si="69"/>
        <v>No</v>
      </c>
      <c r="AE636" t="str">
        <f>IF(G636&lt;=2,"Short Stay", IF(G636&lt;=7,"Normal Stay", "Long Stay"))</f>
        <v>Long Stay</v>
      </c>
      <c r="AF636" t="str">
        <f>IF(F636&gt;60000,"Expensive",IF(F636&gt;30000,"Moderate","Affordable"))</f>
        <v>Affordable</v>
      </c>
      <c r="AG636" t="str">
        <f>IF(J636&gt;=4.5,"Excellent",IF(J636&gt;=3.5,"Good",IF(J636&gt;=2.5,"Average","Poor")))</f>
        <v>Good</v>
      </c>
      <c r="AH636" t="str">
        <f>IF(OR(TEXT(N636,"dddd")="Saturday",TEXT(N636,"dddd")="Sunday"),"Weekend","Weekday")</f>
        <v>Weekend</v>
      </c>
    </row>
    <row r="637" spans="1:34" x14ac:dyDescent="0.3">
      <c r="A637">
        <v>646</v>
      </c>
      <c r="B637">
        <v>55</v>
      </c>
      <c r="C637" t="s">
        <v>21</v>
      </c>
      <c r="D637" t="s">
        <v>22</v>
      </c>
      <c r="E637" t="s">
        <v>23</v>
      </c>
      <c r="F637">
        <v>15000</v>
      </c>
      <c r="G637">
        <v>48</v>
      </c>
      <c r="H637" t="s">
        <v>38</v>
      </c>
      <c r="I637" t="s">
        <v>25</v>
      </c>
      <c r="J637">
        <v>3</v>
      </c>
      <c r="K637" t="s">
        <v>245</v>
      </c>
      <c r="L637" t="s">
        <v>1397</v>
      </c>
      <c r="M637" t="s">
        <v>1398</v>
      </c>
      <c r="N637" s="2">
        <v>46293</v>
      </c>
      <c r="O637" s="2">
        <v>46341</v>
      </c>
      <c r="P637" t="s">
        <v>43</v>
      </c>
      <c r="Q637" t="s">
        <v>52</v>
      </c>
      <c r="R637" t="s">
        <v>31</v>
      </c>
      <c r="S637" t="s">
        <v>84</v>
      </c>
      <c r="T637" t="s">
        <v>33</v>
      </c>
      <c r="U637" t="s">
        <v>34</v>
      </c>
      <c r="V637" t="str">
        <f>IF(B637&lt;=18,"Children",IF(B637&lt;=35,"Young adult",IF(B637&lt;=60,"Adult", "Senior Citizen")))</f>
        <v>Adult</v>
      </c>
      <c r="W637" t="str">
        <f t="shared" si="63"/>
        <v>Sep</v>
      </c>
      <c r="X637">
        <f t="shared" si="64"/>
        <v>9</v>
      </c>
      <c r="Y637" t="str">
        <f t="shared" si="65"/>
        <v>Q3</v>
      </c>
      <c r="Z637">
        <f t="shared" si="66"/>
        <v>2026</v>
      </c>
      <c r="AA637" t="str">
        <f t="shared" si="67"/>
        <v>Monday</v>
      </c>
      <c r="AB637">
        <f t="shared" si="68"/>
        <v>-48</v>
      </c>
      <c r="AC637" t="str">
        <f>IF(OR(D637="Heart Disease",D637="Cancer",D637="Stroke"),"High",IF(OR(D637="Diabetes",D637="Asthma"),"Medium","Low"))</f>
        <v>High</v>
      </c>
      <c r="AD637" t="str">
        <f t="shared" si="69"/>
        <v>Yes</v>
      </c>
      <c r="AE637" t="str">
        <f>IF(G637&lt;=2,"Short Stay", IF(G637&lt;=7,"Normal Stay", "Long Stay"))</f>
        <v>Long Stay</v>
      </c>
      <c r="AF637" t="str">
        <f>IF(F637&gt;60000,"Expensive",IF(F637&gt;30000,"Moderate","Affordable"))</f>
        <v>Affordable</v>
      </c>
      <c r="AG637" t="str">
        <f>IF(J637&gt;=4.5,"Excellent",IF(J637&gt;=3.5,"Good",IF(J637&gt;=2.5,"Average","Poor")))</f>
        <v>Average</v>
      </c>
      <c r="AH637" t="str">
        <f>IF(OR(TEXT(N637,"dddd")="Saturday",TEXT(N637,"dddd")="Sunday"),"Weekend","Weekday")</f>
        <v>Weekday</v>
      </c>
    </row>
    <row r="638" spans="1:34" x14ac:dyDescent="0.3">
      <c r="A638">
        <v>647</v>
      </c>
      <c r="B638">
        <v>62</v>
      </c>
      <c r="C638" t="s">
        <v>35</v>
      </c>
      <c r="D638" t="s">
        <v>36</v>
      </c>
      <c r="E638" t="s">
        <v>37</v>
      </c>
      <c r="F638">
        <v>2000</v>
      </c>
      <c r="G638">
        <v>46</v>
      </c>
      <c r="H638" t="s">
        <v>24</v>
      </c>
      <c r="I638" t="s">
        <v>39</v>
      </c>
      <c r="J638">
        <v>4</v>
      </c>
      <c r="K638" t="s">
        <v>91</v>
      </c>
      <c r="L638" t="s">
        <v>1399</v>
      </c>
      <c r="M638" t="s">
        <v>1400</v>
      </c>
      <c r="N638" s="2">
        <v>46294</v>
      </c>
      <c r="O638" s="2">
        <v>46340</v>
      </c>
      <c r="P638" t="s">
        <v>29</v>
      </c>
      <c r="Q638" t="s">
        <v>71</v>
      </c>
      <c r="R638" t="s">
        <v>45</v>
      </c>
      <c r="S638" t="s">
        <v>72</v>
      </c>
      <c r="T638" t="s">
        <v>33</v>
      </c>
      <c r="U638" t="s">
        <v>46</v>
      </c>
      <c r="V638" t="str">
        <f>IF(B638&lt;=18,"Children",IF(B638&lt;=35,"Young adult",IF(B638&lt;=60,"Adult", "Senior Citizen")))</f>
        <v>Senior Citizen</v>
      </c>
      <c r="W638" t="str">
        <f t="shared" si="63"/>
        <v>Sep</v>
      </c>
      <c r="X638">
        <f t="shared" si="64"/>
        <v>9</v>
      </c>
      <c r="Y638" t="str">
        <f t="shared" si="65"/>
        <v>Q3</v>
      </c>
      <c r="Z638">
        <f t="shared" si="66"/>
        <v>2026</v>
      </c>
      <c r="AA638" t="str">
        <f t="shared" si="67"/>
        <v>Tuesday</v>
      </c>
      <c r="AB638">
        <f t="shared" si="68"/>
        <v>-46</v>
      </c>
      <c r="AC638" t="str">
        <f>IF(OR(D638="Heart Disease",D638="Cancer",D638="Stroke"),"High",IF(OR(D638="Diabetes",D638="Asthma"),"Medium","Low"))</f>
        <v>Medium</v>
      </c>
      <c r="AD638" t="str">
        <f t="shared" si="69"/>
        <v>No</v>
      </c>
      <c r="AE638" t="str">
        <f>IF(G638&lt;=2,"Short Stay", IF(G638&lt;=7,"Normal Stay", "Long Stay"))</f>
        <v>Long Stay</v>
      </c>
      <c r="AF638" t="str">
        <f>IF(F638&gt;60000,"Expensive",IF(F638&gt;30000,"Moderate","Affordable"))</f>
        <v>Affordable</v>
      </c>
      <c r="AG638" t="str">
        <f>IF(J638&gt;=4.5,"Excellent",IF(J638&gt;=3.5,"Good",IF(J638&gt;=2.5,"Average","Poor")))</f>
        <v>Good</v>
      </c>
      <c r="AH638" t="str">
        <f>IF(OR(TEXT(N638,"dddd")="Saturday",TEXT(N638,"dddd")="Sunday"),"Weekend","Weekday")</f>
        <v>Weekday</v>
      </c>
    </row>
    <row r="639" spans="1:34" x14ac:dyDescent="0.3">
      <c r="A639">
        <v>648</v>
      </c>
      <c r="B639">
        <v>35</v>
      </c>
      <c r="C639" t="s">
        <v>21</v>
      </c>
      <c r="D639" t="s">
        <v>47</v>
      </c>
      <c r="E639" t="s">
        <v>48</v>
      </c>
      <c r="F639">
        <v>500</v>
      </c>
      <c r="G639">
        <v>44</v>
      </c>
      <c r="H639" t="s">
        <v>38</v>
      </c>
      <c r="I639" t="s">
        <v>25</v>
      </c>
      <c r="J639">
        <v>5</v>
      </c>
      <c r="K639" t="s">
        <v>169</v>
      </c>
      <c r="L639" t="s">
        <v>1401</v>
      </c>
      <c r="M639" t="s">
        <v>1402</v>
      </c>
      <c r="N639" s="2">
        <v>46295</v>
      </c>
      <c r="O639" s="2">
        <v>46339</v>
      </c>
      <c r="P639" t="s">
        <v>43</v>
      </c>
      <c r="Q639" t="s">
        <v>139</v>
      </c>
      <c r="R639" t="s">
        <v>45</v>
      </c>
      <c r="S639" t="s">
        <v>84</v>
      </c>
      <c r="T639" t="s">
        <v>33</v>
      </c>
      <c r="U639" t="s">
        <v>78</v>
      </c>
      <c r="V639" t="str">
        <f>IF(B639&lt;=18,"Children",IF(B639&lt;=35,"Young adult",IF(B639&lt;=60,"Adult", "Senior Citizen")))</f>
        <v>Young adult</v>
      </c>
      <c r="W639" t="str">
        <f t="shared" si="63"/>
        <v>Sep</v>
      </c>
      <c r="X639">
        <f t="shared" si="64"/>
        <v>9</v>
      </c>
      <c r="Y639" t="str">
        <f t="shared" si="65"/>
        <v>Q3</v>
      </c>
      <c r="Z639">
        <f t="shared" si="66"/>
        <v>2026</v>
      </c>
      <c r="AA639" t="str">
        <f t="shared" si="67"/>
        <v>Wednesday</v>
      </c>
      <c r="AB639">
        <f t="shared" si="68"/>
        <v>-44</v>
      </c>
      <c r="AC639" t="str">
        <f>IF(OR(D639="Heart Disease",D639="Cancer",D639="Stroke"),"High",IF(OR(D639="Diabetes",D639="Asthma"),"Medium","Low"))</f>
        <v>Low</v>
      </c>
      <c r="AD639" t="str">
        <f t="shared" si="69"/>
        <v>No</v>
      </c>
      <c r="AE639" t="str">
        <f>IF(G639&lt;=2,"Short Stay", IF(G639&lt;=7,"Normal Stay", "Long Stay"))</f>
        <v>Long Stay</v>
      </c>
      <c r="AF639" t="str">
        <f>IF(F639&gt;60000,"Expensive",IF(F639&gt;30000,"Moderate","Affordable"))</f>
        <v>Affordable</v>
      </c>
      <c r="AG639" t="str">
        <f>IF(J639&gt;=4.5,"Excellent",IF(J639&gt;=3.5,"Good",IF(J639&gt;=2.5,"Average","Poor")))</f>
        <v>Excellent</v>
      </c>
      <c r="AH639" t="str">
        <f>IF(OR(TEXT(N639,"dddd")="Saturday",TEXT(N639,"dddd")="Sunday"),"Weekend","Weekday")</f>
        <v>Weekday</v>
      </c>
    </row>
    <row r="640" spans="1:34" x14ac:dyDescent="0.3">
      <c r="A640">
        <v>649</v>
      </c>
      <c r="B640">
        <v>78</v>
      </c>
      <c r="C640" t="s">
        <v>35</v>
      </c>
      <c r="D640" t="s">
        <v>54</v>
      </c>
      <c r="E640" t="s">
        <v>55</v>
      </c>
      <c r="F640">
        <v>10000</v>
      </c>
      <c r="G640">
        <v>51</v>
      </c>
      <c r="H640" t="s">
        <v>24</v>
      </c>
      <c r="I640" t="s">
        <v>39</v>
      </c>
      <c r="J640">
        <v>2</v>
      </c>
      <c r="K640" t="s">
        <v>218</v>
      </c>
      <c r="L640" t="s">
        <v>1403</v>
      </c>
      <c r="M640" t="s">
        <v>1404</v>
      </c>
      <c r="N640" s="2">
        <v>46296</v>
      </c>
      <c r="O640" s="2">
        <v>46347</v>
      </c>
      <c r="P640" t="s">
        <v>29</v>
      </c>
      <c r="Q640" t="s">
        <v>30</v>
      </c>
      <c r="R640" t="s">
        <v>59</v>
      </c>
      <c r="S640" t="s">
        <v>77</v>
      </c>
      <c r="T640" t="s">
        <v>33</v>
      </c>
      <c r="U640" t="s">
        <v>34</v>
      </c>
      <c r="V640" t="str">
        <f>IF(B640&lt;=18,"Children",IF(B640&lt;=35,"Young adult",IF(B640&lt;=60,"Adult", "Senior Citizen")))</f>
        <v>Senior Citizen</v>
      </c>
      <c r="W640" t="str">
        <f t="shared" si="63"/>
        <v>Oct</v>
      </c>
      <c r="X640">
        <f t="shared" si="64"/>
        <v>10</v>
      </c>
      <c r="Y640" t="str">
        <f t="shared" si="65"/>
        <v>Q4</v>
      </c>
      <c r="Z640">
        <f t="shared" si="66"/>
        <v>2026</v>
      </c>
      <c r="AA640" t="str">
        <f t="shared" si="67"/>
        <v>Thursday</v>
      </c>
      <c r="AB640">
        <f t="shared" si="68"/>
        <v>-51</v>
      </c>
      <c r="AC640" t="str">
        <f>IF(OR(D640="Heart Disease",D640="Cancer",D640="Stroke"),"High",IF(OR(D640="Diabetes",D640="Asthma"),"Medium","Low"))</f>
        <v>High</v>
      </c>
      <c r="AD640" t="str">
        <f t="shared" si="69"/>
        <v>Yes</v>
      </c>
      <c r="AE640" t="str">
        <f>IF(G640&lt;=2,"Short Stay", IF(G640&lt;=7,"Normal Stay", "Long Stay"))</f>
        <v>Long Stay</v>
      </c>
      <c r="AF640" t="str">
        <f>IF(F640&gt;60000,"Expensive",IF(F640&gt;30000,"Moderate","Affordable"))</f>
        <v>Affordable</v>
      </c>
      <c r="AG640" t="str">
        <f>IF(J640&gt;=4.5,"Excellent",IF(J640&gt;=3.5,"Good",IF(J640&gt;=2.5,"Average","Poor")))</f>
        <v>Poor</v>
      </c>
      <c r="AH640" t="str">
        <f>IF(OR(TEXT(N640,"dddd")="Saturday",TEXT(N640,"dddd")="Sunday"),"Weekend","Weekday")</f>
        <v>Weekday</v>
      </c>
    </row>
    <row r="641" spans="1:34" x14ac:dyDescent="0.3">
      <c r="A641">
        <v>650</v>
      </c>
      <c r="B641">
        <v>53</v>
      </c>
      <c r="C641" t="s">
        <v>21</v>
      </c>
      <c r="D641" t="s">
        <v>60</v>
      </c>
      <c r="E641" t="s">
        <v>61</v>
      </c>
      <c r="F641">
        <v>25000</v>
      </c>
      <c r="G641">
        <v>53</v>
      </c>
      <c r="H641" t="s">
        <v>38</v>
      </c>
      <c r="I641" t="s">
        <v>25</v>
      </c>
      <c r="J641">
        <v>4</v>
      </c>
      <c r="K641" t="s">
        <v>187</v>
      </c>
      <c r="L641" t="s">
        <v>1405</v>
      </c>
      <c r="M641" t="s">
        <v>1406</v>
      </c>
      <c r="N641" s="2">
        <v>46297</v>
      </c>
      <c r="O641" s="2">
        <v>46350</v>
      </c>
      <c r="P641" t="s">
        <v>29</v>
      </c>
      <c r="Q641" t="s">
        <v>139</v>
      </c>
      <c r="R641" t="s">
        <v>65</v>
      </c>
      <c r="S641" t="s">
        <v>77</v>
      </c>
      <c r="T641" t="s">
        <v>33</v>
      </c>
      <c r="U641" t="s">
        <v>78</v>
      </c>
      <c r="V641" t="str">
        <f>IF(B641&lt;=18,"Children",IF(B641&lt;=35,"Young adult",IF(B641&lt;=60,"Adult", "Senior Citizen")))</f>
        <v>Adult</v>
      </c>
      <c r="W641" t="str">
        <f t="shared" si="63"/>
        <v>Oct</v>
      </c>
      <c r="X641">
        <f t="shared" si="64"/>
        <v>10</v>
      </c>
      <c r="Y641" t="str">
        <f t="shared" si="65"/>
        <v>Q4</v>
      </c>
      <c r="Z641">
        <f t="shared" si="66"/>
        <v>2026</v>
      </c>
      <c r="AA641" t="str">
        <f t="shared" si="67"/>
        <v>Friday</v>
      </c>
      <c r="AB641">
        <f t="shared" si="68"/>
        <v>-53</v>
      </c>
      <c r="AC641" t="str">
        <f>IF(OR(D641="Heart Disease",D641="Cancer",D641="Stroke"),"High",IF(OR(D641="Diabetes",D641="Asthma"),"Medium","Low"))</f>
        <v>High</v>
      </c>
      <c r="AD641" t="str">
        <f t="shared" si="69"/>
        <v>Yes</v>
      </c>
      <c r="AE641" t="str">
        <f>IF(G641&lt;=2,"Short Stay", IF(G641&lt;=7,"Normal Stay", "Long Stay"))</f>
        <v>Long Stay</v>
      </c>
      <c r="AF641" t="str">
        <f>IF(F641&gt;60000,"Expensive",IF(F641&gt;30000,"Moderate","Affordable"))</f>
        <v>Affordable</v>
      </c>
      <c r="AG641" t="str">
        <f>IF(J641&gt;=4.5,"Excellent",IF(J641&gt;=3.5,"Good",IF(J641&gt;=2.5,"Average","Poor")))</f>
        <v>Good</v>
      </c>
      <c r="AH641" t="str">
        <f>IF(OR(TEXT(N641,"dddd")="Saturday",TEXT(N641,"dddd")="Sunday"),"Weekend","Weekday")</f>
        <v>Weekday</v>
      </c>
    </row>
    <row r="642" spans="1:34" x14ac:dyDescent="0.3">
      <c r="A642">
        <v>651</v>
      </c>
      <c r="B642">
        <v>72</v>
      </c>
      <c r="C642" t="s">
        <v>35</v>
      </c>
      <c r="D642" t="s">
        <v>66</v>
      </c>
      <c r="E642" t="s">
        <v>67</v>
      </c>
      <c r="F642">
        <v>1000</v>
      </c>
      <c r="G642">
        <v>47</v>
      </c>
      <c r="H642" t="s">
        <v>24</v>
      </c>
      <c r="I642" t="s">
        <v>39</v>
      </c>
      <c r="J642">
        <v>4</v>
      </c>
      <c r="K642" t="s">
        <v>324</v>
      </c>
      <c r="L642" t="s">
        <v>1407</v>
      </c>
      <c r="M642" t="s">
        <v>1408</v>
      </c>
      <c r="N642" s="2">
        <v>46298</v>
      </c>
      <c r="O642" s="2">
        <v>46345</v>
      </c>
      <c r="P642" t="s">
        <v>29</v>
      </c>
      <c r="Q642" t="s">
        <v>71</v>
      </c>
      <c r="R642" t="s">
        <v>45</v>
      </c>
      <c r="S642" t="s">
        <v>77</v>
      </c>
      <c r="T642" t="s">
        <v>33</v>
      </c>
      <c r="U642" t="s">
        <v>46</v>
      </c>
      <c r="V642" t="str">
        <f>IF(B642&lt;=18,"Children",IF(B642&lt;=35,"Young adult",IF(B642&lt;=60,"Adult", "Senior Citizen")))</f>
        <v>Senior Citizen</v>
      </c>
      <c r="W642" t="str">
        <f t="shared" si="63"/>
        <v>Oct</v>
      </c>
      <c r="X642">
        <f t="shared" si="64"/>
        <v>10</v>
      </c>
      <c r="Y642" t="str">
        <f t="shared" si="65"/>
        <v>Q4</v>
      </c>
      <c r="Z642">
        <f t="shared" si="66"/>
        <v>2026</v>
      </c>
      <c r="AA642" t="str">
        <f t="shared" si="67"/>
        <v>Saturday</v>
      </c>
      <c r="AB642">
        <f t="shared" si="68"/>
        <v>-47</v>
      </c>
      <c r="AC642" t="str">
        <f>IF(OR(D642="Heart Disease",D642="Cancer",D642="Stroke"),"High",IF(OR(D642="Diabetes",D642="Asthma"),"Medium","Low"))</f>
        <v>Low</v>
      </c>
      <c r="AD642" t="str">
        <f t="shared" si="69"/>
        <v>No</v>
      </c>
      <c r="AE642" t="str">
        <f>IF(G642&lt;=2,"Short Stay", IF(G642&lt;=7,"Normal Stay", "Long Stay"))</f>
        <v>Long Stay</v>
      </c>
      <c r="AF642" t="str">
        <f>IF(F642&gt;60000,"Expensive",IF(F642&gt;30000,"Moderate","Affordable"))</f>
        <v>Affordable</v>
      </c>
      <c r="AG642" t="str">
        <f>IF(J642&gt;=4.5,"Excellent",IF(J642&gt;=3.5,"Good",IF(J642&gt;=2.5,"Average","Poor")))</f>
        <v>Good</v>
      </c>
      <c r="AH642" t="str">
        <f>IF(OR(TEXT(N642,"dddd")="Saturday",TEXT(N642,"dddd")="Sunday"),"Weekend","Weekday")</f>
        <v>Weekend</v>
      </c>
    </row>
    <row r="643" spans="1:34" x14ac:dyDescent="0.3">
      <c r="A643">
        <v>652</v>
      </c>
      <c r="B643">
        <v>60</v>
      </c>
      <c r="C643" t="s">
        <v>21</v>
      </c>
      <c r="D643" t="s">
        <v>73</v>
      </c>
      <c r="E643" t="s">
        <v>74</v>
      </c>
      <c r="F643">
        <v>8000</v>
      </c>
      <c r="G643">
        <v>49</v>
      </c>
      <c r="H643" t="s">
        <v>38</v>
      </c>
      <c r="I643" t="s">
        <v>25</v>
      </c>
      <c r="J643">
        <v>3</v>
      </c>
      <c r="K643" t="s">
        <v>242</v>
      </c>
      <c r="L643" t="s">
        <v>1409</v>
      </c>
      <c r="M643" t="s">
        <v>1410</v>
      </c>
      <c r="N643" s="2">
        <v>46299</v>
      </c>
      <c r="O643" s="2">
        <v>46348</v>
      </c>
      <c r="P643" t="s">
        <v>43</v>
      </c>
      <c r="Q643" t="s">
        <v>30</v>
      </c>
      <c r="R643" t="s">
        <v>45</v>
      </c>
      <c r="S643" t="s">
        <v>110</v>
      </c>
      <c r="T643" t="s">
        <v>33</v>
      </c>
      <c r="U643" t="s">
        <v>104</v>
      </c>
      <c r="V643" t="str">
        <f>IF(B643&lt;=18,"Children",IF(B643&lt;=35,"Young adult",IF(B643&lt;=60,"Adult", "Senior Citizen")))</f>
        <v>Adult</v>
      </c>
      <c r="W643" t="str">
        <f t="shared" ref="W643:W706" si="70">TEXT(N643,"MMM")</f>
        <v>Oct</v>
      </c>
      <c r="X643">
        <f t="shared" ref="X643:X706" si="71">MONTH(N643)</f>
        <v>10</v>
      </c>
      <c r="Y643" t="str">
        <f t="shared" ref="Y643:Y706" si="72">"Q"&amp;ROUNDUP(MONTH(N643)/3,0)</f>
        <v>Q4</v>
      </c>
      <c r="Z643">
        <f t="shared" ref="Z643:Z706" si="73">YEAR(N643)</f>
        <v>2026</v>
      </c>
      <c r="AA643" t="str">
        <f t="shared" ref="AA643:AA706" si="74">TEXT(N643, "dddd")</f>
        <v>Sunday</v>
      </c>
      <c r="AB643">
        <f t="shared" ref="AB643:AB706" si="75">N643-O643</f>
        <v>-49</v>
      </c>
      <c r="AC643" t="str">
        <f>IF(OR(D643="Heart Disease",D643="Cancer",D643="Stroke"),"High",IF(OR(D643="Diabetes",D643="Asthma"),"Medium","Low"))</f>
        <v>Low</v>
      </c>
      <c r="AD643" t="str">
        <f t="shared" ref="AD643:AD706" si="76">IF(AC643="High","Yes","No")</f>
        <v>No</v>
      </c>
      <c r="AE643" t="str">
        <f>IF(G643&lt;=2,"Short Stay", IF(G643&lt;=7,"Normal Stay", "Long Stay"))</f>
        <v>Long Stay</v>
      </c>
      <c r="AF643" t="str">
        <f>IF(F643&gt;60000,"Expensive",IF(F643&gt;30000,"Moderate","Affordable"))</f>
        <v>Affordable</v>
      </c>
      <c r="AG643" t="str">
        <f>IF(J643&gt;=4.5,"Excellent",IF(J643&gt;=3.5,"Good",IF(J643&gt;=2.5,"Average","Poor")))</f>
        <v>Average</v>
      </c>
      <c r="AH643" t="str">
        <f>IF(OR(TEXT(N643,"dddd")="Saturday",TEXT(N643,"dddd")="Sunday"),"Weekend","Weekday")</f>
        <v>Weekend</v>
      </c>
    </row>
    <row r="644" spans="1:34" x14ac:dyDescent="0.3">
      <c r="A644">
        <v>653</v>
      </c>
      <c r="B644">
        <v>45</v>
      </c>
      <c r="C644" t="s">
        <v>35</v>
      </c>
      <c r="D644" t="s">
        <v>79</v>
      </c>
      <c r="E644" t="s">
        <v>80</v>
      </c>
      <c r="F644">
        <v>3000</v>
      </c>
      <c r="G644">
        <v>49</v>
      </c>
      <c r="H644" t="s">
        <v>24</v>
      </c>
      <c r="I644" t="s">
        <v>25</v>
      </c>
      <c r="J644">
        <v>4</v>
      </c>
      <c r="K644" t="s">
        <v>91</v>
      </c>
      <c r="L644" t="s">
        <v>1411</v>
      </c>
      <c r="M644" t="s">
        <v>1412</v>
      </c>
      <c r="N644" s="2">
        <v>46300</v>
      </c>
      <c r="O644" s="2">
        <v>46349</v>
      </c>
      <c r="P644" t="s">
        <v>29</v>
      </c>
      <c r="Q644" t="s">
        <v>52</v>
      </c>
      <c r="R644" t="s">
        <v>45</v>
      </c>
      <c r="S644" t="s">
        <v>72</v>
      </c>
      <c r="T644" t="s">
        <v>33</v>
      </c>
      <c r="U644" t="s">
        <v>78</v>
      </c>
      <c r="V644" t="str">
        <f>IF(B644&lt;=18,"Children",IF(B644&lt;=35,"Young adult",IF(B644&lt;=60,"Adult", "Senior Citizen")))</f>
        <v>Adult</v>
      </c>
      <c r="W644" t="str">
        <f t="shared" si="70"/>
        <v>Oct</v>
      </c>
      <c r="X644">
        <f t="shared" si="71"/>
        <v>10</v>
      </c>
      <c r="Y644" t="str">
        <f t="shared" si="72"/>
        <v>Q4</v>
      </c>
      <c r="Z644">
        <f t="shared" si="73"/>
        <v>2026</v>
      </c>
      <c r="AA644" t="str">
        <f t="shared" si="74"/>
        <v>Monday</v>
      </c>
      <c r="AB644">
        <f t="shared" si="75"/>
        <v>-49</v>
      </c>
      <c r="AC644" t="str">
        <f>IF(OR(D644="Heart Disease",D644="Cancer",D644="Stroke"),"High",IF(OR(D644="Diabetes",D644="Asthma"),"Medium","Low"))</f>
        <v>Low</v>
      </c>
      <c r="AD644" t="str">
        <f t="shared" si="76"/>
        <v>No</v>
      </c>
      <c r="AE644" t="str">
        <f>IF(G644&lt;=2,"Short Stay", IF(G644&lt;=7,"Normal Stay", "Long Stay"))</f>
        <v>Long Stay</v>
      </c>
      <c r="AF644" t="str">
        <f>IF(F644&gt;60000,"Expensive",IF(F644&gt;30000,"Moderate","Affordable"))</f>
        <v>Affordable</v>
      </c>
      <c r="AG644" t="str">
        <f>IF(J644&gt;=4.5,"Excellent",IF(J644&gt;=3.5,"Good",IF(J644&gt;=2.5,"Average","Poor")))</f>
        <v>Good</v>
      </c>
      <c r="AH644" t="str">
        <f>IF(OR(TEXT(N644,"dddd")="Saturday",TEXT(N644,"dddd")="Sunday"),"Weekend","Weekday")</f>
        <v>Weekday</v>
      </c>
    </row>
    <row r="645" spans="1:34" x14ac:dyDescent="0.3">
      <c r="A645">
        <v>654</v>
      </c>
      <c r="B645">
        <v>75</v>
      </c>
      <c r="C645" t="s">
        <v>21</v>
      </c>
      <c r="D645" t="s">
        <v>85</v>
      </c>
      <c r="E645" t="s">
        <v>86</v>
      </c>
      <c r="F645">
        <v>18000</v>
      </c>
      <c r="G645">
        <v>51</v>
      </c>
      <c r="H645" t="s">
        <v>38</v>
      </c>
      <c r="I645" t="s">
        <v>39</v>
      </c>
      <c r="J645">
        <v>2</v>
      </c>
      <c r="K645" t="s">
        <v>113</v>
      </c>
      <c r="L645" t="s">
        <v>1413</v>
      </c>
      <c r="M645" t="s">
        <v>1414</v>
      </c>
      <c r="N645" s="2">
        <v>46301</v>
      </c>
      <c r="O645" s="2">
        <v>46352</v>
      </c>
      <c r="P645" t="s">
        <v>29</v>
      </c>
      <c r="Q645" t="s">
        <v>139</v>
      </c>
      <c r="R645" t="s">
        <v>45</v>
      </c>
      <c r="S645" t="s">
        <v>72</v>
      </c>
      <c r="T645" t="s">
        <v>33</v>
      </c>
      <c r="U645" t="s">
        <v>104</v>
      </c>
      <c r="V645" t="str">
        <f>IF(B645&lt;=18,"Children",IF(B645&lt;=35,"Young adult",IF(B645&lt;=60,"Adult", "Senior Citizen")))</f>
        <v>Senior Citizen</v>
      </c>
      <c r="W645" t="str">
        <f t="shared" si="70"/>
        <v>Oct</v>
      </c>
      <c r="X645">
        <f t="shared" si="71"/>
        <v>10</v>
      </c>
      <c r="Y645" t="str">
        <f t="shared" si="72"/>
        <v>Q4</v>
      </c>
      <c r="Z645">
        <f t="shared" si="73"/>
        <v>2026</v>
      </c>
      <c r="AA645" t="str">
        <f t="shared" si="74"/>
        <v>Tuesday</v>
      </c>
      <c r="AB645">
        <f t="shared" si="75"/>
        <v>-51</v>
      </c>
      <c r="AC645" t="str">
        <f>IF(OR(D645="Heart Disease",D645="Cancer",D645="Stroke"),"High",IF(OR(D645="Diabetes",D645="Asthma"),"Medium","Low"))</f>
        <v>Low</v>
      </c>
      <c r="AD645" t="str">
        <f t="shared" si="76"/>
        <v>No</v>
      </c>
      <c r="AE645" t="str">
        <f>IF(G645&lt;=2,"Short Stay", IF(G645&lt;=7,"Normal Stay", "Long Stay"))</f>
        <v>Long Stay</v>
      </c>
      <c r="AF645" t="str">
        <f>IF(F645&gt;60000,"Expensive",IF(F645&gt;30000,"Moderate","Affordable"))</f>
        <v>Affordable</v>
      </c>
      <c r="AG645" t="str">
        <f>IF(J645&gt;=4.5,"Excellent",IF(J645&gt;=3.5,"Good",IF(J645&gt;=2.5,"Average","Poor")))</f>
        <v>Poor</v>
      </c>
      <c r="AH645" t="str">
        <f>IF(OR(TEXT(N645,"dddd")="Saturday",TEXT(N645,"dddd")="Sunday"),"Weekend","Weekday")</f>
        <v>Weekday</v>
      </c>
    </row>
    <row r="646" spans="1:34" x14ac:dyDescent="0.3">
      <c r="A646">
        <v>655</v>
      </c>
      <c r="B646">
        <v>28</v>
      </c>
      <c r="C646" t="s">
        <v>35</v>
      </c>
      <c r="D646" t="s">
        <v>89</v>
      </c>
      <c r="E646" t="s">
        <v>90</v>
      </c>
      <c r="F646">
        <v>100</v>
      </c>
      <c r="G646">
        <v>44</v>
      </c>
      <c r="H646" t="s">
        <v>24</v>
      </c>
      <c r="I646" t="s">
        <v>25</v>
      </c>
      <c r="J646">
        <v>5</v>
      </c>
      <c r="K646" t="s">
        <v>250</v>
      </c>
      <c r="L646" t="s">
        <v>1415</v>
      </c>
      <c r="M646" t="s">
        <v>1416</v>
      </c>
      <c r="N646" s="2">
        <v>46302</v>
      </c>
      <c r="O646" s="2">
        <v>46346</v>
      </c>
      <c r="P646" t="s">
        <v>29</v>
      </c>
      <c r="Q646" t="s">
        <v>30</v>
      </c>
      <c r="R646" t="s">
        <v>45</v>
      </c>
      <c r="S646" t="s">
        <v>32</v>
      </c>
      <c r="T646" t="s">
        <v>33</v>
      </c>
      <c r="U646" t="s">
        <v>34</v>
      </c>
      <c r="V646" t="str">
        <f>IF(B646&lt;=18,"Children",IF(B646&lt;=35,"Young adult",IF(B646&lt;=60,"Adult", "Senior Citizen")))</f>
        <v>Young adult</v>
      </c>
      <c r="W646" t="str">
        <f t="shared" si="70"/>
        <v>Oct</v>
      </c>
      <c r="X646">
        <f t="shared" si="71"/>
        <v>10</v>
      </c>
      <c r="Y646" t="str">
        <f t="shared" si="72"/>
        <v>Q4</v>
      </c>
      <c r="Z646">
        <f t="shared" si="73"/>
        <v>2026</v>
      </c>
      <c r="AA646" t="str">
        <f t="shared" si="74"/>
        <v>Wednesday</v>
      </c>
      <c r="AB646">
        <f t="shared" si="75"/>
        <v>-44</v>
      </c>
      <c r="AC646" t="str">
        <f>IF(OR(D646="Heart Disease",D646="Cancer",D646="Stroke"),"High",IF(OR(D646="Diabetes",D646="Asthma"),"Medium","Low"))</f>
        <v>Low</v>
      </c>
      <c r="AD646" t="str">
        <f t="shared" si="76"/>
        <v>No</v>
      </c>
      <c r="AE646" t="str">
        <f>IF(G646&lt;=2,"Short Stay", IF(G646&lt;=7,"Normal Stay", "Long Stay"))</f>
        <v>Long Stay</v>
      </c>
      <c r="AF646" t="str">
        <f>IF(F646&gt;60000,"Expensive",IF(F646&gt;30000,"Moderate","Affordable"))</f>
        <v>Affordable</v>
      </c>
      <c r="AG646" t="str">
        <f>IF(J646&gt;=4.5,"Excellent",IF(J646&gt;=3.5,"Good",IF(J646&gt;=2.5,"Average","Poor")))</f>
        <v>Excellent</v>
      </c>
      <c r="AH646" t="str">
        <f>IF(OR(TEXT(N646,"dddd")="Saturday",TEXT(N646,"dddd")="Sunday"),"Weekend","Weekday")</f>
        <v>Weekday</v>
      </c>
    </row>
    <row r="647" spans="1:34" x14ac:dyDescent="0.3">
      <c r="A647">
        <v>656</v>
      </c>
      <c r="B647">
        <v>52</v>
      </c>
      <c r="C647" t="s">
        <v>21</v>
      </c>
      <c r="D647" t="s">
        <v>94</v>
      </c>
      <c r="E647" t="s">
        <v>95</v>
      </c>
      <c r="F647">
        <v>800</v>
      </c>
      <c r="G647">
        <v>45</v>
      </c>
      <c r="H647" t="s">
        <v>24</v>
      </c>
      <c r="I647" t="s">
        <v>39</v>
      </c>
      <c r="J647">
        <v>4</v>
      </c>
      <c r="K647" t="s">
        <v>125</v>
      </c>
      <c r="L647" t="s">
        <v>1417</v>
      </c>
      <c r="M647" t="s">
        <v>1418</v>
      </c>
      <c r="N647" s="2">
        <v>46303</v>
      </c>
      <c r="O647" s="2">
        <v>46348</v>
      </c>
      <c r="P647" t="s">
        <v>29</v>
      </c>
      <c r="Q647" t="s">
        <v>52</v>
      </c>
      <c r="R647" t="s">
        <v>45</v>
      </c>
      <c r="S647" t="s">
        <v>53</v>
      </c>
      <c r="T647" t="s">
        <v>33</v>
      </c>
      <c r="U647" t="s">
        <v>104</v>
      </c>
      <c r="V647" t="str">
        <f>IF(B647&lt;=18,"Children",IF(B647&lt;=35,"Young adult",IF(B647&lt;=60,"Adult", "Senior Citizen")))</f>
        <v>Adult</v>
      </c>
      <c r="W647" t="str">
        <f t="shared" si="70"/>
        <v>Oct</v>
      </c>
      <c r="X647">
        <f t="shared" si="71"/>
        <v>10</v>
      </c>
      <c r="Y647" t="str">
        <f t="shared" si="72"/>
        <v>Q4</v>
      </c>
      <c r="Z647">
        <f t="shared" si="73"/>
        <v>2026</v>
      </c>
      <c r="AA647" t="str">
        <f t="shared" si="74"/>
        <v>Thursday</v>
      </c>
      <c r="AB647">
        <f t="shared" si="75"/>
        <v>-45</v>
      </c>
      <c r="AC647" t="str">
        <f>IF(OR(D647="Heart Disease",D647="Cancer",D647="Stroke"),"High",IF(OR(D647="Diabetes",D647="Asthma"),"Medium","Low"))</f>
        <v>Low</v>
      </c>
      <c r="AD647" t="str">
        <f t="shared" si="76"/>
        <v>No</v>
      </c>
      <c r="AE647" t="str">
        <f>IF(G647&lt;=2,"Short Stay", IF(G647&lt;=7,"Normal Stay", "Long Stay"))</f>
        <v>Long Stay</v>
      </c>
      <c r="AF647" t="str">
        <f>IF(F647&gt;60000,"Expensive",IF(F647&gt;30000,"Moderate","Affordable"))</f>
        <v>Affordable</v>
      </c>
      <c r="AG647" t="str">
        <f>IF(J647&gt;=4.5,"Excellent",IF(J647&gt;=3.5,"Good",IF(J647&gt;=2.5,"Average","Poor")))</f>
        <v>Good</v>
      </c>
      <c r="AH647" t="str">
        <f>IF(OR(TEXT(N647,"dddd")="Saturday",TEXT(N647,"dddd")="Sunday"),"Weekend","Weekday")</f>
        <v>Weekday</v>
      </c>
    </row>
    <row r="648" spans="1:34" x14ac:dyDescent="0.3">
      <c r="A648">
        <v>657</v>
      </c>
      <c r="B648">
        <v>67</v>
      </c>
      <c r="C648" t="s">
        <v>35</v>
      </c>
      <c r="D648" t="s">
        <v>99</v>
      </c>
      <c r="E648" t="s">
        <v>100</v>
      </c>
      <c r="F648">
        <v>20000</v>
      </c>
      <c r="G648">
        <v>52</v>
      </c>
      <c r="H648" t="s">
        <v>24</v>
      </c>
      <c r="I648" t="s">
        <v>25</v>
      </c>
      <c r="J648">
        <v>3</v>
      </c>
      <c r="K648" t="s">
        <v>329</v>
      </c>
      <c r="L648" t="s">
        <v>1419</v>
      </c>
      <c r="M648" t="s">
        <v>1420</v>
      </c>
      <c r="N648" s="2">
        <v>46304</v>
      </c>
      <c r="O648" s="2">
        <v>46356</v>
      </c>
      <c r="P648" t="s">
        <v>29</v>
      </c>
      <c r="Q648" t="s">
        <v>30</v>
      </c>
      <c r="R648" t="s">
        <v>45</v>
      </c>
      <c r="S648" t="s">
        <v>110</v>
      </c>
      <c r="T648" t="s">
        <v>33</v>
      </c>
      <c r="U648" t="s">
        <v>104</v>
      </c>
      <c r="V648" t="str">
        <f>IF(B648&lt;=18,"Children",IF(B648&lt;=35,"Young adult",IF(B648&lt;=60,"Adult", "Senior Citizen")))</f>
        <v>Senior Citizen</v>
      </c>
      <c r="W648" t="str">
        <f t="shared" si="70"/>
        <v>Oct</v>
      </c>
      <c r="X648">
        <f t="shared" si="71"/>
        <v>10</v>
      </c>
      <c r="Y648" t="str">
        <f t="shared" si="72"/>
        <v>Q4</v>
      </c>
      <c r="Z648">
        <f t="shared" si="73"/>
        <v>2026</v>
      </c>
      <c r="AA648" t="str">
        <f t="shared" si="74"/>
        <v>Friday</v>
      </c>
      <c r="AB648">
        <f t="shared" si="75"/>
        <v>-52</v>
      </c>
      <c r="AC648" t="str">
        <f>IF(OR(D648="Heart Disease",D648="Cancer",D648="Stroke"),"High",IF(OR(D648="Diabetes",D648="Asthma"),"Medium","Low"))</f>
        <v>Low</v>
      </c>
      <c r="AD648" t="str">
        <f t="shared" si="76"/>
        <v>No</v>
      </c>
      <c r="AE648" t="str">
        <f>IF(G648&lt;=2,"Short Stay", IF(G648&lt;=7,"Normal Stay", "Long Stay"))</f>
        <v>Long Stay</v>
      </c>
      <c r="AF648" t="str">
        <f>IF(F648&gt;60000,"Expensive",IF(F648&gt;30000,"Moderate","Affordable"))</f>
        <v>Affordable</v>
      </c>
      <c r="AG648" t="str">
        <f>IF(J648&gt;=4.5,"Excellent",IF(J648&gt;=3.5,"Good",IF(J648&gt;=2.5,"Average","Poor")))</f>
        <v>Average</v>
      </c>
      <c r="AH648" t="str">
        <f>IF(OR(TEXT(N648,"dddd")="Saturday",TEXT(N648,"dddd")="Sunday"),"Weekend","Weekday")</f>
        <v>Weekday</v>
      </c>
    </row>
    <row r="649" spans="1:34" x14ac:dyDescent="0.3">
      <c r="A649">
        <v>658</v>
      </c>
      <c r="B649">
        <v>35</v>
      </c>
      <c r="C649" t="s">
        <v>21</v>
      </c>
      <c r="D649" t="s">
        <v>105</v>
      </c>
      <c r="E649" t="s">
        <v>106</v>
      </c>
      <c r="F649">
        <v>12000</v>
      </c>
      <c r="G649">
        <v>46</v>
      </c>
      <c r="H649" t="s">
        <v>24</v>
      </c>
      <c r="I649" t="s">
        <v>25</v>
      </c>
      <c r="J649">
        <v>4</v>
      </c>
      <c r="K649" t="s">
        <v>172</v>
      </c>
      <c r="L649" t="s">
        <v>1421</v>
      </c>
      <c r="M649" t="s">
        <v>1422</v>
      </c>
      <c r="N649" s="2">
        <v>46305</v>
      </c>
      <c r="O649" s="2">
        <v>46351</v>
      </c>
      <c r="P649" t="s">
        <v>29</v>
      </c>
      <c r="Q649" t="s">
        <v>52</v>
      </c>
      <c r="R649" t="s">
        <v>45</v>
      </c>
      <c r="S649" t="s">
        <v>110</v>
      </c>
      <c r="T649" t="s">
        <v>33</v>
      </c>
      <c r="U649" t="s">
        <v>104</v>
      </c>
      <c r="V649" t="str">
        <f>IF(B649&lt;=18,"Children",IF(B649&lt;=35,"Young adult",IF(B649&lt;=60,"Adult", "Senior Citizen")))</f>
        <v>Young adult</v>
      </c>
      <c r="W649" t="str">
        <f t="shared" si="70"/>
        <v>Oct</v>
      </c>
      <c r="X649">
        <f t="shared" si="71"/>
        <v>10</v>
      </c>
      <c r="Y649" t="str">
        <f t="shared" si="72"/>
        <v>Q4</v>
      </c>
      <c r="Z649">
        <f t="shared" si="73"/>
        <v>2026</v>
      </c>
      <c r="AA649" t="str">
        <f t="shared" si="74"/>
        <v>Saturday</v>
      </c>
      <c r="AB649">
        <f t="shared" si="75"/>
        <v>-46</v>
      </c>
      <c r="AC649" t="str">
        <f>IF(OR(D649="Heart Disease",D649="Cancer",D649="Stroke"),"High",IF(OR(D649="Diabetes",D649="Asthma"),"Medium","Low"))</f>
        <v>Low</v>
      </c>
      <c r="AD649" t="str">
        <f t="shared" si="76"/>
        <v>No</v>
      </c>
      <c r="AE649" t="str">
        <f>IF(G649&lt;=2,"Short Stay", IF(G649&lt;=7,"Normal Stay", "Long Stay"))</f>
        <v>Long Stay</v>
      </c>
      <c r="AF649" t="str">
        <f>IF(F649&gt;60000,"Expensive",IF(F649&gt;30000,"Moderate","Affordable"))</f>
        <v>Affordable</v>
      </c>
      <c r="AG649" t="str">
        <f>IF(J649&gt;=4.5,"Excellent",IF(J649&gt;=3.5,"Good",IF(J649&gt;=2.5,"Average","Poor")))</f>
        <v>Good</v>
      </c>
      <c r="AH649" t="str">
        <f>IF(OR(TEXT(N649,"dddd")="Saturday",TEXT(N649,"dddd")="Sunday"),"Weekend","Weekday")</f>
        <v>Weekend</v>
      </c>
    </row>
    <row r="650" spans="1:34" x14ac:dyDescent="0.3">
      <c r="A650">
        <v>659</v>
      </c>
      <c r="B650">
        <v>50</v>
      </c>
      <c r="C650" t="s">
        <v>35</v>
      </c>
      <c r="D650" t="s">
        <v>111</v>
      </c>
      <c r="E650" t="s">
        <v>112</v>
      </c>
      <c r="F650">
        <v>6000</v>
      </c>
      <c r="G650">
        <v>47</v>
      </c>
      <c r="H650" t="s">
        <v>24</v>
      </c>
      <c r="I650" t="s">
        <v>25</v>
      </c>
      <c r="J650">
        <v>3</v>
      </c>
      <c r="K650" t="s">
        <v>210</v>
      </c>
      <c r="L650" t="s">
        <v>1423</v>
      </c>
      <c r="M650" t="s">
        <v>1424</v>
      </c>
      <c r="N650" s="2">
        <v>46306</v>
      </c>
      <c r="O650" s="2">
        <v>46353</v>
      </c>
      <c r="P650" t="s">
        <v>43</v>
      </c>
      <c r="Q650" t="s">
        <v>30</v>
      </c>
      <c r="R650" t="s">
        <v>45</v>
      </c>
      <c r="S650" t="s">
        <v>53</v>
      </c>
      <c r="T650" t="s">
        <v>33</v>
      </c>
      <c r="U650" t="s">
        <v>34</v>
      </c>
      <c r="V650" t="str">
        <f>IF(B650&lt;=18,"Children",IF(B650&lt;=35,"Young adult",IF(B650&lt;=60,"Adult", "Senior Citizen")))</f>
        <v>Adult</v>
      </c>
      <c r="W650" t="str">
        <f t="shared" si="70"/>
        <v>Oct</v>
      </c>
      <c r="X650">
        <f t="shared" si="71"/>
        <v>10</v>
      </c>
      <c r="Y650" t="str">
        <f t="shared" si="72"/>
        <v>Q4</v>
      </c>
      <c r="Z650">
        <f t="shared" si="73"/>
        <v>2026</v>
      </c>
      <c r="AA650" t="str">
        <f t="shared" si="74"/>
        <v>Sunday</v>
      </c>
      <c r="AB650">
        <f t="shared" si="75"/>
        <v>-47</v>
      </c>
      <c r="AC650" t="str">
        <f>IF(OR(D650="Heart Disease",D650="Cancer",D650="Stroke"),"High",IF(OR(D650="Diabetes",D650="Asthma"),"Medium","Low"))</f>
        <v>Low</v>
      </c>
      <c r="AD650" t="str">
        <f t="shared" si="76"/>
        <v>No</v>
      </c>
      <c r="AE650" t="str">
        <f>IF(G650&lt;=2,"Short Stay", IF(G650&lt;=7,"Normal Stay", "Long Stay"))</f>
        <v>Long Stay</v>
      </c>
      <c r="AF650" t="str">
        <f>IF(F650&gt;60000,"Expensive",IF(F650&gt;30000,"Moderate","Affordable"))</f>
        <v>Affordable</v>
      </c>
      <c r="AG650" t="str">
        <f>IF(J650&gt;=4.5,"Excellent",IF(J650&gt;=3.5,"Good",IF(J650&gt;=2.5,"Average","Poor")))</f>
        <v>Average</v>
      </c>
      <c r="AH650" t="str">
        <f>IF(OR(TEXT(N650,"dddd")="Saturday",TEXT(N650,"dddd")="Sunday"),"Weekend","Weekday")</f>
        <v>Weekend</v>
      </c>
    </row>
    <row r="651" spans="1:34" x14ac:dyDescent="0.3">
      <c r="A651">
        <v>660</v>
      </c>
      <c r="B651">
        <v>60</v>
      </c>
      <c r="C651" t="s">
        <v>21</v>
      </c>
      <c r="D651" t="s">
        <v>116</v>
      </c>
      <c r="E651" t="s">
        <v>117</v>
      </c>
      <c r="F651">
        <v>4000</v>
      </c>
      <c r="G651">
        <v>48</v>
      </c>
      <c r="H651" t="s">
        <v>24</v>
      </c>
      <c r="I651" t="s">
        <v>39</v>
      </c>
      <c r="J651">
        <v>4</v>
      </c>
      <c r="K651" t="s">
        <v>154</v>
      </c>
      <c r="L651" t="s">
        <v>1425</v>
      </c>
      <c r="M651" t="s">
        <v>1426</v>
      </c>
      <c r="N651" s="2">
        <v>46307</v>
      </c>
      <c r="O651" s="2">
        <v>46355</v>
      </c>
      <c r="P651" t="s">
        <v>43</v>
      </c>
      <c r="Q651" t="s">
        <v>44</v>
      </c>
      <c r="R651" t="s">
        <v>45</v>
      </c>
      <c r="S651" t="s">
        <v>110</v>
      </c>
      <c r="T651" t="s">
        <v>33</v>
      </c>
      <c r="U651" t="s">
        <v>78</v>
      </c>
      <c r="V651" t="str">
        <f>IF(B651&lt;=18,"Children",IF(B651&lt;=35,"Young adult",IF(B651&lt;=60,"Adult", "Senior Citizen")))</f>
        <v>Adult</v>
      </c>
      <c r="W651" t="str">
        <f t="shared" si="70"/>
        <v>Oct</v>
      </c>
      <c r="X651">
        <f t="shared" si="71"/>
        <v>10</v>
      </c>
      <c r="Y651" t="str">
        <f t="shared" si="72"/>
        <v>Q4</v>
      </c>
      <c r="Z651">
        <f t="shared" si="73"/>
        <v>2026</v>
      </c>
      <c r="AA651" t="str">
        <f t="shared" si="74"/>
        <v>Monday</v>
      </c>
      <c r="AB651">
        <f t="shared" si="75"/>
        <v>-48</v>
      </c>
      <c r="AC651" t="str">
        <f>IF(OR(D651="Heart Disease",D651="Cancer",D651="Stroke"),"High",IF(OR(D651="Diabetes",D651="Asthma"),"Medium","Low"))</f>
        <v>Low</v>
      </c>
      <c r="AD651" t="str">
        <f t="shared" si="76"/>
        <v>No</v>
      </c>
      <c r="AE651" t="str">
        <f>IF(G651&lt;=2,"Short Stay", IF(G651&lt;=7,"Normal Stay", "Long Stay"))</f>
        <v>Long Stay</v>
      </c>
      <c r="AF651" t="str">
        <f>IF(F651&gt;60000,"Expensive",IF(F651&gt;30000,"Moderate","Affordable"))</f>
        <v>Affordable</v>
      </c>
      <c r="AG651" t="str">
        <f>IF(J651&gt;=4.5,"Excellent",IF(J651&gt;=3.5,"Good",IF(J651&gt;=2.5,"Average","Poor")))</f>
        <v>Good</v>
      </c>
      <c r="AH651" t="str">
        <f>IF(OR(TEXT(N651,"dddd")="Saturday",TEXT(N651,"dddd")="Sunday"),"Weekend","Weekday")</f>
        <v>Weekday</v>
      </c>
    </row>
    <row r="652" spans="1:34" x14ac:dyDescent="0.3">
      <c r="A652">
        <v>662</v>
      </c>
      <c r="B652">
        <v>65</v>
      </c>
      <c r="C652" t="s">
        <v>35</v>
      </c>
      <c r="D652" t="s">
        <v>36</v>
      </c>
      <c r="E652" t="s">
        <v>37</v>
      </c>
      <c r="F652">
        <v>2000</v>
      </c>
      <c r="G652">
        <v>47</v>
      </c>
      <c r="H652" t="s">
        <v>24</v>
      </c>
      <c r="I652" t="s">
        <v>39</v>
      </c>
      <c r="J652">
        <v>3</v>
      </c>
      <c r="K652" t="s">
        <v>175</v>
      </c>
      <c r="L652" t="s">
        <v>1427</v>
      </c>
      <c r="M652" t="s">
        <v>1428</v>
      </c>
      <c r="N652" s="2">
        <v>46308</v>
      </c>
      <c r="O652" s="2">
        <v>46355</v>
      </c>
      <c r="P652" t="s">
        <v>43</v>
      </c>
      <c r="Q652" t="s">
        <v>71</v>
      </c>
      <c r="R652" t="s">
        <v>45</v>
      </c>
      <c r="S652" t="s">
        <v>32</v>
      </c>
      <c r="T652" t="s">
        <v>33</v>
      </c>
      <c r="U652" t="s">
        <v>34</v>
      </c>
      <c r="V652" t="str">
        <f>IF(B652&lt;=18,"Children",IF(B652&lt;=35,"Young adult",IF(B652&lt;=60,"Adult", "Senior Citizen")))</f>
        <v>Senior Citizen</v>
      </c>
      <c r="W652" t="str">
        <f t="shared" si="70"/>
        <v>Oct</v>
      </c>
      <c r="X652">
        <f t="shared" si="71"/>
        <v>10</v>
      </c>
      <c r="Y652" t="str">
        <f t="shared" si="72"/>
        <v>Q4</v>
      </c>
      <c r="Z652">
        <f t="shared" si="73"/>
        <v>2026</v>
      </c>
      <c r="AA652" t="str">
        <f t="shared" si="74"/>
        <v>Tuesday</v>
      </c>
      <c r="AB652">
        <f t="shared" si="75"/>
        <v>-47</v>
      </c>
      <c r="AC652" t="str">
        <f>IF(OR(D652="Heart Disease",D652="Cancer",D652="Stroke"),"High",IF(OR(D652="Diabetes",D652="Asthma"),"Medium","Low"))</f>
        <v>Medium</v>
      </c>
      <c r="AD652" t="str">
        <f t="shared" si="76"/>
        <v>No</v>
      </c>
      <c r="AE652" t="str">
        <f>IF(G652&lt;=2,"Short Stay", IF(G652&lt;=7,"Normal Stay", "Long Stay"))</f>
        <v>Long Stay</v>
      </c>
      <c r="AF652" t="str">
        <f>IF(F652&gt;60000,"Expensive",IF(F652&gt;30000,"Moderate","Affordable"))</f>
        <v>Affordable</v>
      </c>
      <c r="AG652" t="str">
        <f>IF(J652&gt;=4.5,"Excellent",IF(J652&gt;=3.5,"Good",IF(J652&gt;=2.5,"Average","Poor")))</f>
        <v>Average</v>
      </c>
      <c r="AH652" t="str">
        <f>IF(OR(TEXT(N652,"dddd")="Saturday",TEXT(N652,"dddd")="Sunday"),"Weekend","Weekday")</f>
        <v>Weekday</v>
      </c>
    </row>
    <row r="653" spans="1:34" x14ac:dyDescent="0.3">
      <c r="A653">
        <v>663</v>
      </c>
      <c r="B653">
        <v>30</v>
      </c>
      <c r="C653" t="s">
        <v>21</v>
      </c>
      <c r="D653" t="s">
        <v>47</v>
      </c>
      <c r="E653" t="s">
        <v>48</v>
      </c>
      <c r="F653">
        <v>500</v>
      </c>
      <c r="G653">
        <v>45</v>
      </c>
      <c r="H653" t="s">
        <v>24</v>
      </c>
      <c r="I653" t="s">
        <v>25</v>
      </c>
      <c r="J653">
        <v>5</v>
      </c>
      <c r="K653" t="s">
        <v>68</v>
      </c>
      <c r="L653" t="s">
        <v>1429</v>
      </c>
      <c r="M653" t="s">
        <v>1430</v>
      </c>
      <c r="N653" s="2">
        <v>46309</v>
      </c>
      <c r="O653" s="2">
        <v>46354</v>
      </c>
      <c r="P653" t="s">
        <v>29</v>
      </c>
      <c r="Q653" t="s">
        <v>52</v>
      </c>
      <c r="R653" t="s">
        <v>45</v>
      </c>
      <c r="S653" t="s">
        <v>84</v>
      </c>
      <c r="T653" t="s">
        <v>33</v>
      </c>
      <c r="U653" t="s">
        <v>34</v>
      </c>
      <c r="V653" t="str">
        <f>IF(B653&lt;=18,"Children",IF(B653&lt;=35,"Young adult",IF(B653&lt;=60,"Adult", "Senior Citizen")))</f>
        <v>Young adult</v>
      </c>
      <c r="W653" t="str">
        <f t="shared" si="70"/>
        <v>Oct</v>
      </c>
      <c r="X653">
        <f t="shared" si="71"/>
        <v>10</v>
      </c>
      <c r="Y653" t="str">
        <f t="shared" si="72"/>
        <v>Q4</v>
      </c>
      <c r="Z653">
        <f t="shared" si="73"/>
        <v>2026</v>
      </c>
      <c r="AA653" t="str">
        <f t="shared" si="74"/>
        <v>Wednesday</v>
      </c>
      <c r="AB653">
        <f t="shared" si="75"/>
        <v>-45</v>
      </c>
      <c r="AC653" t="str">
        <f>IF(OR(D653="Heart Disease",D653="Cancer",D653="Stroke"),"High",IF(OR(D653="Diabetes",D653="Asthma"),"Medium","Low"))</f>
        <v>Low</v>
      </c>
      <c r="AD653" t="str">
        <f t="shared" si="76"/>
        <v>No</v>
      </c>
      <c r="AE653" t="str">
        <f>IF(G653&lt;=2,"Short Stay", IF(G653&lt;=7,"Normal Stay", "Long Stay"))</f>
        <v>Long Stay</v>
      </c>
      <c r="AF653" t="str">
        <f>IF(F653&gt;60000,"Expensive",IF(F653&gt;30000,"Moderate","Affordable"))</f>
        <v>Affordable</v>
      </c>
      <c r="AG653" t="str">
        <f>IF(J653&gt;=4.5,"Excellent",IF(J653&gt;=3.5,"Good",IF(J653&gt;=2.5,"Average","Poor")))</f>
        <v>Excellent</v>
      </c>
      <c r="AH653" t="str">
        <f>IF(OR(TEXT(N653,"dddd")="Saturday",TEXT(N653,"dddd")="Sunday"),"Weekend","Weekday")</f>
        <v>Weekday</v>
      </c>
    </row>
    <row r="654" spans="1:34" x14ac:dyDescent="0.3">
      <c r="A654">
        <v>664</v>
      </c>
      <c r="B654">
        <v>70</v>
      </c>
      <c r="C654" t="s">
        <v>35</v>
      </c>
      <c r="D654" t="s">
        <v>54</v>
      </c>
      <c r="E654" t="s">
        <v>55</v>
      </c>
      <c r="F654">
        <v>10000</v>
      </c>
      <c r="G654">
        <v>52</v>
      </c>
      <c r="H654" t="s">
        <v>38</v>
      </c>
      <c r="I654" t="s">
        <v>39</v>
      </c>
      <c r="J654">
        <v>2</v>
      </c>
      <c r="K654" t="s">
        <v>250</v>
      </c>
      <c r="L654" t="s">
        <v>1431</v>
      </c>
      <c r="M654" t="s">
        <v>1432</v>
      </c>
      <c r="N654" s="2">
        <v>46310</v>
      </c>
      <c r="O654" s="2">
        <v>46362</v>
      </c>
      <c r="P654" t="s">
        <v>43</v>
      </c>
      <c r="Q654" t="s">
        <v>30</v>
      </c>
      <c r="R654" t="s">
        <v>59</v>
      </c>
      <c r="S654" t="s">
        <v>72</v>
      </c>
      <c r="T654" t="s">
        <v>33</v>
      </c>
      <c r="U654" t="s">
        <v>46</v>
      </c>
      <c r="V654" t="str">
        <f>IF(B654&lt;=18,"Children",IF(B654&lt;=35,"Young adult",IF(B654&lt;=60,"Adult", "Senior Citizen")))</f>
        <v>Senior Citizen</v>
      </c>
      <c r="W654" t="str">
        <f t="shared" si="70"/>
        <v>Oct</v>
      </c>
      <c r="X654">
        <f t="shared" si="71"/>
        <v>10</v>
      </c>
      <c r="Y654" t="str">
        <f t="shared" si="72"/>
        <v>Q4</v>
      </c>
      <c r="Z654">
        <f t="shared" si="73"/>
        <v>2026</v>
      </c>
      <c r="AA654" t="str">
        <f t="shared" si="74"/>
        <v>Thursday</v>
      </c>
      <c r="AB654">
        <f t="shared" si="75"/>
        <v>-52</v>
      </c>
      <c r="AC654" t="str">
        <f>IF(OR(D654="Heart Disease",D654="Cancer",D654="Stroke"),"High",IF(OR(D654="Diabetes",D654="Asthma"),"Medium","Low"))</f>
        <v>High</v>
      </c>
      <c r="AD654" t="str">
        <f t="shared" si="76"/>
        <v>Yes</v>
      </c>
      <c r="AE654" t="str">
        <f>IF(G654&lt;=2,"Short Stay", IF(G654&lt;=7,"Normal Stay", "Long Stay"))</f>
        <v>Long Stay</v>
      </c>
      <c r="AF654" t="str">
        <f>IF(F654&gt;60000,"Expensive",IF(F654&gt;30000,"Moderate","Affordable"))</f>
        <v>Affordable</v>
      </c>
      <c r="AG654" t="str">
        <f>IF(J654&gt;=4.5,"Excellent",IF(J654&gt;=3.5,"Good",IF(J654&gt;=2.5,"Average","Poor")))</f>
        <v>Poor</v>
      </c>
      <c r="AH654" t="str">
        <f>IF(OR(TEXT(N654,"dddd")="Saturday",TEXT(N654,"dddd")="Sunday"),"Weekend","Weekday")</f>
        <v>Weekday</v>
      </c>
    </row>
    <row r="655" spans="1:34" x14ac:dyDescent="0.3">
      <c r="A655">
        <v>665</v>
      </c>
      <c r="B655">
        <v>55</v>
      </c>
      <c r="C655" t="s">
        <v>21</v>
      </c>
      <c r="D655" t="s">
        <v>60</v>
      </c>
      <c r="E655" t="s">
        <v>61</v>
      </c>
      <c r="F655">
        <v>25000</v>
      </c>
      <c r="G655">
        <v>54</v>
      </c>
      <c r="H655" t="s">
        <v>24</v>
      </c>
      <c r="I655" t="s">
        <v>25</v>
      </c>
      <c r="J655">
        <v>4</v>
      </c>
      <c r="K655" t="s">
        <v>154</v>
      </c>
      <c r="L655" t="s">
        <v>1433</v>
      </c>
      <c r="M655" t="s">
        <v>1434</v>
      </c>
      <c r="N655" s="2">
        <v>46311</v>
      </c>
      <c r="O655" s="2">
        <v>46365</v>
      </c>
      <c r="P655" t="s">
        <v>29</v>
      </c>
      <c r="Q655" t="s">
        <v>44</v>
      </c>
      <c r="R655" t="s">
        <v>65</v>
      </c>
      <c r="S655" t="s">
        <v>110</v>
      </c>
      <c r="T655" t="s">
        <v>33</v>
      </c>
      <c r="U655" t="s">
        <v>104</v>
      </c>
      <c r="V655" t="str">
        <f>IF(B655&lt;=18,"Children",IF(B655&lt;=35,"Young adult",IF(B655&lt;=60,"Adult", "Senior Citizen")))</f>
        <v>Adult</v>
      </c>
      <c r="W655" t="str">
        <f t="shared" si="70"/>
        <v>Oct</v>
      </c>
      <c r="X655">
        <f t="shared" si="71"/>
        <v>10</v>
      </c>
      <c r="Y655" t="str">
        <f t="shared" si="72"/>
        <v>Q4</v>
      </c>
      <c r="Z655">
        <f t="shared" si="73"/>
        <v>2026</v>
      </c>
      <c r="AA655" t="str">
        <f t="shared" si="74"/>
        <v>Friday</v>
      </c>
      <c r="AB655">
        <f t="shared" si="75"/>
        <v>-54</v>
      </c>
      <c r="AC655" t="str">
        <f>IF(OR(D655="Heart Disease",D655="Cancer",D655="Stroke"),"High",IF(OR(D655="Diabetes",D655="Asthma"),"Medium","Low"))</f>
        <v>High</v>
      </c>
      <c r="AD655" t="str">
        <f t="shared" si="76"/>
        <v>Yes</v>
      </c>
      <c r="AE655" t="str">
        <f>IF(G655&lt;=2,"Short Stay", IF(G655&lt;=7,"Normal Stay", "Long Stay"))</f>
        <v>Long Stay</v>
      </c>
      <c r="AF655" t="str">
        <f>IF(F655&gt;60000,"Expensive",IF(F655&gt;30000,"Moderate","Affordable"))</f>
        <v>Affordable</v>
      </c>
      <c r="AG655" t="str">
        <f>IF(J655&gt;=4.5,"Excellent",IF(J655&gt;=3.5,"Good",IF(J655&gt;=2.5,"Average","Poor")))</f>
        <v>Good</v>
      </c>
      <c r="AH655" t="str">
        <f>IF(OR(TEXT(N655,"dddd")="Saturday",TEXT(N655,"dddd")="Sunday"),"Weekend","Weekday")</f>
        <v>Weekday</v>
      </c>
    </row>
    <row r="656" spans="1:34" x14ac:dyDescent="0.3">
      <c r="A656">
        <v>666</v>
      </c>
      <c r="B656">
        <v>68</v>
      </c>
      <c r="C656" t="s">
        <v>35</v>
      </c>
      <c r="D656" t="s">
        <v>66</v>
      </c>
      <c r="E656" t="s">
        <v>67</v>
      </c>
      <c r="F656">
        <v>1000</v>
      </c>
      <c r="G656">
        <v>48</v>
      </c>
      <c r="H656" t="s">
        <v>24</v>
      </c>
      <c r="I656" t="s">
        <v>39</v>
      </c>
      <c r="J656">
        <v>4</v>
      </c>
      <c r="K656" t="s">
        <v>96</v>
      </c>
      <c r="L656" t="s">
        <v>1435</v>
      </c>
      <c r="M656" t="s">
        <v>1436</v>
      </c>
      <c r="N656" s="2">
        <v>46312</v>
      </c>
      <c r="O656" s="2">
        <v>46360</v>
      </c>
      <c r="P656" t="s">
        <v>29</v>
      </c>
      <c r="Q656" t="s">
        <v>30</v>
      </c>
      <c r="R656" t="s">
        <v>45</v>
      </c>
      <c r="S656" t="s">
        <v>72</v>
      </c>
      <c r="T656" t="s">
        <v>33</v>
      </c>
      <c r="U656" t="s">
        <v>46</v>
      </c>
      <c r="V656" t="str">
        <f>IF(B656&lt;=18,"Children",IF(B656&lt;=35,"Young adult",IF(B656&lt;=60,"Adult", "Senior Citizen")))</f>
        <v>Senior Citizen</v>
      </c>
      <c r="W656" t="str">
        <f t="shared" si="70"/>
        <v>Oct</v>
      </c>
      <c r="X656">
        <f t="shared" si="71"/>
        <v>10</v>
      </c>
      <c r="Y656" t="str">
        <f t="shared" si="72"/>
        <v>Q4</v>
      </c>
      <c r="Z656">
        <f t="shared" si="73"/>
        <v>2026</v>
      </c>
      <c r="AA656" t="str">
        <f t="shared" si="74"/>
        <v>Saturday</v>
      </c>
      <c r="AB656">
        <f t="shared" si="75"/>
        <v>-48</v>
      </c>
      <c r="AC656" t="str">
        <f>IF(OR(D656="Heart Disease",D656="Cancer",D656="Stroke"),"High",IF(OR(D656="Diabetes",D656="Asthma"),"Medium","Low"))</f>
        <v>Low</v>
      </c>
      <c r="AD656" t="str">
        <f t="shared" si="76"/>
        <v>No</v>
      </c>
      <c r="AE656" t="str">
        <f>IF(G656&lt;=2,"Short Stay", IF(G656&lt;=7,"Normal Stay", "Long Stay"))</f>
        <v>Long Stay</v>
      </c>
      <c r="AF656" t="str">
        <f>IF(F656&gt;60000,"Expensive",IF(F656&gt;30000,"Moderate","Affordable"))</f>
        <v>Affordable</v>
      </c>
      <c r="AG656" t="str">
        <f>IF(J656&gt;=4.5,"Excellent",IF(J656&gt;=3.5,"Good",IF(J656&gt;=2.5,"Average","Poor")))</f>
        <v>Good</v>
      </c>
      <c r="AH656" t="str">
        <f>IF(OR(TEXT(N656,"dddd")="Saturday",TEXT(N656,"dddd")="Sunday"),"Weekend","Weekday")</f>
        <v>Weekend</v>
      </c>
    </row>
    <row r="657" spans="1:34" x14ac:dyDescent="0.3">
      <c r="A657">
        <v>667</v>
      </c>
      <c r="B657">
        <v>45</v>
      </c>
      <c r="C657" t="s">
        <v>21</v>
      </c>
      <c r="D657" t="s">
        <v>73</v>
      </c>
      <c r="E657" t="s">
        <v>74</v>
      </c>
      <c r="F657">
        <v>8000</v>
      </c>
      <c r="G657">
        <v>50</v>
      </c>
      <c r="H657" t="s">
        <v>24</v>
      </c>
      <c r="I657" t="s">
        <v>25</v>
      </c>
      <c r="J657">
        <v>3</v>
      </c>
      <c r="K657" t="s">
        <v>197</v>
      </c>
      <c r="L657" t="s">
        <v>1437</v>
      </c>
      <c r="M657" t="s">
        <v>1438</v>
      </c>
      <c r="N657" s="2">
        <v>46313</v>
      </c>
      <c r="O657" s="2">
        <v>46363</v>
      </c>
      <c r="P657" t="s">
        <v>43</v>
      </c>
      <c r="Q657" t="s">
        <v>44</v>
      </c>
      <c r="R657" t="s">
        <v>45</v>
      </c>
      <c r="S657" t="s">
        <v>72</v>
      </c>
      <c r="T657" t="s">
        <v>33</v>
      </c>
      <c r="U657" t="s">
        <v>78</v>
      </c>
      <c r="V657" t="str">
        <f>IF(B657&lt;=18,"Children",IF(B657&lt;=35,"Young adult",IF(B657&lt;=60,"Adult", "Senior Citizen")))</f>
        <v>Adult</v>
      </c>
      <c r="W657" t="str">
        <f t="shared" si="70"/>
        <v>Oct</v>
      </c>
      <c r="X657">
        <f t="shared" si="71"/>
        <v>10</v>
      </c>
      <c r="Y657" t="str">
        <f t="shared" si="72"/>
        <v>Q4</v>
      </c>
      <c r="Z657">
        <f t="shared" si="73"/>
        <v>2026</v>
      </c>
      <c r="AA657" t="str">
        <f t="shared" si="74"/>
        <v>Sunday</v>
      </c>
      <c r="AB657">
        <f t="shared" si="75"/>
        <v>-50</v>
      </c>
      <c r="AC657" t="str">
        <f>IF(OR(D657="Heart Disease",D657="Cancer",D657="Stroke"),"High",IF(OR(D657="Diabetes",D657="Asthma"),"Medium","Low"))</f>
        <v>Low</v>
      </c>
      <c r="AD657" t="str">
        <f t="shared" si="76"/>
        <v>No</v>
      </c>
      <c r="AE657" t="str">
        <f>IF(G657&lt;=2,"Short Stay", IF(G657&lt;=7,"Normal Stay", "Long Stay"))</f>
        <v>Long Stay</v>
      </c>
      <c r="AF657" t="str">
        <f>IF(F657&gt;60000,"Expensive",IF(F657&gt;30000,"Moderate","Affordable"))</f>
        <v>Affordable</v>
      </c>
      <c r="AG657" t="str">
        <f>IF(J657&gt;=4.5,"Excellent",IF(J657&gt;=3.5,"Good",IF(J657&gt;=2.5,"Average","Poor")))</f>
        <v>Average</v>
      </c>
      <c r="AH657" t="str">
        <f>IF(OR(TEXT(N657,"dddd")="Saturday",TEXT(N657,"dddd")="Sunday"),"Weekend","Weekday")</f>
        <v>Weekend</v>
      </c>
    </row>
    <row r="658" spans="1:34" x14ac:dyDescent="0.3">
      <c r="A658">
        <v>668</v>
      </c>
      <c r="B658">
        <v>40</v>
      </c>
      <c r="C658" t="s">
        <v>35</v>
      </c>
      <c r="D658" t="s">
        <v>79</v>
      </c>
      <c r="E658" t="s">
        <v>80</v>
      </c>
      <c r="F658">
        <v>3000</v>
      </c>
      <c r="G658">
        <v>50</v>
      </c>
      <c r="H658" t="s">
        <v>24</v>
      </c>
      <c r="I658" t="s">
        <v>25</v>
      </c>
      <c r="J658">
        <v>4</v>
      </c>
      <c r="K658" t="s">
        <v>178</v>
      </c>
      <c r="L658" t="s">
        <v>1439</v>
      </c>
      <c r="M658" t="s">
        <v>1440</v>
      </c>
      <c r="N658" s="2">
        <v>46314</v>
      </c>
      <c r="O658" s="2">
        <v>46364</v>
      </c>
      <c r="P658" t="s">
        <v>43</v>
      </c>
      <c r="Q658" t="s">
        <v>71</v>
      </c>
      <c r="R658" t="s">
        <v>45</v>
      </c>
      <c r="S658" t="s">
        <v>84</v>
      </c>
      <c r="T658" t="s">
        <v>33</v>
      </c>
      <c r="U658" t="s">
        <v>46</v>
      </c>
      <c r="V658" t="str">
        <f>IF(B658&lt;=18,"Children",IF(B658&lt;=35,"Young adult",IF(B658&lt;=60,"Adult", "Senior Citizen")))</f>
        <v>Adult</v>
      </c>
      <c r="W658" t="str">
        <f t="shared" si="70"/>
        <v>Oct</v>
      </c>
      <c r="X658">
        <f t="shared" si="71"/>
        <v>10</v>
      </c>
      <c r="Y658" t="str">
        <f t="shared" si="72"/>
        <v>Q4</v>
      </c>
      <c r="Z658">
        <f t="shared" si="73"/>
        <v>2026</v>
      </c>
      <c r="AA658" t="str">
        <f t="shared" si="74"/>
        <v>Monday</v>
      </c>
      <c r="AB658">
        <f t="shared" si="75"/>
        <v>-50</v>
      </c>
      <c r="AC658" t="str">
        <f>IF(OR(D658="Heart Disease",D658="Cancer",D658="Stroke"),"High",IF(OR(D658="Diabetes",D658="Asthma"),"Medium","Low"))</f>
        <v>Low</v>
      </c>
      <c r="AD658" t="str">
        <f t="shared" si="76"/>
        <v>No</v>
      </c>
      <c r="AE658" t="str">
        <f>IF(G658&lt;=2,"Short Stay", IF(G658&lt;=7,"Normal Stay", "Long Stay"))</f>
        <v>Long Stay</v>
      </c>
      <c r="AF658" t="str">
        <f>IF(F658&gt;60000,"Expensive",IF(F658&gt;30000,"Moderate","Affordable"))</f>
        <v>Affordable</v>
      </c>
      <c r="AG658" t="str">
        <f>IF(J658&gt;=4.5,"Excellent",IF(J658&gt;=3.5,"Good",IF(J658&gt;=2.5,"Average","Poor")))</f>
        <v>Good</v>
      </c>
      <c r="AH658" t="str">
        <f>IF(OR(TEXT(N658,"dddd")="Saturday",TEXT(N658,"dddd")="Sunday"),"Weekend","Weekday")</f>
        <v>Weekday</v>
      </c>
    </row>
    <row r="659" spans="1:34" x14ac:dyDescent="0.3">
      <c r="A659">
        <v>669</v>
      </c>
      <c r="B659">
        <v>78</v>
      </c>
      <c r="C659" t="s">
        <v>21</v>
      </c>
      <c r="D659" t="s">
        <v>85</v>
      </c>
      <c r="E659" t="s">
        <v>86</v>
      </c>
      <c r="F659">
        <v>18000</v>
      </c>
      <c r="G659">
        <v>52</v>
      </c>
      <c r="H659" t="s">
        <v>38</v>
      </c>
      <c r="I659" t="s">
        <v>39</v>
      </c>
      <c r="J659">
        <v>2</v>
      </c>
      <c r="K659" t="s">
        <v>157</v>
      </c>
      <c r="L659" t="s">
        <v>1441</v>
      </c>
      <c r="M659" t="s">
        <v>1442</v>
      </c>
      <c r="N659" s="2">
        <v>46315</v>
      </c>
      <c r="O659" s="2">
        <v>46367</v>
      </c>
      <c r="P659" t="s">
        <v>29</v>
      </c>
      <c r="Q659" t="s">
        <v>139</v>
      </c>
      <c r="R659" t="s">
        <v>45</v>
      </c>
      <c r="S659" t="s">
        <v>84</v>
      </c>
      <c r="T659" t="s">
        <v>33</v>
      </c>
      <c r="U659" t="s">
        <v>78</v>
      </c>
      <c r="V659" t="str">
        <f>IF(B659&lt;=18,"Children",IF(B659&lt;=35,"Young adult",IF(B659&lt;=60,"Adult", "Senior Citizen")))</f>
        <v>Senior Citizen</v>
      </c>
      <c r="W659" t="str">
        <f t="shared" si="70"/>
        <v>Oct</v>
      </c>
      <c r="X659">
        <f t="shared" si="71"/>
        <v>10</v>
      </c>
      <c r="Y659" t="str">
        <f t="shared" si="72"/>
        <v>Q4</v>
      </c>
      <c r="Z659">
        <f t="shared" si="73"/>
        <v>2026</v>
      </c>
      <c r="AA659" t="str">
        <f t="shared" si="74"/>
        <v>Tuesday</v>
      </c>
      <c r="AB659">
        <f t="shared" si="75"/>
        <v>-52</v>
      </c>
      <c r="AC659" t="str">
        <f>IF(OR(D659="Heart Disease",D659="Cancer",D659="Stroke"),"High",IF(OR(D659="Diabetes",D659="Asthma"),"Medium","Low"))</f>
        <v>Low</v>
      </c>
      <c r="AD659" t="str">
        <f t="shared" si="76"/>
        <v>No</v>
      </c>
      <c r="AE659" t="str">
        <f>IF(G659&lt;=2,"Short Stay", IF(G659&lt;=7,"Normal Stay", "Long Stay"))</f>
        <v>Long Stay</v>
      </c>
      <c r="AF659" t="str">
        <f>IF(F659&gt;60000,"Expensive",IF(F659&gt;30000,"Moderate","Affordable"))</f>
        <v>Affordable</v>
      </c>
      <c r="AG659" t="str">
        <f>IF(J659&gt;=4.5,"Excellent",IF(J659&gt;=3.5,"Good",IF(J659&gt;=2.5,"Average","Poor")))</f>
        <v>Poor</v>
      </c>
      <c r="AH659" t="str">
        <f>IF(OR(TEXT(N659,"dddd")="Saturday",TEXT(N659,"dddd")="Sunday"),"Weekend","Weekday")</f>
        <v>Weekday</v>
      </c>
    </row>
    <row r="660" spans="1:34" x14ac:dyDescent="0.3">
      <c r="A660">
        <v>670</v>
      </c>
      <c r="B660">
        <v>25</v>
      </c>
      <c r="C660" t="s">
        <v>35</v>
      </c>
      <c r="D660" t="s">
        <v>89</v>
      </c>
      <c r="E660" t="s">
        <v>90</v>
      </c>
      <c r="F660">
        <v>100</v>
      </c>
      <c r="G660">
        <v>45</v>
      </c>
      <c r="H660" t="s">
        <v>24</v>
      </c>
      <c r="I660" t="s">
        <v>25</v>
      </c>
      <c r="J660">
        <v>5</v>
      </c>
      <c r="K660" t="s">
        <v>223</v>
      </c>
      <c r="L660" t="s">
        <v>1443</v>
      </c>
      <c r="M660" t="s">
        <v>1444</v>
      </c>
      <c r="N660" s="2">
        <v>46316</v>
      </c>
      <c r="O660" s="2">
        <v>46361</v>
      </c>
      <c r="P660" t="s">
        <v>29</v>
      </c>
      <c r="Q660" t="s">
        <v>52</v>
      </c>
      <c r="R660" t="s">
        <v>45</v>
      </c>
      <c r="S660" t="s">
        <v>53</v>
      </c>
      <c r="T660" t="s">
        <v>33</v>
      </c>
      <c r="U660" t="s">
        <v>104</v>
      </c>
      <c r="V660" t="str">
        <f>IF(B660&lt;=18,"Children",IF(B660&lt;=35,"Young adult",IF(B660&lt;=60,"Adult", "Senior Citizen")))</f>
        <v>Young adult</v>
      </c>
      <c r="W660" t="str">
        <f t="shared" si="70"/>
        <v>Oct</v>
      </c>
      <c r="X660">
        <f t="shared" si="71"/>
        <v>10</v>
      </c>
      <c r="Y660" t="str">
        <f t="shared" si="72"/>
        <v>Q4</v>
      </c>
      <c r="Z660">
        <f t="shared" si="73"/>
        <v>2026</v>
      </c>
      <c r="AA660" t="str">
        <f t="shared" si="74"/>
        <v>Wednesday</v>
      </c>
      <c r="AB660">
        <f t="shared" si="75"/>
        <v>-45</v>
      </c>
      <c r="AC660" t="str">
        <f>IF(OR(D660="Heart Disease",D660="Cancer",D660="Stroke"),"High",IF(OR(D660="Diabetes",D660="Asthma"),"Medium","Low"))</f>
        <v>Low</v>
      </c>
      <c r="AD660" t="str">
        <f t="shared" si="76"/>
        <v>No</v>
      </c>
      <c r="AE660" t="str">
        <f>IF(G660&lt;=2,"Short Stay", IF(G660&lt;=7,"Normal Stay", "Long Stay"))</f>
        <v>Long Stay</v>
      </c>
      <c r="AF660" t="str">
        <f>IF(F660&gt;60000,"Expensive",IF(F660&gt;30000,"Moderate","Affordable"))</f>
        <v>Affordable</v>
      </c>
      <c r="AG660" t="str">
        <f>IF(J660&gt;=4.5,"Excellent",IF(J660&gt;=3.5,"Good",IF(J660&gt;=2.5,"Average","Poor")))</f>
        <v>Excellent</v>
      </c>
      <c r="AH660" t="str">
        <f>IF(OR(TEXT(N660,"dddd")="Saturday",TEXT(N660,"dddd")="Sunday"),"Weekend","Weekday")</f>
        <v>Weekday</v>
      </c>
    </row>
    <row r="661" spans="1:34" x14ac:dyDescent="0.3">
      <c r="A661">
        <v>671</v>
      </c>
      <c r="B661">
        <v>52</v>
      </c>
      <c r="C661" t="s">
        <v>21</v>
      </c>
      <c r="D661" t="s">
        <v>94</v>
      </c>
      <c r="E661" t="s">
        <v>95</v>
      </c>
      <c r="F661">
        <v>800</v>
      </c>
      <c r="G661">
        <v>46</v>
      </c>
      <c r="H661" t="s">
        <v>24</v>
      </c>
      <c r="I661" t="s">
        <v>39</v>
      </c>
      <c r="J661">
        <v>4</v>
      </c>
      <c r="K661" t="s">
        <v>56</v>
      </c>
      <c r="L661" t="s">
        <v>1445</v>
      </c>
      <c r="M661" t="s">
        <v>1446</v>
      </c>
      <c r="N661" s="2">
        <v>46317</v>
      </c>
      <c r="O661" s="2">
        <v>46363</v>
      </c>
      <c r="P661" t="s">
        <v>43</v>
      </c>
      <c r="Q661" t="s">
        <v>52</v>
      </c>
      <c r="R661" t="s">
        <v>45</v>
      </c>
      <c r="S661" t="s">
        <v>53</v>
      </c>
      <c r="T661" t="s">
        <v>33</v>
      </c>
      <c r="U661" t="s">
        <v>78</v>
      </c>
      <c r="V661" t="str">
        <f>IF(B661&lt;=18,"Children",IF(B661&lt;=35,"Young adult",IF(B661&lt;=60,"Adult", "Senior Citizen")))</f>
        <v>Adult</v>
      </c>
      <c r="W661" t="str">
        <f t="shared" si="70"/>
        <v>Oct</v>
      </c>
      <c r="X661">
        <f t="shared" si="71"/>
        <v>10</v>
      </c>
      <c r="Y661" t="str">
        <f t="shared" si="72"/>
        <v>Q4</v>
      </c>
      <c r="Z661">
        <f t="shared" si="73"/>
        <v>2026</v>
      </c>
      <c r="AA661" t="str">
        <f t="shared" si="74"/>
        <v>Thursday</v>
      </c>
      <c r="AB661">
        <f t="shared" si="75"/>
        <v>-46</v>
      </c>
      <c r="AC661" t="str">
        <f>IF(OR(D661="Heart Disease",D661="Cancer",D661="Stroke"),"High",IF(OR(D661="Diabetes",D661="Asthma"),"Medium","Low"))</f>
        <v>Low</v>
      </c>
      <c r="AD661" t="str">
        <f t="shared" si="76"/>
        <v>No</v>
      </c>
      <c r="AE661" t="str">
        <f>IF(G661&lt;=2,"Short Stay", IF(G661&lt;=7,"Normal Stay", "Long Stay"))</f>
        <v>Long Stay</v>
      </c>
      <c r="AF661" t="str">
        <f>IF(F661&gt;60000,"Expensive",IF(F661&gt;30000,"Moderate","Affordable"))</f>
        <v>Affordable</v>
      </c>
      <c r="AG661" t="str">
        <f>IF(J661&gt;=4.5,"Excellent",IF(J661&gt;=3.5,"Good",IF(J661&gt;=2.5,"Average","Poor")))</f>
        <v>Good</v>
      </c>
      <c r="AH661" t="str">
        <f>IF(OR(TEXT(N661,"dddd")="Saturday",TEXT(N661,"dddd")="Sunday"),"Weekend","Weekday")</f>
        <v>Weekday</v>
      </c>
    </row>
    <row r="662" spans="1:34" x14ac:dyDescent="0.3">
      <c r="A662">
        <v>672</v>
      </c>
      <c r="B662">
        <v>58</v>
      </c>
      <c r="C662" t="s">
        <v>35</v>
      </c>
      <c r="D662" t="s">
        <v>99</v>
      </c>
      <c r="E662" t="s">
        <v>100</v>
      </c>
      <c r="F662">
        <v>20000</v>
      </c>
      <c r="G662">
        <v>53</v>
      </c>
      <c r="H662" t="s">
        <v>24</v>
      </c>
      <c r="I662" t="s">
        <v>25</v>
      </c>
      <c r="J662">
        <v>3</v>
      </c>
      <c r="K662" t="s">
        <v>101</v>
      </c>
      <c r="L662" t="s">
        <v>1447</v>
      </c>
      <c r="M662" t="s">
        <v>1448</v>
      </c>
      <c r="N662" s="2">
        <v>46318</v>
      </c>
      <c r="O662" s="2">
        <v>46371</v>
      </c>
      <c r="P662" t="s">
        <v>43</v>
      </c>
      <c r="Q662" t="s">
        <v>139</v>
      </c>
      <c r="R662" t="s">
        <v>45</v>
      </c>
      <c r="S662" t="s">
        <v>32</v>
      </c>
      <c r="T662" t="s">
        <v>33</v>
      </c>
      <c r="U662" t="s">
        <v>34</v>
      </c>
      <c r="V662" t="str">
        <f>IF(B662&lt;=18,"Children",IF(B662&lt;=35,"Young adult",IF(B662&lt;=60,"Adult", "Senior Citizen")))</f>
        <v>Adult</v>
      </c>
      <c r="W662" t="str">
        <f t="shared" si="70"/>
        <v>Oct</v>
      </c>
      <c r="X662">
        <f t="shared" si="71"/>
        <v>10</v>
      </c>
      <c r="Y662" t="str">
        <f t="shared" si="72"/>
        <v>Q4</v>
      </c>
      <c r="Z662">
        <f t="shared" si="73"/>
        <v>2026</v>
      </c>
      <c r="AA662" t="str">
        <f t="shared" si="74"/>
        <v>Friday</v>
      </c>
      <c r="AB662">
        <f t="shared" si="75"/>
        <v>-53</v>
      </c>
      <c r="AC662" t="str">
        <f>IF(OR(D662="Heart Disease",D662="Cancer",D662="Stroke"),"High",IF(OR(D662="Diabetes",D662="Asthma"),"Medium","Low"))</f>
        <v>Low</v>
      </c>
      <c r="AD662" t="str">
        <f t="shared" si="76"/>
        <v>No</v>
      </c>
      <c r="AE662" t="str">
        <f>IF(G662&lt;=2,"Short Stay", IF(G662&lt;=7,"Normal Stay", "Long Stay"))</f>
        <v>Long Stay</v>
      </c>
      <c r="AF662" t="str">
        <f>IF(F662&gt;60000,"Expensive",IF(F662&gt;30000,"Moderate","Affordable"))</f>
        <v>Affordable</v>
      </c>
      <c r="AG662" t="str">
        <f>IF(J662&gt;=4.5,"Excellent",IF(J662&gt;=3.5,"Good",IF(J662&gt;=2.5,"Average","Poor")))</f>
        <v>Average</v>
      </c>
      <c r="AH662" t="str">
        <f>IF(OR(TEXT(N662,"dddd")="Saturday",TEXT(N662,"dddd")="Sunday"),"Weekend","Weekday")</f>
        <v>Weekday</v>
      </c>
    </row>
    <row r="663" spans="1:34" x14ac:dyDescent="0.3">
      <c r="A663">
        <v>673</v>
      </c>
      <c r="B663">
        <v>32</v>
      </c>
      <c r="C663" t="s">
        <v>21</v>
      </c>
      <c r="D663" t="s">
        <v>105</v>
      </c>
      <c r="E663" t="s">
        <v>106</v>
      </c>
      <c r="F663">
        <v>12000</v>
      </c>
      <c r="G663">
        <v>47</v>
      </c>
      <c r="H663" t="s">
        <v>24</v>
      </c>
      <c r="I663" t="s">
        <v>25</v>
      </c>
      <c r="J663">
        <v>4</v>
      </c>
      <c r="K663" t="s">
        <v>245</v>
      </c>
      <c r="L663" t="s">
        <v>1449</v>
      </c>
      <c r="M663" t="s">
        <v>1450</v>
      </c>
      <c r="N663" s="2">
        <v>46319</v>
      </c>
      <c r="O663" s="2">
        <v>46366</v>
      </c>
      <c r="P663" t="s">
        <v>29</v>
      </c>
      <c r="Q663" t="s">
        <v>30</v>
      </c>
      <c r="R663" t="s">
        <v>45</v>
      </c>
      <c r="S663" t="s">
        <v>84</v>
      </c>
      <c r="T663" t="s">
        <v>33</v>
      </c>
      <c r="U663" t="s">
        <v>46</v>
      </c>
      <c r="V663" t="str">
        <f>IF(B663&lt;=18,"Children",IF(B663&lt;=35,"Young adult",IF(B663&lt;=60,"Adult", "Senior Citizen")))</f>
        <v>Young adult</v>
      </c>
      <c r="W663" t="str">
        <f t="shared" si="70"/>
        <v>Oct</v>
      </c>
      <c r="X663">
        <f t="shared" si="71"/>
        <v>10</v>
      </c>
      <c r="Y663" t="str">
        <f t="shared" si="72"/>
        <v>Q4</v>
      </c>
      <c r="Z663">
        <f t="shared" si="73"/>
        <v>2026</v>
      </c>
      <c r="AA663" t="str">
        <f t="shared" si="74"/>
        <v>Saturday</v>
      </c>
      <c r="AB663">
        <f t="shared" si="75"/>
        <v>-47</v>
      </c>
      <c r="AC663" t="str">
        <f>IF(OR(D663="Heart Disease",D663="Cancer",D663="Stroke"),"High",IF(OR(D663="Diabetes",D663="Asthma"),"Medium","Low"))</f>
        <v>Low</v>
      </c>
      <c r="AD663" t="str">
        <f t="shared" si="76"/>
        <v>No</v>
      </c>
      <c r="AE663" t="str">
        <f>IF(G663&lt;=2,"Short Stay", IF(G663&lt;=7,"Normal Stay", "Long Stay"))</f>
        <v>Long Stay</v>
      </c>
      <c r="AF663" t="str">
        <f>IF(F663&gt;60000,"Expensive",IF(F663&gt;30000,"Moderate","Affordable"))</f>
        <v>Affordable</v>
      </c>
      <c r="AG663" t="str">
        <f>IF(J663&gt;=4.5,"Excellent",IF(J663&gt;=3.5,"Good",IF(J663&gt;=2.5,"Average","Poor")))</f>
        <v>Good</v>
      </c>
      <c r="AH663" t="str">
        <f>IF(OR(TEXT(N663,"dddd")="Saturday",TEXT(N663,"dddd")="Sunday"),"Weekend","Weekday")</f>
        <v>Weekend</v>
      </c>
    </row>
    <row r="664" spans="1:34" x14ac:dyDescent="0.3">
      <c r="A664">
        <v>674</v>
      </c>
      <c r="B664">
        <v>55</v>
      </c>
      <c r="C664" t="s">
        <v>35</v>
      </c>
      <c r="D664" t="s">
        <v>111</v>
      </c>
      <c r="E664" t="s">
        <v>112</v>
      </c>
      <c r="F664">
        <v>6000</v>
      </c>
      <c r="G664">
        <v>48</v>
      </c>
      <c r="H664" t="s">
        <v>24</v>
      </c>
      <c r="I664" t="s">
        <v>25</v>
      </c>
      <c r="J664">
        <v>3</v>
      </c>
      <c r="K664" t="s">
        <v>169</v>
      </c>
      <c r="L664" t="s">
        <v>1451</v>
      </c>
      <c r="M664" t="s">
        <v>1452</v>
      </c>
      <c r="N664" s="2">
        <v>46320</v>
      </c>
      <c r="O664" s="2">
        <v>46368</v>
      </c>
      <c r="P664" t="s">
        <v>43</v>
      </c>
      <c r="Q664" t="s">
        <v>44</v>
      </c>
      <c r="R664" t="s">
        <v>45</v>
      </c>
      <c r="S664" t="s">
        <v>72</v>
      </c>
      <c r="T664" t="s">
        <v>33</v>
      </c>
      <c r="U664" t="s">
        <v>104</v>
      </c>
      <c r="V664" t="str">
        <f>IF(B664&lt;=18,"Children",IF(B664&lt;=35,"Young adult",IF(B664&lt;=60,"Adult", "Senior Citizen")))</f>
        <v>Adult</v>
      </c>
      <c r="W664" t="str">
        <f t="shared" si="70"/>
        <v>Oct</v>
      </c>
      <c r="X664">
        <f t="shared" si="71"/>
        <v>10</v>
      </c>
      <c r="Y664" t="str">
        <f t="shared" si="72"/>
        <v>Q4</v>
      </c>
      <c r="Z664">
        <f t="shared" si="73"/>
        <v>2026</v>
      </c>
      <c r="AA664" t="str">
        <f t="shared" si="74"/>
        <v>Sunday</v>
      </c>
      <c r="AB664">
        <f t="shared" si="75"/>
        <v>-48</v>
      </c>
      <c r="AC664" t="str">
        <f>IF(OR(D664="Heart Disease",D664="Cancer",D664="Stroke"),"High",IF(OR(D664="Diabetes",D664="Asthma"),"Medium","Low"))</f>
        <v>Low</v>
      </c>
      <c r="AD664" t="str">
        <f t="shared" si="76"/>
        <v>No</v>
      </c>
      <c r="AE664" t="str">
        <f>IF(G664&lt;=2,"Short Stay", IF(G664&lt;=7,"Normal Stay", "Long Stay"))</f>
        <v>Long Stay</v>
      </c>
      <c r="AF664" t="str">
        <f>IF(F664&gt;60000,"Expensive",IF(F664&gt;30000,"Moderate","Affordable"))</f>
        <v>Affordable</v>
      </c>
      <c r="AG664" t="str">
        <f>IF(J664&gt;=4.5,"Excellent",IF(J664&gt;=3.5,"Good",IF(J664&gt;=2.5,"Average","Poor")))</f>
        <v>Average</v>
      </c>
      <c r="AH664" t="str">
        <f>IF(OR(TEXT(N664,"dddd")="Saturday",TEXT(N664,"dddd")="Sunday"),"Weekend","Weekday")</f>
        <v>Weekend</v>
      </c>
    </row>
    <row r="665" spans="1:34" x14ac:dyDescent="0.3">
      <c r="A665">
        <v>675</v>
      </c>
      <c r="B665">
        <v>65</v>
      </c>
      <c r="C665" t="s">
        <v>21</v>
      </c>
      <c r="D665" t="s">
        <v>116</v>
      </c>
      <c r="E665" t="s">
        <v>117</v>
      </c>
      <c r="F665">
        <v>4000</v>
      </c>
      <c r="G665">
        <v>49</v>
      </c>
      <c r="H665" t="s">
        <v>24</v>
      </c>
      <c r="I665" t="s">
        <v>39</v>
      </c>
      <c r="J665">
        <v>4</v>
      </c>
      <c r="K665" t="s">
        <v>157</v>
      </c>
      <c r="L665" t="s">
        <v>1453</v>
      </c>
      <c r="M665" t="s">
        <v>1454</v>
      </c>
      <c r="N665" s="2">
        <v>46321</v>
      </c>
      <c r="O665" s="2">
        <v>46370</v>
      </c>
      <c r="P665" t="s">
        <v>43</v>
      </c>
      <c r="Q665" t="s">
        <v>44</v>
      </c>
      <c r="R665" t="s">
        <v>45</v>
      </c>
      <c r="S665" t="s">
        <v>72</v>
      </c>
      <c r="T665" t="s">
        <v>33</v>
      </c>
      <c r="U665" t="s">
        <v>78</v>
      </c>
      <c r="V665" t="str">
        <f>IF(B665&lt;=18,"Children",IF(B665&lt;=35,"Young adult",IF(B665&lt;=60,"Adult", "Senior Citizen")))</f>
        <v>Senior Citizen</v>
      </c>
      <c r="W665" t="str">
        <f t="shared" si="70"/>
        <v>Oct</v>
      </c>
      <c r="X665">
        <f t="shared" si="71"/>
        <v>10</v>
      </c>
      <c r="Y665" t="str">
        <f t="shared" si="72"/>
        <v>Q4</v>
      </c>
      <c r="Z665">
        <f t="shared" si="73"/>
        <v>2026</v>
      </c>
      <c r="AA665" t="str">
        <f t="shared" si="74"/>
        <v>Monday</v>
      </c>
      <c r="AB665">
        <f t="shared" si="75"/>
        <v>-49</v>
      </c>
      <c r="AC665" t="str">
        <f>IF(OR(D665="Heart Disease",D665="Cancer",D665="Stroke"),"High",IF(OR(D665="Diabetes",D665="Asthma"),"Medium","Low"))</f>
        <v>Low</v>
      </c>
      <c r="AD665" t="str">
        <f t="shared" si="76"/>
        <v>No</v>
      </c>
      <c r="AE665" t="str">
        <f>IF(G665&lt;=2,"Short Stay", IF(G665&lt;=7,"Normal Stay", "Long Stay"))</f>
        <v>Long Stay</v>
      </c>
      <c r="AF665" t="str">
        <f>IF(F665&gt;60000,"Expensive",IF(F665&gt;30000,"Moderate","Affordable"))</f>
        <v>Affordable</v>
      </c>
      <c r="AG665" t="str">
        <f>IF(J665&gt;=4.5,"Excellent",IF(J665&gt;=3.5,"Good",IF(J665&gt;=2.5,"Average","Poor")))</f>
        <v>Good</v>
      </c>
      <c r="AH665" t="str">
        <f>IF(OR(TEXT(N665,"dddd")="Saturday",TEXT(N665,"dddd")="Sunday"),"Weekend","Weekday")</f>
        <v>Weekday</v>
      </c>
    </row>
    <row r="666" spans="1:34" x14ac:dyDescent="0.3">
      <c r="A666">
        <v>676</v>
      </c>
      <c r="B666">
        <v>55</v>
      </c>
      <c r="C666" t="s">
        <v>21</v>
      </c>
      <c r="D666" t="s">
        <v>22</v>
      </c>
      <c r="E666" t="s">
        <v>23</v>
      </c>
      <c r="F666">
        <v>15000</v>
      </c>
      <c r="G666">
        <v>50</v>
      </c>
      <c r="H666" t="s">
        <v>38</v>
      </c>
      <c r="I666" t="s">
        <v>25</v>
      </c>
      <c r="J666">
        <v>3</v>
      </c>
      <c r="K666" t="s">
        <v>329</v>
      </c>
      <c r="L666" t="s">
        <v>1455</v>
      </c>
      <c r="M666" t="s">
        <v>1456</v>
      </c>
      <c r="N666" s="2">
        <v>46322</v>
      </c>
      <c r="O666" s="2">
        <v>46372</v>
      </c>
      <c r="P666" t="s">
        <v>43</v>
      </c>
      <c r="Q666" t="s">
        <v>139</v>
      </c>
      <c r="R666" t="s">
        <v>31</v>
      </c>
      <c r="S666" t="s">
        <v>72</v>
      </c>
      <c r="T666" t="s">
        <v>33</v>
      </c>
      <c r="U666" t="s">
        <v>34</v>
      </c>
      <c r="V666" t="str">
        <f>IF(B666&lt;=18,"Children",IF(B666&lt;=35,"Young adult",IF(B666&lt;=60,"Adult", "Senior Citizen")))</f>
        <v>Adult</v>
      </c>
      <c r="W666" t="str">
        <f t="shared" si="70"/>
        <v>Oct</v>
      </c>
      <c r="X666">
        <f t="shared" si="71"/>
        <v>10</v>
      </c>
      <c r="Y666" t="str">
        <f t="shared" si="72"/>
        <v>Q4</v>
      </c>
      <c r="Z666">
        <f t="shared" si="73"/>
        <v>2026</v>
      </c>
      <c r="AA666" t="str">
        <f t="shared" si="74"/>
        <v>Tuesday</v>
      </c>
      <c r="AB666">
        <f t="shared" si="75"/>
        <v>-50</v>
      </c>
      <c r="AC666" t="str">
        <f>IF(OR(D666="Heart Disease",D666="Cancer",D666="Stroke"),"High",IF(OR(D666="Diabetes",D666="Asthma"),"Medium","Low"))</f>
        <v>High</v>
      </c>
      <c r="AD666" t="str">
        <f t="shared" si="76"/>
        <v>Yes</v>
      </c>
      <c r="AE666" t="str">
        <f>IF(G666&lt;=2,"Short Stay", IF(G666&lt;=7,"Normal Stay", "Long Stay"))</f>
        <v>Long Stay</v>
      </c>
      <c r="AF666" t="str">
        <f>IF(F666&gt;60000,"Expensive",IF(F666&gt;30000,"Moderate","Affordable"))</f>
        <v>Affordable</v>
      </c>
      <c r="AG666" t="str">
        <f>IF(J666&gt;=4.5,"Excellent",IF(J666&gt;=3.5,"Good",IF(J666&gt;=2.5,"Average","Poor")))</f>
        <v>Average</v>
      </c>
      <c r="AH666" t="str">
        <f>IF(OR(TEXT(N666,"dddd")="Saturday",TEXT(N666,"dddd")="Sunday"),"Weekend","Weekday")</f>
        <v>Weekday</v>
      </c>
    </row>
    <row r="667" spans="1:34" x14ac:dyDescent="0.3">
      <c r="A667">
        <v>677</v>
      </c>
      <c r="B667">
        <v>62</v>
      </c>
      <c r="C667" t="s">
        <v>35</v>
      </c>
      <c r="D667" t="s">
        <v>36</v>
      </c>
      <c r="E667" t="s">
        <v>37</v>
      </c>
      <c r="F667">
        <v>2000</v>
      </c>
      <c r="G667">
        <v>48</v>
      </c>
      <c r="H667" t="s">
        <v>24</v>
      </c>
      <c r="I667" t="s">
        <v>39</v>
      </c>
      <c r="J667">
        <v>4</v>
      </c>
      <c r="K667" t="s">
        <v>172</v>
      </c>
      <c r="L667" t="s">
        <v>1457</v>
      </c>
      <c r="M667" t="s">
        <v>1458</v>
      </c>
      <c r="N667" s="2">
        <v>46323</v>
      </c>
      <c r="O667" s="2">
        <v>46371</v>
      </c>
      <c r="P667" t="s">
        <v>43</v>
      </c>
      <c r="Q667" t="s">
        <v>44</v>
      </c>
      <c r="R667" t="s">
        <v>45</v>
      </c>
      <c r="S667" t="s">
        <v>72</v>
      </c>
      <c r="T667" t="s">
        <v>33</v>
      </c>
      <c r="U667" t="s">
        <v>46</v>
      </c>
      <c r="V667" t="str">
        <f>IF(B667&lt;=18,"Children",IF(B667&lt;=35,"Young adult",IF(B667&lt;=60,"Adult", "Senior Citizen")))</f>
        <v>Senior Citizen</v>
      </c>
      <c r="W667" t="str">
        <f t="shared" si="70"/>
        <v>Oct</v>
      </c>
      <c r="X667">
        <f t="shared" si="71"/>
        <v>10</v>
      </c>
      <c r="Y667" t="str">
        <f t="shared" si="72"/>
        <v>Q4</v>
      </c>
      <c r="Z667">
        <f t="shared" si="73"/>
        <v>2026</v>
      </c>
      <c r="AA667" t="str">
        <f t="shared" si="74"/>
        <v>Wednesday</v>
      </c>
      <c r="AB667">
        <f t="shared" si="75"/>
        <v>-48</v>
      </c>
      <c r="AC667" t="str">
        <f>IF(OR(D667="Heart Disease",D667="Cancer",D667="Stroke"),"High",IF(OR(D667="Diabetes",D667="Asthma"),"Medium","Low"))</f>
        <v>Medium</v>
      </c>
      <c r="AD667" t="str">
        <f t="shared" si="76"/>
        <v>No</v>
      </c>
      <c r="AE667" t="str">
        <f>IF(G667&lt;=2,"Short Stay", IF(G667&lt;=7,"Normal Stay", "Long Stay"))</f>
        <v>Long Stay</v>
      </c>
      <c r="AF667" t="str">
        <f>IF(F667&gt;60000,"Expensive",IF(F667&gt;30000,"Moderate","Affordable"))</f>
        <v>Affordable</v>
      </c>
      <c r="AG667" t="str">
        <f>IF(J667&gt;=4.5,"Excellent",IF(J667&gt;=3.5,"Good",IF(J667&gt;=2.5,"Average","Poor")))</f>
        <v>Good</v>
      </c>
      <c r="AH667" t="str">
        <f>IF(OR(TEXT(N667,"dddd")="Saturday",TEXT(N667,"dddd")="Sunday"),"Weekend","Weekday")</f>
        <v>Weekday</v>
      </c>
    </row>
    <row r="668" spans="1:34" x14ac:dyDescent="0.3">
      <c r="A668">
        <v>678</v>
      </c>
      <c r="B668">
        <v>35</v>
      </c>
      <c r="C668" t="s">
        <v>21</v>
      </c>
      <c r="D668" t="s">
        <v>47</v>
      </c>
      <c r="E668" t="s">
        <v>48</v>
      </c>
      <c r="F668">
        <v>500</v>
      </c>
      <c r="G668">
        <v>46</v>
      </c>
      <c r="H668" t="s">
        <v>38</v>
      </c>
      <c r="I668" t="s">
        <v>25</v>
      </c>
      <c r="J668">
        <v>5</v>
      </c>
      <c r="K668" t="s">
        <v>218</v>
      </c>
      <c r="L668" t="s">
        <v>1459</v>
      </c>
      <c r="M668" t="s">
        <v>1460</v>
      </c>
      <c r="N668" s="2">
        <v>46324</v>
      </c>
      <c r="O668" s="2">
        <v>46370</v>
      </c>
      <c r="P668" t="s">
        <v>43</v>
      </c>
      <c r="Q668" t="s">
        <v>71</v>
      </c>
      <c r="R668" t="s">
        <v>45</v>
      </c>
      <c r="S668" t="s">
        <v>72</v>
      </c>
      <c r="T668" t="s">
        <v>33</v>
      </c>
      <c r="U668" t="s">
        <v>78</v>
      </c>
      <c r="V668" t="str">
        <f>IF(B668&lt;=18,"Children",IF(B668&lt;=35,"Young adult",IF(B668&lt;=60,"Adult", "Senior Citizen")))</f>
        <v>Young adult</v>
      </c>
      <c r="W668" t="str">
        <f t="shared" si="70"/>
        <v>Oct</v>
      </c>
      <c r="X668">
        <f t="shared" si="71"/>
        <v>10</v>
      </c>
      <c r="Y668" t="str">
        <f t="shared" si="72"/>
        <v>Q4</v>
      </c>
      <c r="Z668">
        <f t="shared" si="73"/>
        <v>2026</v>
      </c>
      <c r="AA668" t="str">
        <f t="shared" si="74"/>
        <v>Thursday</v>
      </c>
      <c r="AB668">
        <f t="shared" si="75"/>
        <v>-46</v>
      </c>
      <c r="AC668" t="str">
        <f>IF(OR(D668="Heart Disease",D668="Cancer",D668="Stroke"),"High",IF(OR(D668="Diabetes",D668="Asthma"),"Medium","Low"))</f>
        <v>Low</v>
      </c>
      <c r="AD668" t="str">
        <f t="shared" si="76"/>
        <v>No</v>
      </c>
      <c r="AE668" t="str">
        <f>IF(G668&lt;=2,"Short Stay", IF(G668&lt;=7,"Normal Stay", "Long Stay"))</f>
        <v>Long Stay</v>
      </c>
      <c r="AF668" t="str">
        <f>IF(F668&gt;60000,"Expensive",IF(F668&gt;30000,"Moderate","Affordable"))</f>
        <v>Affordable</v>
      </c>
      <c r="AG668" t="str">
        <f>IF(J668&gt;=4.5,"Excellent",IF(J668&gt;=3.5,"Good",IF(J668&gt;=2.5,"Average","Poor")))</f>
        <v>Excellent</v>
      </c>
      <c r="AH668" t="str">
        <f>IF(OR(TEXT(N668,"dddd")="Saturday",TEXT(N668,"dddd")="Sunday"),"Weekend","Weekday")</f>
        <v>Weekday</v>
      </c>
    </row>
    <row r="669" spans="1:34" x14ac:dyDescent="0.3">
      <c r="A669">
        <v>679</v>
      </c>
      <c r="B669">
        <v>78</v>
      </c>
      <c r="C669" t="s">
        <v>35</v>
      </c>
      <c r="D669" t="s">
        <v>54</v>
      </c>
      <c r="E669" t="s">
        <v>55</v>
      </c>
      <c r="F669">
        <v>10000</v>
      </c>
      <c r="G669">
        <v>53</v>
      </c>
      <c r="H669" t="s">
        <v>24</v>
      </c>
      <c r="I669" t="s">
        <v>39</v>
      </c>
      <c r="J669">
        <v>2</v>
      </c>
      <c r="K669" t="s">
        <v>345</v>
      </c>
      <c r="L669" t="s">
        <v>1461</v>
      </c>
      <c r="M669" t="s">
        <v>1462</v>
      </c>
      <c r="N669" s="2">
        <v>46325</v>
      </c>
      <c r="O669" s="2">
        <v>46378</v>
      </c>
      <c r="P669" t="s">
        <v>43</v>
      </c>
      <c r="Q669" t="s">
        <v>71</v>
      </c>
      <c r="R669" t="s">
        <v>59</v>
      </c>
      <c r="S669" t="s">
        <v>84</v>
      </c>
      <c r="T669" t="s">
        <v>33</v>
      </c>
      <c r="U669" t="s">
        <v>78</v>
      </c>
      <c r="V669" t="str">
        <f>IF(B669&lt;=18,"Children",IF(B669&lt;=35,"Young adult",IF(B669&lt;=60,"Adult", "Senior Citizen")))</f>
        <v>Senior Citizen</v>
      </c>
      <c r="W669" t="str">
        <f t="shared" si="70"/>
        <v>Oct</v>
      </c>
      <c r="X669">
        <f t="shared" si="71"/>
        <v>10</v>
      </c>
      <c r="Y669" t="str">
        <f t="shared" si="72"/>
        <v>Q4</v>
      </c>
      <c r="Z669">
        <f t="shared" si="73"/>
        <v>2026</v>
      </c>
      <c r="AA669" t="str">
        <f t="shared" si="74"/>
        <v>Friday</v>
      </c>
      <c r="AB669">
        <f t="shared" si="75"/>
        <v>-53</v>
      </c>
      <c r="AC669" t="str">
        <f>IF(OR(D669="Heart Disease",D669="Cancer",D669="Stroke"),"High",IF(OR(D669="Diabetes",D669="Asthma"),"Medium","Low"))</f>
        <v>High</v>
      </c>
      <c r="AD669" t="str">
        <f t="shared" si="76"/>
        <v>Yes</v>
      </c>
      <c r="AE669" t="str">
        <f>IF(G669&lt;=2,"Short Stay", IF(G669&lt;=7,"Normal Stay", "Long Stay"))</f>
        <v>Long Stay</v>
      </c>
      <c r="AF669" t="str">
        <f>IF(F669&gt;60000,"Expensive",IF(F669&gt;30000,"Moderate","Affordable"))</f>
        <v>Affordable</v>
      </c>
      <c r="AG669" t="str">
        <f>IF(J669&gt;=4.5,"Excellent",IF(J669&gt;=3.5,"Good",IF(J669&gt;=2.5,"Average","Poor")))</f>
        <v>Poor</v>
      </c>
      <c r="AH669" t="str">
        <f>IF(OR(TEXT(N669,"dddd")="Saturday",TEXT(N669,"dddd")="Sunday"),"Weekend","Weekday")</f>
        <v>Weekday</v>
      </c>
    </row>
    <row r="670" spans="1:34" x14ac:dyDescent="0.3">
      <c r="A670">
        <v>680</v>
      </c>
      <c r="B670">
        <v>53</v>
      </c>
      <c r="C670" t="s">
        <v>21</v>
      </c>
      <c r="D670" t="s">
        <v>60</v>
      </c>
      <c r="E670" t="s">
        <v>61</v>
      </c>
      <c r="F670">
        <v>25000</v>
      </c>
      <c r="G670">
        <v>55</v>
      </c>
      <c r="H670" t="s">
        <v>38</v>
      </c>
      <c r="I670" t="s">
        <v>25</v>
      </c>
      <c r="J670">
        <v>4</v>
      </c>
      <c r="K670" t="s">
        <v>175</v>
      </c>
      <c r="L670" t="s">
        <v>1463</v>
      </c>
      <c r="M670" t="s">
        <v>1464</v>
      </c>
      <c r="N670" s="2">
        <v>46326</v>
      </c>
      <c r="O670" s="2">
        <v>46381</v>
      </c>
      <c r="P670" t="s">
        <v>29</v>
      </c>
      <c r="Q670" t="s">
        <v>44</v>
      </c>
      <c r="R670" t="s">
        <v>65</v>
      </c>
      <c r="S670" t="s">
        <v>72</v>
      </c>
      <c r="T670" t="s">
        <v>33</v>
      </c>
      <c r="U670" t="s">
        <v>104</v>
      </c>
      <c r="V670" t="str">
        <f>IF(B670&lt;=18,"Children",IF(B670&lt;=35,"Young adult",IF(B670&lt;=60,"Adult", "Senior Citizen")))</f>
        <v>Adult</v>
      </c>
      <c r="W670" t="str">
        <f t="shared" si="70"/>
        <v>Oct</v>
      </c>
      <c r="X670">
        <f t="shared" si="71"/>
        <v>10</v>
      </c>
      <c r="Y670" t="str">
        <f t="shared" si="72"/>
        <v>Q4</v>
      </c>
      <c r="Z670">
        <f t="shared" si="73"/>
        <v>2026</v>
      </c>
      <c r="AA670" t="str">
        <f t="shared" si="74"/>
        <v>Saturday</v>
      </c>
      <c r="AB670">
        <f t="shared" si="75"/>
        <v>-55</v>
      </c>
      <c r="AC670" t="str">
        <f>IF(OR(D670="Heart Disease",D670="Cancer",D670="Stroke"),"High",IF(OR(D670="Diabetes",D670="Asthma"),"Medium","Low"))</f>
        <v>High</v>
      </c>
      <c r="AD670" t="str">
        <f t="shared" si="76"/>
        <v>Yes</v>
      </c>
      <c r="AE670" t="str">
        <f>IF(G670&lt;=2,"Short Stay", IF(G670&lt;=7,"Normal Stay", "Long Stay"))</f>
        <v>Long Stay</v>
      </c>
      <c r="AF670" t="str">
        <f>IF(F670&gt;60000,"Expensive",IF(F670&gt;30000,"Moderate","Affordable"))</f>
        <v>Affordable</v>
      </c>
      <c r="AG670" t="str">
        <f>IF(J670&gt;=4.5,"Excellent",IF(J670&gt;=3.5,"Good",IF(J670&gt;=2.5,"Average","Poor")))</f>
        <v>Good</v>
      </c>
      <c r="AH670" t="str">
        <f>IF(OR(TEXT(N670,"dddd")="Saturday",TEXT(N670,"dddd")="Sunday"),"Weekend","Weekday")</f>
        <v>Weekend</v>
      </c>
    </row>
    <row r="671" spans="1:34" x14ac:dyDescent="0.3">
      <c r="A671">
        <v>681</v>
      </c>
      <c r="B671">
        <v>72</v>
      </c>
      <c r="C671" t="s">
        <v>35</v>
      </c>
      <c r="D671" t="s">
        <v>66</v>
      </c>
      <c r="E671" t="s">
        <v>67</v>
      </c>
      <c r="F671">
        <v>1000</v>
      </c>
      <c r="G671">
        <v>49</v>
      </c>
      <c r="H671" t="s">
        <v>24</v>
      </c>
      <c r="I671" t="s">
        <v>39</v>
      </c>
      <c r="J671">
        <v>4</v>
      </c>
      <c r="K671" t="s">
        <v>218</v>
      </c>
      <c r="L671" t="s">
        <v>1465</v>
      </c>
      <c r="M671" t="s">
        <v>1466</v>
      </c>
      <c r="N671" s="2">
        <v>46327</v>
      </c>
      <c r="O671" s="2">
        <v>46376</v>
      </c>
      <c r="P671" t="s">
        <v>29</v>
      </c>
      <c r="Q671" t="s">
        <v>30</v>
      </c>
      <c r="R671" t="s">
        <v>45</v>
      </c>
      <c r="S671" t="s">
        <v>32</v>
      </c>
      <c r="T671" t="s">
        <v>33</v>
      </c>
      <c r="U671" t="s">
        <v>104</v>
      </c>
      <c r="V671" t="str">
        <f>IF(B671&lt;=18,"Children",IF(B671&lt;=35,"Young adult",IF(B671&lt;=60,"Adult", "Senior Citizen")))</f>
        <v>Senior Citizen</v>
      </c>
      <c r="W671" t="str">
        <f t="shared" si="70"/>
        <v>Nov</v>
      </c>
      <c r="X671">
        <f t="shared" si="71"/>
        <v>11</v>
      </c>
      <c r="Y671" t="str">
        <f t="shared" si="72"/>
        <v>Q4</v>
      </c>
      <c r="Z671">
        <f t="shared" si="73"/>
        <v>2026</v>
      </c>
      <c r="AA671" t="str">
        <f t="shared" si="74"/>
        <v>Sunday</v>
      </c>
      <c r="AB671">
        <f t="shared" si="75"/>
        <v>-49</v>
      </c>
      <c r="AC671" t="str">
        <f>IF(OR(D671="Heart Disease",D671="Cancer",D671="Stroke"),"High",IF(OR(D671="Diabetes",D671="Asthma"),"Medium","Low"))</f>
        <v>Low</v>
      </c>
      <c r="AD671" t="str">
        <f t="shared" si="76"/>
        <v>No</v>
      </c>
      <c r="AE671" t="str">
        <f>IF(G671&lt;=2,"Short Stay", IF(G671&lt;=7,"Normal Stay", "Long Stay"))</f>
        <v>Long Stay</v>
      </c>
      <c r="AF671" t="str">
        <f>IF(F671&gt;60000,"Expensive",IF(F671&gt;30000,"Moderate","Affordable"))</f>
        <v>Affordable</v>
      </c>
      <c r="AG671" t="str">
        <f>IF(J671&gt;=4.5,"Excellent",IF(J671&gt;=3.5,"Good",IF(J671&gt;=2.5,"Average","Poor")))</f>
        <v>Good</v>
      </c>
      <c r="AH671" t="str">
        <f>IF(OR(TEXT(N671,"dddd")="Saturday",TEXT(N671,"dddd")="Sunday"),"Weekend","Weekday")</f>
        <v>Weekend</v>
      </c>
    </row>
    <row r="672" spans="1:34" x14ac:dyDescent="0.3">
      <c r="A672">
        <v>682</v>
      </c>
      <c r="B672">
        <v>60</v>
      </c>
      <c r="C672" t="s">
        <v>21</v>
      </c>
      <c r="D672" t="s">
        <v>73</v>
      </c>
      <c r="E672" t="s">
        <v>74</v>
      </c>
      <c r="F672">
        <v>8000</v>
      </c>
      <c r="G672">
        <v>51</v>
      </c>
      <c r="H672" t="s">
        <v>38</v>
      </c>
      <c r="I672" t="s">
        <v>25</v>
      </c>
      <c r="J672">
        <v>3</v>
      </c>
      <c r="K672" t="s">
        <v>68</v>
      </c>
      <c r="L672" t="s">
        <v>1467</v>
      </c>
      <c r="M672" t="s">
        <v>1468</v>
      </c>
      <c r="N672" s="2">
        <v>46328</v>
      </c>
      <c r="O672" s="2">
        <v>46379</v>
      </c>
      <c r="P672" t="s">
        <v>29</v>
      </c>
      <c r="Q672" t="s">
        <v>139</v>
      </c>
      <c r="R672" t="s">
        <v>45</v>
      </c>
      <c r="S672" t="s">
        <v>53</v>
      </c>
      <c r="T672" t="s">
        <v>33</v>
      </c>
      <c r="U672" t="s">
        <v>104</v>
      </c>
      <c r="V672" t="str">
        <f>IF(B672&lt;=18,"Children",IF(B672&lt;=35,"Young adult",IF(B672&lt;=60,"Adult", "Senior Citizen")))</f>
        <v>Adult</v>
      </c>
      <c r="W672" t="str">
        <f t="shared" si="70"/>
        <v>Nov</v>
      </c>
      <c r="X672">
        <f t="shared" si="71"/>
        <v>11</v>
      </c>
      <c r="Y672" t="str">
        <f t="shared" si="72"/>
        <v>Q4</v>
      </c>
      <c r="Z672">
        <f t="shared" si="73"/>
        <v>2026</v>
      </c>
      <c r="AA672" t="str">
        <f t="shared" si="74"/>
        <v>Monday</v>
      </c>
      <c r="AB672">
        <f t="shared" si="75"/>
        <v>-51</v>
      </c>
      <c r="AC672" t="str">
        <f>IF(OR(D672="Heart Disease",D672="Cancer",D672="Stroke"),"High",IF(OR(D672="Diabetes",D672="Asthma"),"Medium","Low"))</f>
        <v>Low</v>
      </c>
      <c r="AD672" t="str">
        <f t="shared" si="76"/>
        <v>No</v>
      </c>
      <c r="AE672" t="str">
        <f>IF(G672&lt;=2,"Short Stay", IF(G672&lt;=7,"Normal Stay", "Long Stay"))</f>
        <v>Long Stay</v>
      </c>
      <c r="AF672" t="str">
        <f>IF(F672&gt;60000,"Expensive",IF(F672&gt;30000,"Moderate","Affordable"))</f>
        <v>Affordable</v>
      </c>
      <c r="AG672" t="str">
        <f>IF(J672&gt;=4.5,"Excellent",IF(J672&gt;=3.5,"Good",IF(J672&gt;=2.5,"Average","Poor")))</f>
        <v>Average</v>
      </c>
      <c r="AH672" t="str">
        <f>IF(OR(TEXT(N672,"dddd")="Saturday",TEXT(N672,"dddd")="Sunday"),"Weekend","Weekday")</f>
        <v>Weekday</v>
      </c>
    </row>
    <row r="673" spans="1:34" x14ac:dyDescent="0.3">
      <c r="A673">
        <v>683</v>
      </c>
      <c r="B673">
        <v>45</v>
      </c>
      <c r="C673" t="s">
        <v>35</v>
      </c>
      <c r="D673" t="s">
        <v>79</v>
      </c>
      <c r="E673" t="s">
        <v>80</v>
      </c>
      <c r="F673">
        <v>3000</v>
      </c>
      <c r="G673">
        <v>51</v>
      </c>
      <c r="H673" t="s">
        <v>24</v>
      </c>
      <c r="I673" t="s">
        <v>25</v>
      </c>
      <c r="J673">
        <v>4</v>
      </c>
      <c r="K673" t="s">
        <v>178</v>
      </c>
      <c r="L673" t="s">
        <v>1469</v>
      </c>
      <c r="M673" t="s">
        <v>1470</v>
      </c>
      <c r="N673" s="2">
        <v>46329</v>
      </c>
      <c r="O673" s="2">
        <v>46380</v>
      </c>
      <c r="P673" t="s">
        <v>43</v>
      </c>
      <c r="Q673" t="s">
        <v>44</v>
      </c>
      <c r="R673" t="s">
        <v>45</v>
      </c>
      <c r="S673" t="s">
        <v>72</v>
      </c>
      <c r="T673" t="s">
        <v>33</v>
      </c>
      <c r="U673" t="s">
        <v>78</v>
      </c>
      <c r="V673" t="str">
        <f>IF(B673&lt;=18,"Children",IF(B673&lt;=35,"Young adult",IF(B673&lt;=60,"Adult", "Senior Citizen")))</f>
        <v>Adult</v>
      </c>
      <c r="W673" t="str">
        <f t="shared" si="70"/>
        <v>Nov</v>
      </c>
      <c r="X673">
        <f t="shared" si="71"/>
        <v>11</v>
      </c>
      <c r="Y673" t="str">
        <f t="shared" si="72"/>
        <v>Q4</v>
      </c>
      <c r="Z673">
        <f t="shared" si="73"/>
        <v>2026</v>
      </c>
      <c r="AA673" t="str">
        <f t="shared" si="74"/>
        <v>Tuesday</v>
      </c>
      <c r="AB673">
        <f t="shared" si="75"/>
        <v>-51</v>
      </c>
      <c r="AC673" t="str">
        <f>IF(OR(D673="Heart Disease",D673="Cancer",D673="Stroke"),"High",IF(OR(D673="Diabetes",D673="Asthma"),"Medium","Low"))</f>
        <v>Low</v>
      </c>
      <c r="AD673" t="str">
        <f t="shared" si="76"/>
        <v>No</v>
      </c>
      <c r="AE673" t="str">
        <f>IF(G673&lt;=2,"Short Stay", IF(G673&lt;=7,"Normal Stay", "Long Stay"))</f>
        <v>Long Stay</v>
      </c>
      <c r="AF673" t="str">
        <f>IF(F673&gt;60000,"Expensive",IF(F673&gt;30000,"Moderate","Affordable"))</f>
        <v>Affordable</v>
      </c>
      <c r="AG673" t="str">
        <f>IF(J673&gt;=4.5,"Excellent",IF(J673&gt;=3.5,"Good",IF(J673&gt;=2.5,"Average","Poor")))</f>
        <v>Good</v>
      </c>
      <c r="AH673" t="str">
        <f>IF(OR(TEXT(N673,"dddd")="Saturday",TEXT(N673,"dddd")="Sunday"),"Weekend","Weekday")</f>
        <v>Weekday</v>
      </c>
    </row>
    <row r="674" spans="1:34" x14ac:dyDescent="0.3">
      <c r="A674">
        <v>684</v>
      </c>
      <c r="B674">
        <v>75</v>
      </c>
      <c r="C674" t="s">
        <v>21</v>
      </c>
      <c r="D674" t="s">
        <v>85</v>
      </c>
      <c r="E674" t="s">
        <v>86</v>
      </c>
      <c r="F674">
        <v>18000</v>
      </c>
      <c r="G674">
        <v>53</v>
      </c>
      <c r="H674" t="s">
        <v>38</v>
      </c>
      <c r="I674" t="s">
        <v>39</v>
      </c>
      <c r="J674">
        <v>2</v>
      </c>
      <c r="K674" t="s">
        <v>160</v>
      </c>
      <c r="L674" t="s">
        <v>1471</v>
      </c>
      <c r="M674" t="s">
        <v>1472</v>
      </c>
      <c r="N674" s="2">
        <v>46330</v>
      </c>
      <c r="O674" s="2">
        <v>46383</v>
      </c>
      <c r="P674" t="s">
        <v>29</v>
      </c>
      <c r="Q674" t="s">
        <v>30</v>
      </c>
      <c r="R674" t="s">
        <v>45</v>
      </c>
      <c r="S674" t="s">
        <v>110</v>
      </c>
      <c r="T674" t="s">
        <v>33</v>
      </c>
      <c r="U674" t="s">
        <v>104</v>
      </c>
      <c r="V674" t="str">
        <f>IF(B674&lt;=18,"Children",IF(B674&lt;=35,"Young adult",IF(B674&lt;=60,"Adult", "Senior Citizen")))</f>
        <v>Senior Citizen</v>
      </c>
      <c r="W674" t="str">
        <f t="shared" si="70"/>
        <v>Nov</v>
      </c>
      <c r="X674">
        <f t="shared" si="71"/>
        <v>11</v>
      </c>
      <c r="Y674" t="str">
        <f t="shared" si="72"/>
        <v>Q4</v>
      </c>
      <c r="Z674">
        <f t="shared" si="73"/>
        <v>2026</v>
      </c>
      <c r="AA674" t="str">
        <f t="shared" si="74"/>
        <v>Wednesday</v>
      </c>
      <c r="AB674">
        <f t="shared" si="75"/>
        <v>-53</v>
      </c>
      <c r="AC674" t="str">
        <f>IF(OR(D674="Heart Disease",D674="Cancer",D674="Stroke"),"High",IF(OR(D674="Diabetes",D674="Asthma"),"Medium","Low"))</f>
        <v>Low</v>
      </c>
      <c r="AD674" t="str">
        <f t="shared" si="76"/>
        <v>No</v>
      </c>
      <c r="AE674" t="str">
        <f>IF(G674&lt;=2,"Short Stay", IF(G674&lt;=7,"Normal Stay", "Long Stay"))</f>
        <v>Long Stay</v>
      </c>
      <c r="AF674" t="str">
        <f>IF(F674&gt;60000,"Expensive",IF(F674&gt;30000,"Moderate","Affordable"))</f>
        <v>Affordable</v>
      </c>
      <c r="AG674" t="str">
        <f>IF(J674&gt;=4.5,"Excellent",IF(J674&gt;=3.5,"Good",IF(J674&gt;=2.5,"Average","Poor")))</f>
        <v>Poor</v>
      </c>
      <c r="AH674" t="str">
        <f>IF(OR(TEXT(N674,"dddd")="Saturday",TEXT(N674,"dddd")="Sunday"),"Weekend","Weekday")</f>
        <v>Weekday</v>
      </c>
    </row>
    <row r="675" spans="1:34" x14ac:dyDescent="0.3">
      <c r="A675">
        <v>685</v>
      </c>
      <c r="B675">
        <v>28</v>
      </c>
      <c r="C675" t="s">
        <v>35</v>
      </c>
      <c r="D675" t="s">
        <v>89</v>
      </c>
      <c r="E675" t="s">
        <v>90</v>
      </c>
      <c r="F675">
        <v>100</v>
      </c>
      <c r="G675">
        <v>46</v>
      </c>
      <c r="H675" t="s">
        <v>24</v>
      </c>
      <c r="I675" t="s">
        <v>25</v>
      </c>
      <c r="J675">
        <v>5</v>
      </c>
      <c r="K675" t="s">
        <v>154</v>
      </c>
      <c r="L675" t="s">
        <v>1473</v>
      </c>
      <c r="M675" t="s">
        <v>1474</v>
      </c>
      <c r="N675" s="2">
        <v>46331</v>
      </c>
      <c r="O675" s="2">
        <v>46377</v>
      </c>
      <c r="P675" t="s">
        <v>43</v>
      </c>
      <c r="Q675" t="s">
        <v>71</v>
      </c>
      <c r="R675" t="s">
        <v>45</v>
      </c>
      <c r="S675" t="s">
        <v>84</v>
      </c>
      <c r="T675" t="s">
        <v>33</v>
      </c>
      <c r="U675" t="s">
        <v>46</v>
      </c>
      <c r="V675" t="str">
        <f>IF(B675&lt;=18,"Children",IF(B675&lt;=35,"Young adult",IF(B675&lt;=60,"Adult", "Senior Citizen")))</f>
        <v>Young adult</v>
      </c>
      <c r="W675" t="str">
        <f t="shared" si="70"/>
        <v>Nov</v>
      </c>
      <c r="X675">
        <f t="shared" si="71"/>
        <v>11</v>
      </c>
      <c r="Y675" t="str">
        <f t="shared" si="72"/>
        <v>Q4</v>
      </c>
      <c r="Z675">
        <f t="shared" si="73"/>
        <v>2026</v>
      </c>
      <c r="AA675" t="str">
        <f t="shared" si="74"/>
        <v>Thursday</v>
      </c>
      <c r="AB675">
        <f t="shared" si="75"/>
        <v>-46</v>
      </c>
      <c r="AC675" t="str">
        <f>IF(OR(D675="Heart Disease",D675="Cancer",D675="Stroke"),"High",IF(OR(D675="Diabetes",D675="Asthma"),"Medium","Low"))</f>
        <v>Low</v>
      </c>
      <c r="AD675" t="str">
        <f t="shared" si="76"/>
        <v>No</v>
      </c>
      <c r="AE675" t="str">
        <f>IF(G675&lt;=2,"Short Stay", IF(G675&lt;=7,"Normal Stay", "Long Stay"))</f>
        <v>Long Stay</v>
      </c>
      <c r="AF675" t="str">
        <f>IF(F675&gt;60000,"Expensive",IF(F675&gt;30000,"Moderate","Affordable"))</f>
        <v>Affordable</v>
      </c>
      <c r="AG675" t="str">
        <f>IF(J675&gt;=4.5,"Excellent",IF(J675&gt;=3.5,"Good",IF(J675&gt;=2.5,"Average","Poor")))</f>
        <v>Excellent</v>
      </c>
      <c r="AH675" t="str">
        <f>IF(OR(TEXT(N675,"dddd")="Saturday",TEXT(N675,"dddd")="Sunday"),"Weekend","Weekday")</f>
        <v>Weekday</v>
      </c>
    </row>
    <row r="676" spans="1:34" x14ac:dyDescent="0.3">
      <c r="A676">
        <v>686</v>
      </c>
      <c r="B676">
        <v>52</v>
      </c>
      <c r="C676" t="s">
        <v>21</v>
      </c>
      <c r="D676" t="s">
        <v>94</v>
      </c>
      <c r="E676" t="s">
        <v>95</v>
      </c>
      <c r="F676">
        <v>800</v>
      </c>
      <c r="G676">
        <v>47</v>
      </c>
      <c r="H676" t="s">
        <v>24</v>
      </c>
      <c r="I676" t="s">
        <v>39</v>
      </c>
      <c r="J676">
        <v>4</v>
      </c>
      <c r="K676" t="s">
        <v>245</v>
      </c>
      <c r="L676" t="s">
        <v>1475</v>
      </c>
      <c r="M676" t="s">
        <v>1476</v>
      </c>
      <c r="N676" s="2">
        <v>46332</v>
      </c>
      <c r="O676" s="2">
        <v>46379</v>
      </c>
      <c r="P676" t="s">
        <v>43</v>
      </c>
      <c r="Q676" t="s">
        <v>52</v>
      </c>
      <c r="R676" t="s">
        <v>45</v>
      </c>
      <c r="S676" t="s">
        <v>77</v>
      </c>
      <c r="T676" t="s">
        <v>33</v>
      </c>
      <c r="U676" t="s">
        <v>34</v>
      </c>
      <c r="V676" t="str">
        <f>IF(B676&lt;=18,"Children",IF(B676&lt;=35,"Young adult",IF(B676&lt;=60,"Adult", "Senior Citizen")))</f>
        <v>Adult</v>
      </c>
      <c r="W676" t="str">
        <f t="shared" si="70"/>
        <v>Nov</v>
      </c>
      <c r="X676">
        <f t="shared" si="71"/>
        <v>11</v>
      </c>
      <c r="Y676" t="str">
        <f t="shared" si="72"/>
        <v>Q4</v>
      </c>
      <c r="Z676">
        <f t="shared" si="73"/>
        <v>2026</v>
      </c>
      <c r="AA676" t="str">
        <f t="shared" si="74"/>
        <v>Friday</v>
      </c>
      <c r="AB676">
        <f t="shared" si="75"/>
        <v>-47</v>
      </c>
      <c r="AC676" t="str">
        <f>IF(OR(D676="Heart Disease",D676="Cancer",D676="Stroke"),"High",IF(OR(D676="Diabetes",D676="Asthma"),"Medium","Low"))</f>
        <v>Low</v>
      </c>
      <c r="AD676" t="str">
        <f t="shared" si="76"/>
        <v>No</v>
      </c>
      <c r="AE676" t="str">
        <f>IF(G676&lt;=2,"Short Stay", IF(G676&lt;=7,"Normal Stay", "Long Stay"))</f>
        <v>Long Stay</v>
      </c>
      <c r="AF676" t="str">
        <f>IF(F676&gt;60000,"Expensive",IF(F676&gt;30000,"Moderate","Affordable"))</f>
        <v>Affordable</v>
      </c>
      <c r="AG676" t="str">
        <f>IF(J676&gt;=4.5,"Excellent",IF(J676&gt;=3.5,"Good",IF(J676&gt;=2.5,"Average","Poor")))</f>
        <v>Good</v>
      </c>
      <c r="AH676" t="str">
        <f>IF(OR(TEXT(N676,"dddd")="Saturday",TEXT(N676,"dddd")="Sunday"),"Weekend","Weekday")</f>
        <v>Weekday</v>
      </c>
    </row>
    <row r="677" spans="1:34" x14ac:dyDescent="0.3">
      <c r="A677">
        <v>687</v>
      </c>
      <c r="B677">
        <v>67</v>
      </c>
      <c r="C677" t="s">
        <v>35</v>
      </c>
      <c r="D677" t="s">
        <v>99</v>
      </c>
      <c r="E677" t="s">
        <v>100</v>
      </c>
      <c r="F677">
        <v>20000</v>
      </c>
      <c r="G677">
        <v>54</v>
      </c>
      <c r="H677" t="s">
        <v>24</v>
      </c>
      <c r="I677" t="s">
        <v>25</v>
      </c>
      <c r="J677">
        <v>3</v>
      </c>
      <c r="K677" t="s">
        <v>101</v>
      </c>
      <c r="L677" t="s">
        <v>1477</v>
      </c>
      <c r="M677" t="s">
        <v>1478</v>
      </c>
      <c r="N677" s="2">
        <v>46333</v>
      </c>
      <c r="O677" s="2">
        <v>46387</v>
      </c>
      <c r="P677" t="s">
        <v>43</v>
      </c>
      <c r="Q677" t="s">
        <v>52</v>
      </c>
      <c r="R677" t="s">
        <v>45</v>
      </c>
      <c r="S677" t="s">
        <v>72</v>
      </c>
      <c r="T677" t="s">
        <v>33</v>
      </c>
      <c r="U677" t="s">
        <v>104</v>
      </c>
      <c r="V677" t="str">
        <f>IF(B677&lt;=18,"Children",IF(B677&lt;=35,"Young adult",IF(B677&lt;=60,"Adult", "Senior Citizen")))</f>
        <v>Senior Citizen</v>
      </c>
      <c r="W677" t="str">
        <f t="shared" si="70"/>
        <v>Nov</v>
      </c>
      <c r="X677">
        <f t="shared" si="71"/>
        <v>11</v>
      </c>
      <c r="Y677" t="str">
        <f t="shared" si="72"/>
        <v>Q4</v>
      </c>
      <c r="Z677">
        <f t="shared" si="73"/>
        <v>2026</v>
      </c>
      <c r="AA677" t="str">
        <f t="shared" si="74"/>
        <v>Saturday</v>
      </c>
      <c r="AB677">
        <f t="shared" si="75"/>
        <v>-54</v>
      </c>
      <c r="AC677" t="str">
        <f>IF(OR(D677="Heart Disease",D677="Cancer",D677="Stroke"),"High",IF(OR(D677="Diabetes",D677="Asthma"),"Medium","Low"))</f>
        <v>Low</v>
      </c>
      <c r="AD677" t="str">
        <f t="shared" si="76"/>
        <v>No</v>
      </c>
      <c r="AE677" t="str">
        <f>IF(G677&lt;=2,"Short Stay", IF(G677&lt;=7,"Normal Stay", "Long Stay"))</f>
        <v>Long Stay</v>
      </c>
      <c r="AF677" t="str">
        <f>IF(F677&gt;60000,"Expensive",IF(F677&gt;30000,"Moderate","Affordable"))</f>
        <v>Affordable</v>
      </c>
      <c r="AG677" t="str">
        <f>IF(J677&gt;=4.5,"Excellent",IF(J677&gt;=3.5,"Good",IF(J677&gt;=2.5,"Average","Poor")))</f>
        <v>Average</v>
      </c>
      <c r="AH677" t="str">
        <f>IF(OR(TEXT(N677,"dddd")="Saturday",TEXT(N677,"dddd")="Sunday"),"Weekend","Weekday")</f>
        <v>Weekend</v>
      </c>
    </row>
    <row r="678" spans="1:34" x14ac:dyDescent="0.3">
      <c r="A678">
        <v>688</v>
      </c>
      <c r="B678">
        <v>35</v>
      </c>
      <c r="C678" t="s">
        <v>21</v>
      </c>
      <c r="D678" t="s">
        <v>105</v>
      </c>
      <c r="E678" t="s">
        <v>106</v>
      </c>
      <c r="F678">
        <v>12000</v>
      </c>
      <c r="G678">
        <v>48</v>
      </c>
      <c r="H678" t="s">
        <v>24</v>
      </c>
      <c r="I678" t="s">
        <v>25</v>
      </c>
      <c r="J678">
        <v>4</v>
      </c>
      <c r="K678" t="s">
        <v>125</v>
      </c>
      <c r="L678" t="s">
        <v>1479</v>
      </c>
      <c r="M678" t="s">
        <v>1480</v>
      </c>
      <c r="N678" s="2">
        <v>46334</v>
      </c>
      <c r="O678" s="2">
        <v>46382</v>
      </c>
      <c r="P678" t="s">
        <v>29</v>
      </c>
      <c r="Q678" t="s">
        <v>30</v>
      </c>
      <c r="R678" t="s">
        <v>45</v>
      </c>
      <c r="S678" t="s">
        <v>72</v>
      </c>
      <c r="T678" t="s">
        <v>33</v>
      </c>
      <c r="U678" t="s">
        <v>34</v>
      </c>
      <c r="V678" t="str">
        <f>IF(B678&lt;=18,"Children",IF(B678&lt;=35,"Young adult",IF(B678&lt;=60,"Adult", "Senior Citizen")))</f>
        <v>Young adult</v>
      </c>
      <c r="W678" t="str">
        <f t="shared" si="70"/>
        <v>Nov</v>
      </c>
      <c r="X678">
        <f t="shared" si="71"/>
        <v>11</v>
      </c>
      <c r="Y678" t="str">
        <f t="shared" si="72"/>
        <v>Q4</v>
      </c>
      <c r="Z678">
        <f t="shared" si="73"/>
        <v>2026</v>
      </c>
      <c r="AA678" t="str">
        <f t="shared" si="74"/>
        <v>Sunday</v>
      </c>
      <c r="AB678">
        <f t="shared" si="75"/>
        <v>-48</v>
      </c>
      <c r="AC678" t="str">
        <f>IF(OR(D678="Heart Disease",D678="Cancer",D678="Stroke"),"High",IF(OR(D678="Diabetes",D678="Asthma"),"Medium","Low"))</f>
        <v>Low</v>
      </c>
      <c r="AD678" t="str">
        <f t="shared" si="76"/>
        <v>No</v>
      </c>
      <c r="AE678" t="str">
        <f>IF(G678&lt;=2,"Short Stay", IF(G678&lt;=7,"Normal Stay", "Long Stay"))</f>
        <v>Long Stay</v>
      </c>
      <c r="AF678" t="str">
        <f>IF(F678&gt;60000,"Expensive",IF(F678&gt;30000,"Moderate","Affordable"))</f>
        <v>Affordable</v>
      </c>
      <c r="AG678" t="str">
        <f>IF(J678&gt;=4.5,"Excellent",IF(J678&gt;=3.5,"Good",IF(J678&gt;=2.5,"Average","Poor")))</f>
        <v>Good</v>
      </c>
      <c r="AH678" t="str">
        <f>IF(OR(TEXT(N678,"dddd")="Saturday",TEXT(N678,"dddd")="Sunday"),"Weekend","Weekday")</f>
        <v>Weekend</v>
      </c>
    </row>
    <row r="679" spans="1:34" x14ac:dyDescent="0.3">
      <c r="A679">
        <v>689</v>
      </c>
      <c r="B679">
        <v>50</v>
      </c>
      <c r="C679" t="s">
        <v>35</v>
      </c>
      <c r="D679" t="s">
        <v>111</v>
      </c>
      <c r="E679" t="s">
        <v>112</v>
      </c>
      <c r="F679">
        <v>6000</v>
      </c>
      <c r="G679">
        <v>49</v>
      </c>
      <c r="H679" t="s">
        <v>24</v>
      </c>
      <c r="I679" t="s">
        <v>25</v>
      </c>
      <c r="J679">
        <v>3</v>
      </c>
      <c r="K679" t="s">
        <v>96</v>
      </c>
      <c r="L679" t="s">
        <v>1481</v>
      </c>
      <c r="M679" t="s">
        <v>1482</v>
      </c>
      <c r="N679" s="2">
        <v>46335</v>
      </c>
      <c r="O679" s="2">
        <v>46384</v>
      </c>
      <c r="P679" t="s">
        <v>29</v>
      </c>
      <c r="Q679" t="s">
        <v>139</v>
      </c>
      <c r="R679" t="s">
        <v>45</v>
      </c>
      <c r="S679" t="s">
        <v>110</v>
      </c>
      <c r="T679" t="s">
        <v>33</v>
      </c>
      <c r="U679" t="s">
        <v>34</v>
      </c>
      <c r="V679" t="str">
        <f>IF(B679&lt;=18,"Children",IF(B679&lt;=35,"Young adult",IF(B679&lt;=60,"Adult", "Senior Citizen")))</f>
        <v>Adult</v>
      </c>
      <c r="W679" t="str">
        <f t="shared" si="70"/>
        <v>Nov</v>
      </c>
      <c r="X679">
        <f t="shared" si="71"/>
        <v>11</v>
      </c>
      <c r="Y679" t="str">
        <f t="shared" si="72"/>
        <v>Q4</v>
      </c>
      <c r="Z679">
        <f t="shared" si="73"/>
        <v>2026</v>
      </c>
      <c r="AA679" t="str">
        <f t="shared" si="74"/>
        <v>Monday</v>
      </c>
      <c r="AB679">
        <f t="shared" si="75"/>
        <v>-49</v>
      </c>
      <c r="AC679" t="str">
        <f>IF(OR(D679="Heart Disease",D679="Cancer",D679="Stroke"),"High",IF(OR(D679="Diabetes",D679="Asthma"),"Medium","Low"))</f>
        <v>Low</v>
      </c>
      <c r="AD679" t="str">
        <f t="shared" si="76"/>
        <v>No</v>
      </c>
      <c r="AE679" t="str">
        <f>IF(G679&lt;=2,"Short Stay", IF(G679&lt;=7,"Normal Stay", "Long Stay"))</f>
        <v>Long Stay</v>
      </c>
      <c r="AF679" t="str">
        <f>IF(F679&gt;60000,"Expensive",IF(F679&gt;30000,"Moderate","Affordable"))</f>
        <v>Affordable</v>
      </c>
      <c r="AG679" t="str">
        <f>IF(J679&gt;=4.5,"Excellent",IF(J679&gt;=3.5,"Good",IF(J679&gt;=2.5,"Average","Poor")))</f>
        <v>Average</v>
      </c>
      <c r="AH679" t="str">
        <f>IF(OR(TEXT(N679,"dddd")="Saturday",TEXT(N679,"dddd")="Sunday"),"Weekend","Weekday")</f>
        <v>Weekday</v>
      </c>
    </row>
    <row r="680" spans="1:34" x14ac:dyDescent="0.3">
      <c r="A680">
        <v>690</v>
      </c>
      <c r="B680">
        <v>60</v>
      </c>
      <c r="C680" t="s">
        <v>21</v>
      </c>
      <c r="D680" t="s">
        <v>116</v>
      </c>
      <c r="E680" t="s">
        <v>117</v>
      </c>
      <c r="F680">
        <v>4000</v>
      </c>
      <c r="G680">
        <v>50</v>
      </c>
      <c r="H680" t="s">
        <v>24</v>
      </c>
      <c r="I680" t="s">
        <v>39</v>
      </c>
      <c r="J680">
        <v>4</v>
      </c>
      <c r="K680" t="s">
        <v>96</v>
      </c>
      <c r="L680" t="s">
        <v>1483</v>
      </c>
      <c r="M680" t="s">
        <v>1484</v>
      </c>
      <c r="N680" s="2">
        <v>46336</v>
      </c>
      <c r="O680" s="2">
        <v>46386</v>
      </c>
      <c r="P680" t="s">
        <v>29</v>
      </c>
      <c r="Q680" t="s">
        <v>52</v>
      </c>
      <c r="R680" t="s">
        <v>45</v>
      </c>
      <c r="S680" t="s">
        <v>110</v>
      </c>
      <c r="T680" t="s">
        <v>33</v>
      </c>
      <c r="U680" t="s">
        <v>104</v>
      </c>
      <c r="V680" t="str">
        <f>IF(B680&lt;=18,"Children",IF(B680&lt;=35,"Young adult",IF(B680&lt;=60,"Adult", "Senior Citizen")))</f>
        <v>Adult</v>
      </c>
      <c r="W680" t="str">
        <f t="shared" si="70"/>
        <v>Nov</v>
      </c>
      <c r="X680">
        <f t="shared" si="71"/>
        <v>11</v>
      </c>
      <c r="Y680" t="str">
        <f t="shared" si="72"/>
        <v>Q4</v>
      </c>
      <c r="Z680">
        <f t="shared" si="73"/>
        <v>2026</v>
      </c>
      <c r="AA680" t="str">
        <f t="shared" si="74"/>
        <v>Tuesday</v>
      </c>
      <c r="AB680">
        <f t="shared" si="75"/>
        <v>-50</v>
      </c>
      <c r="AC680" t="str">
        <f>IF(OR(D680="Heart Disease",D680="Cancer",D680="Stroke"),"High",IF(OR(D680="Diabetes",D680="Asthma"),"Medium","Low"))</f>
        <v>Low</v>
      </c>
      <c r="AD680" t="str">
        <f t="shared" si="76"/>
        <v>No</v>
      </c>
      <c r="AE680" t="str">
        <f>IF(G680&lt;=2,"Short Stay", IF(G680&lt;=7,"Normal Stay", "Long Stay"))</f>
        <v>Long Stay</v>
      </c>
      <c r="AF680" t="str">
        <f>IF(F680&gt;60000,"Expensive",IF(F680&gt;30000,"Moderate","Affordable"))</f>
        <v>Affordable</v>
      </c>
      <c r="AG680" t="str">
        <f>IF(J680&gt;=4.5,"Excellent",IF(J680&gt;=3.5,"Good",IF(J680&gt;=2.5,"Average","Poor")))</f>
        <v>Good</v>
      </c>
      <c r="AH680" t="str">
        <f>IF(OR(TEXT(N680,"dddd")="Saturday",TEXT(N680,"dddd")="Sunday"),"Weekend","Weekday")</f>
        <v>Weekday</v>
      </c>
    </row>
    <row r="681" spans="1:34" x14ac:dyDescent="0.3">
      <c r="A681">
        <v>691</v>
      </c>
      <c r="B681">
        <v>48</v>
      </c>
      <c r="C681" t="s">
        <v>21</v>
      </c>
      <c r="D681" t="s">
        <v>22</v>
      </c>
      <c r="E681" t="s">
        <v>23</v>
      </c>
      <c r="F681">
        <v>15000</v>
      </c>
      <c r="G681">
        <v>51</v>
      </c>
      <c r="H681" t="s">
        <v>38</v>
      </c>
      <c r="I681" t="s">
        <v>25</v>
      </c>
      <c r="J681">
        <v>4</v>
      </c>
      <c r="K681" t="s">
        <v>96</v>
      </c>
      <c r="L681" t="s">
        <v>1485</v>
      </c>
      <c r="M681" t="s">
        <v>1486</v>
      </c>
      <c r="N681" s="2">
        <v>46337</v>
      </c>
      <c r="O681" s="2">
        <v>46388</v>
      </c>
      <c r="P681" t="s">
        <v>29</v>
      </c>
      <c r="Q681" t="s">
        <v>52</v>
      </c>
      <c r="R681" t="s">
        <v>31</v>
      </c>
      <c r="S681" t="s">
        <v>32</v>
      </c>
      <c r="T681" t="s">
        <v>33</v>
      </c>
      <c r="U681" t="s">
        <v>78</v>
      </c>
      <c r="V681" t="str">
        <f>IF(B681&lt;=18,"Children",IF(B681&lt;=35,"Young adult",IF(B681&lt;=60,"Adult", "Senior Citizen")))</f>
        <v>Adult</v>
      </c>
      <c r="W681" t="str">
        <f t="shared" si="70"/>
        <v>Nov</v>
      </c>
      <c r="X681">
        <f t="shared" si="71"/>
        <v>11</v>
      </c>
      <c r="Y681" t="str">
        <f t="shared" si="72"/>
        <v>Q4</v>
      </c>
      <c r="Z681">
        <f t="shared" si="73"/>
        <v>2026</v>
      </c>
      <c r="AA681" t="str">
        <f t="shared" si="74"/>
        <v>Wednesday</v>
      </c>
      <c r="AB681">
        <f t="shared" si="75"/>
        <v>-51</v>
      </c>
      <c r="AC681" t="str">
        <f>IF(OR(D681="Heart Disease",D681="Cancer",D681="Stroke"),"High",IF(OR(D681="Diabetes",D681="Asthma"),"Medium","Low"))</f>
        <v>High</v>
      </c>
      <c r="AD681" t="str">
        <f t="shared" si="76"/>
        <v>Yes</v>
      </c>
      <c r="AE681" t="str">
        <f>IF(G681&lt;=2,"Short Stay", IF(G681&lt;=7,"Normal Stay", "Long Stay"))</f>
        <v>Long Stay</v>
      </c>
      <c r="AF681" t="str">
        <f>IF(F681&gt;60000,"Expensive",IF(F681&gt;30000,"Moderate","Affordable"))</f>
        <v>Affordable</v>
      </c>
      <c r="AG681" t="str">
        <f>IF(J681&gt;=4.5,"Excellent",IF(J681&gt;=3.5,"Good",IF(J681&gt;=2.5,"Average","Poor")))</f>
        <v>Good</v>
      </c>
      <c r="AH681" t="str">
        <f>IF(OR(TEXT(N681,"dddd")="Saturday",TEXT(N681,"dddd")="Sunday"),"Weekend","Weekday")</f>
        <v>Weekday</v>
      </c>
    </row>
    <row r="682" spans="1:34" x14ac:dyDescent="0.3">
      <c r="A682">
        <v>692</v>
      </c>
      <c r="B682">
        <v>65</v>
      </c>
      <c r="C682" t="s">
        <v>35</v>
      </c>
      <c r="D682" t="s">
        <v>36</v>
      </c>
      <c r="E682" t="s">
        <v>37</v>
      </c>
      <c r="F682">
        <v>2000</v>
      </c>
      <c r="G682">
        <v>49</v>
      </c>
      <c r="H682" t="s">
        <v>24</v>
      </c>
      <c r="I682" t="s">
        <v>39</v>
      </c>
      <c r="J682">
        <v>3</v>
      </c>
      <c r="K682" t="s">
        <v>68</v>
      </c>
      <c r="L682" t="s">
        <v>1487</v>
      </c>
      <c r="M682" t="s">
        <v>1488</v>
      </c>
      <c r="N682" s="2">
        <v>46338</v>
      </c>
      <c r="O682" s="2">
        <v>46387</v>
      </c>
      <c r="P682" t="s">
        <v>29</v>
      </c>
      <c r="Q682" t="s">
        <v>44</v>
      </c>
      <c r="R682" t="s">
        <v>45</v>
      </c>
      <c r="S682" t="s">
        <v>72</v>
      </c>
      <c r="T682" t="s">
        <v>33</v>
      </c>
      <c r="U682" t="s">
        <v>46</v>
      </c>
      <c r="V682" t="str">
        <f>IF(B682&lt;=18,"Children",IF(B682&lt;=35,"Young adult",IF(B682&lt;=60,"Adult", "Senior Citizen")))</f>
        <v>Senior Citizen</v>
      </c>
      <c r="W682" t="str">
        <f t="shared" si="70"/>
        <v>Nov</v>
      </c>
      <c r="X682">
        <f t="shared" si="71"/>
        <v>11</v>
      </c>
      <c r="Y682" t="str">
        <f t="shared" si="72"/>
        <v>Q4</v>
      </c>
      <c r="Z682">
        <f t="shared" si="73"/>
        <v>2026</v>
      </c>
      <c r="AA682" t="str">
        <f t="shared" si="74"/>
        <v>Thursday</v>
      </c>
      <c r="AB682">
        <f t="shared" si="75"/>
        <v>-49</v>
      </c>
      <c r="AC682" t="str">
        <f>IF(OR(D682="Heart Disease",D682="Cancer",D682="Stroke"),"High",IF(OR(D682="Diabetes",D682="Asthma"),"Medium","Low"))</f>
        <v>Medium</v>
      </c>
      <c r="AD682" t="str">
        <f t="shared" si="76"/>
        <v>No</v>
      </c>
      <c r="AE682" t="str">
        <f>IF(G682&lt;=2,"Short Stay", IF(G682&lt;=7,"Normal Stay", "Long Stay"))</f>
        <v>Long Stay</v>
      </c>
      <c r="AF682" t="str">
        <f>IF(F682&gt;60000,"Expensive",IF(F682&gt;30000,"Moderate","Affordable"))</f>
        <v>Affordable</v>
      </c>
      <c r="AG682" t="str">
        <f>IF(J682&gt;=4.5,"Excellent",IF(J682&gt;=3.5,"Good",IF(J682&gt;=2.5,"Average","Poor")))</f>
        <v>Average</v>
      </c>
      <c r="AH682" t="str">
        <f>IF(OR(TEXT(N682,"dddd")="Saturday",TEXT(N682,"dddd")="Sunday"),"Weekend","Weekday")</f>
        <v>Weekday</v>
      </c>
    </row>
    <row r="683" spans="1:34" x14ac:dyDescent="0.3">
      <c r="A683">
        <v>693</v>
      </c>
      <c r="B683">
        <v>30</v>
      </c>
      <c r="C683" t="s">
        <v>21</v>
      </c>
      <c r="D683" t="s">
        <v>47</v>
      </c>
      <c r="E683" t="s">
        <v>48</v>
      </c>
      <c r="F683">
        <v>500</v>
      </c>
      <c r="G683">
        <v>47</v>
      </c>
      <c r="H683" t="s">
        <v>24</v>
      </c>
      <c r="I683" t="s">
        <v>25</v>
      </c>
      <c r="J683">
        <v>5</v>
      </c>
      <c r="K683" t="s">
        <v>336</v>
      </c>
      <c r="L683" t="s">
        <v>1489</v>
      </c>
      <c r="M683" t="s">
        <v>1490</v>
      </c>
      <c r="N683" s="2">
        <v>46339</v>
      </c>
      <c r="O683" s="2">
        <v>46386</v>
      </c>
      <c r="P683" t="s">
        <v>43</v>
      </c>
      <c r="Q683" t="s">
        <v>44</v>
      </c>
      <c r="R683" t="s">
        <v>45</v>
      </c>
      <c r="S683" t="s">
        <v>84</v>
      </c>
      <c r="T683" t="s">
        <v>33</v>
      </c>
      <c r="U683" t="s">
        <v>46</v>
      </c>
      <c r="V683" t="str">
        <f>IF(B683&lt;=18,"Children",IF(B683&lt;=35,"Young adult",IF(B683&lt;=60,"Adult", "Senior Citizen")))</f>
        <v>Young adult</v>
      </c>
      <c r="W683" t="str">
        <f t="shared" si="70"/>
        <v>Nov</v>
      </c>
      <c r="X683">
        <f t="shared" si="71"/>
        <v>11</v>
      </c>
      <c r="Y683" t="str">
        <f t="shared" si="72"/>
        <v>Q4</v>
      </c>
      <c r="Z683">
        <f t="shared" si="73"/>
        <v>2026</v>
      </c>
      <c r="AA683" t="str">
        <f t="shared" si="74"/>
        <v>Friday</v>
      </c>
      <c r="AB683">
        <f t="shared" si="75"/>
        <v>-47</v>
      </c>
      <c r="AC683" t="str">
        <f>IF(OR(D683="Heart Disease",D683="Cancer",D683="Stroke"),"High",IF(OR(D683="Diabetes",D683="Asthma"),"Medium","Low"))</f>
        <v>Low</v>
      </c>
      <c r="AD683" t="str">
        <f t="shared" si="76"/>
        <v>No</v>
      </c>
      <c r="AE683" t="str">
        <f>IF(G683&lt;=2,"Short Stay", IF(G683&lt;=7,"Normal Stay", "Long Stay"))</f>
        <v>Long Stay</v>
      </c>
      <c r="AF683" t="str">
        <f>IF(F683&gt;60000,"Expensive",IF(F683&gt;30000,"Moderate","Affordable"))</f>
        <v>Affordable</v>
      </c>
      <c r="AG683" t="str">
        <f>IF(J683&gt;=4.5,"Excellent",IF(J683&gt;=3.5,"Good",IF(J683&gt;=2.5,"Average","Poor")))</f>
        <v>Excellent</v>
      </c>
      <c r="AH683" t="str">
        <f>IF(OR(TEXT(N683,"dddd")="Saturday",TEXT(N683,"dddd")="Sunday"),"Weekend","Weekday")</f>
        <v>Weekday</v>
      </c>
    </row>
    <row r="684" spans="1:34" x14ac:dyDescent="0.3">
      <c r="A684">
        <v>694</v>
      </c>
      <c r="B684">
        <v>70</v>
      </c>
      <c r="C684" t="s">
        <v>35</v>
      </c>
      <c r="D684" t="s">
        <v>54</v>
      </c>
      <c r="E684" t="s">
        <v>55</v>
      </c>
      <c r="F684">
        <v>10000</v>
      </c>
      <c r="G684">
        <v>54</v>
      </c>
      <c r="H684" t="s">
        <v>38</v>
      </c>
      <c r="I684" t="s">
        <v>39</v>
      </c>
      <c r="J684">
        <v>2</v>
      </c>
      <c r="K684" t="s">
        <v>242</v>
      </c>
      <c r="L684" t="s">
        <v>1491</v>
      </c>
      <c r="M684" t="s">
        <v>1492</v>
      </c>
      <c r="N684" s="2">
        <v>46340</v>
      </c>
      <c r="O684" s="2">
        <v>46394</v>
      </c>
      <c r="P684" t="s">
        <v>43</v>
      </c>
      <c r="Q684" t="s">
        <v>52</v>
      </c>
      <c r="R684" t="s">
        <v>59</v>
      </c>
      <c r="S684" t="s">
        <v>32</v>
      </c>
      <c r="T684" t="s">
        <v>33</v>
      </c>
      <c r="U684" t="s">
        <v>46</v>
      </c>
      <c r="V684" t="str">
        <f>IF(B684&lt;=18,"Children",IF(B684&lt;=35,"Young adult",IF(B684&lt;=60,"Adult", "Senior Citizen")))</f>
        <v>Senior Citizen</v>
      </c>
      <c r="W684" t="str">
        <f t="shared" si="70"/>
        <v>Nov</v>
      </c>
      <c r="X684">
        <f t="shared" si="71"/>
        <v>11</v>
      </c>
      <c r="Y684" t="str">
        <f t="shared" si="72"/>
        <v>Q4</v>
      </c>
      <c r="Z684">
        <f t="shared" si="73"/>
        <v>2026</v>
      </c>
      <c r="AA684" t="str">
        <f t="shared" si="74"/>
        <v>Saturday</v>
      </c>
      <c r="AB684">
        <f t="shared" si="75"/>
        <v>-54</v>
      </c>
      <c r="AC684" t="str">
        <f>IF(OR(D684="Heart Disease",D684="Cancer",D684="Stroke"),"High",IF(OR(D684="Diabetes",D684="Asthma"),"Medium","Low"))</f>
        <v>High</v>
      </c>
      <c r="AD684" t="str">
        <f t="shared" si="76"/>
        <v>Yes</v>
      </c>
      <c r="AE684" t="str">
        <f>IF(G684&lt;=2,"Short Stay", IF(G684&lt;=7,"Normal Stay", "Long Stay"))</f>
        <v>Long Stay</v>
      </c>
      <c r="AF684" t="str">
        <f>IF(F684&gt;60000,"Expensive",IF(F684&gt;30000,"Moderate","Affordable"))</f>
        <v>Affordable</v>
      </c>
      <c r="AG684" t="str">
        <f>IF(J684&gt;=4.5,"Excellent",IF(J684&gt;=3.5,"Good",IF(J684&gt;=2.5,"Average","Poor")))</f>
        <v>Poor</v>
      </c>
      <c r="AH684" t="str">
        <f>IF(OR(TEXT(N684,"dddd")="Saturday",TEXT(N684,"dddd")="Sunday"),"Weekend","Weekday")</f>
        <v>Weekend</v>
      </c>
    </row>
    <row r="685" spans="1:34" x14ac:dyDescent="0.3">
      <c r="A685">
        <v>695</v>
      </c>
      <c r="B685">
        <v>55</v>
      </c>
      <c r="C685" t="s">
        <v>21</v>
      </c>
      <c r="D685" t="s">
        <v>60</v>
      </c>
      <c r="E685" t="s">
        <v>61</v>
      </c>
      <c r="F685">
        <v>25000</v>
      </c>
      <c r="G685">
        <v>56</v>
      </c>
      <c r="H685" t="s">
        <v>24</v>
      </c>
      <c r="I685" t="s">
        <v>25</v>
      </c>
      <c r="J685">
        <v>4</v>
      </c>
      <c r="K685" t="s">
        <v>149</v>
      </c>
      <c r="L685" t="s">
        <v>1493</v>
      </c>
      <c r="M685" t="s">
        <v>1494</v>
      </c>
      <c r="N685" s="2">
        <v>46341</v>
      </c>
      <c r="O685" s="2">
        <v>46397</v>
      </c>
      <c r="P685" t="s">
        <v>29</v>
      </c>
      <c r="Q685" t="s">
        <v>44</v>
      </c>
      <c r="R685" t="s">
        <v>65</v>
      </c>
      <c r="S685" t="s">
        <v>53</v>
      </c>
      <c r="T685" t="s">
        <v>33</v>
      </c>
      <c r="U685" t="s">
        <v>104</v>
      </c>
      <c r="V685" t="str">
        <f>IF(B685&lt;=18,"Children",IF(B685&lt;=35,"Young adult",IF(B685&lt;=60,"Adult", "Senior Citizen")))</f>
        <v>Adult</v>
      </c>
      <c r="W685" t="str">
        <f t="shared" si="70"/>
        <v>Nov</v>
      </c>
      <c r="X685">
        <f t="shared" si="71"/>
        <v>11</v>
      </c>
      <c r="Y685" t="str">
        <f t="shared" si="72"/>
        <v>Q4</v>
      </c>
      <c r="Z685">
        <f t="shared" si="73"/>
        <v>2026</v>
      </c>
      <c r="AA685" t="str">
        <f t="shared" si="74"/>
        <v>Sunday</v>
      </c>
      <c r="AB685">
        <f t="shared" si="75"/>
        <v>-56</v>
      </c>
      <c r="AC685" t="str">
        <f>IF(OR(D685="Heart Disease",D685="Cancer",D685="Stroke"),"High",IF(OR(D685="Diabetes",D685="Asthma"),"Medium","Low"))</f>
        <v>High</v>
      </c>
      <c r="AD685" t="str">
        <f t="shared" si="76"/>
        <v>Yes</v>
      </c>
      <c r="AE685" t="str">
        <f>IF(G685&lt;=2,"Short Stay", IF(G685&lt;=7,"Normal Stay", "Long Stay"))</f>
        <v>Long Stay</v>
      </c>
      <c r="AF685" t="str">
        <f>IF(F685&gt;60000,"Expensive",IF(F685&gt;30000,"Moderate","Affordable"))</f>
        <v>Affordable</v>
      </c>
      <c r="AG685" t="str">
        <f>IF(J685&gt;=4.5,"Excellent",IF(J685&gt;=3.5,"Good",IF(J685&gt;=2.5,"Average","Poor")))</f>
        <v>Good</v>
      </c>
      <c r="AH685" t="str">
        <f>IF(OR(TEXT(N685,"dddd")="Saturday",TEXT(N685,"dddd")="Sunday"),"Weekend","Weekday")</f>
        <v>Weekend</v>
      </c>
    </row>
    <row r="686" spans="1:34" x14ac:dyDescent="0.3">
      <c r="A686">
        <v>696</v>
      </c>
      <c r="B686">
        <v>68</v>
      </c>
      <c r="C686" t="s">
        <v>35</v>
      </c>
      <c r="D686" t="s">
        <v>66</v>
      </c>
      <c r="E686" t="s">
        <v>67</v>
      </c>
      <c r="F686">
        <v>1000</v>
      </c>
      <c r="G686">
        <v>50</v>
      </c>
      <c r="H686" t="s">
        <v>24</v>
      </c>
      <c r="I686" t="s">
        <v>39</v>
      </c>
      <c r="J686">
        <v>4</v>
      </c>
      <c r="K686" t="s">
        <v>203</v>
      </c>
      <c r="L686" t="s">
        <v>1495</v>
      </c>
      <c r="M686" t="s">
        <v>1496</v>
      </c>
      <c r="N686" s="2">
        <v>46342</v>
      </c>
      <c r="O686" s="2">
        <v>46392</v>
      </c>
      <c r="P686" t="s">
        <v>29</v>
      </c>
      <c r="Q686" t="s">
        <v>44</v>
      </c>
      <c r="R686" t="s">
        <v>45</v>
      </c>
      <c r="S686" t="s">
        <v>32</v>
      </c>
      <c r="T686" t="s">
        <v>33</v>
      </c>
      <c r="U686" t="s">
        <v>104</v>
      </c>
      <c r="V686" t="str">
        <f>IF(B686&lt;=18,"Children",IF(B686&lt;=35,"Young adult",IF(B686&lt;=60,"Adult", "Senior Citizen")))</f>
        <v>Senior Citizen</v>
      </c>
      <c r="W686" t="str">
        <f t="shared" si="70"/>
        <v>Nov</v>
      </c>
      <c r="X686">
        <f t="shared" si="71"/>
        <v>11</v>
      </c>
      <c r="Y686" t="str">
        <f t="shared" si="72"/>
        <v>Q4</v>
      </c>
      <c r="Z686">
        <f t="shared" si="73"/>
        <v>2026</v>
      </c>
      <c r="AA686" t="str">
        <f t="shared" si="74"/>
        <v>Monday</v>
      </c>
      <c r="AB686">
        <f t="shared" si="75"/>
        <v>-50</v>
      </c>
      <c r="AC686" t="str">
        <f>IF(OR(D686="Heart Disease",D686="Cancer",D686="Stroke"),"High",IF(OR(D686="Diabetes",D686="Asthma"),"Medium","Low"))</f>
        <v>Low</v>
      </c>
      <c r="AD686" t="str">
        <f t="shared" si="76"/>
        <v>No</v>
      </c>
      <c r="AE686" t="str">
        <f>IF(G686&lt;=2,"Short Stay", IF(G686&lt;=7,"Normal Stay", "Long Stay"))</f>
        <v>Long Stay</v>
      </c>
      <c r="AF686" t="str">
        <f>IF(F686&gt;60000,"Expensive",IF(F686&gt;30000,"Moderate","Affordable"))</f>
        <v>Affordable</v>
      </c>
      <c r="AG686" t="str">
        <f>IF(J686&gt;=4.5,"Excellent",IF(J686&gt;=3.5,"Good",IF(J686&gt;=2.5,"Average","Poor")))</f>
        <v>Good</v>
      </c>
      <c r="AH686" t="str">
        <f>IF(OR(TEXT(N686,"dddd")="Saturday",TEXT(N686,"dddd")="Sunday"),"Weekend","Weekday")</f>
        <v>Weekday</v>
      </c>
    </row>
    <row r="687" spans="1:34" x14ac:dyDescent="0.3">
      <c r="A687">
        <v>697</v>
      </c>
      <c r="B687">
        <v>45</v>
      </c>
      <c r="C687" t="s">
        <v>21</v>
      </c>
      <c r="D687" t="s">
        <v>73</v>
      </c>
      <c r="E687" t="s">
        <v>74</v>
      </c>
      <c r="F687">
        <v>8000</v>
      </c>
      <c r="G687">
        <v>52</v>
      </c>
      <c r="H687" t="s">
        <v>24</v>
      </c>
      <c r="I687" t="s">
        <v>25</v>
      </c>
      <c r="J687">
        <v>3</v>
      </c>
      <c r="K687" t="s">
        <v>329</v>
      </c>
      <c r="L687" t="s">
        <v>1497</v>
      </c>
      <c r="M687" t="s">
        <v>1498</v>
      </c>
      <c r="N687" s="2">
        <v>46343</v>
      </c>
      <c r="O687" s="2">
        <v>46395</v>
      </c>
      <c r="P687" t="s">
        <v>29</v>
      </c>
      <c r="Q687" t="s">
        <v>71</v>
      </c>
      <c r="R687" t="s">
        <v>45</v>
      </c>
      <c r="S687" t="s">
        <v>32</v>
      </c>
      <c r="T687" t="s">
        <v>33</v>
      </c>
      <c r="U687" t="s">
        <v>104</v>
      </c>
      <c r="V687" t="str">
        <f>IF(B687&lt;=18,"Children",IF(B687&lt;=35,"Young adult",IF(B687&lt;=60,"Adult", "Senior Citizen")))</f>
        <v>Adult</v>
      </c>
      <c r="W687" t="str">
        <f t="shared" si="70"/>
        <v>Nov</v>
      </c>
      <c r="X687">
        <f t="shared" si="71"/>
        <v>11</v>
      </c>
      <c r="Y687" t="str">
        <f t="shared" si="72"/>
        <v>Q4</v>
      </c>
      <c r="Z687">
        <f t="shared" si="73"/>
        <v>2026</v>
      </c>
      <c r="AA687" t="str">
        <f t="shared" si="74"/>
        <v>Tuesday</v>
      </c>
      <c r="AB687">
        <f t="shared" si="75"/>
        <v>-52</v>
      </c>
      <c r="AC687" t="str">
        <f>IF(OR(D687="Heart Disease",D687="Cancer",D687="Stroke"),"High",IF(OR(D687="Diabetes",D687="Asthma"),"Medium","Low"))</f>
        <v>Low</v>
      </c>
      <c r="AD687" t="str">
        <f t="shared" si="76"/>
        <v>No</v>
      </c>
      <c r="AE687" t="str">
        <f>IF(G687&lt;=2,"Short Stay", IF(G687&lt;=7,"Normal Stay", "Long Stay"))</f>
        <v>Long Stay</v>
      </c>
      <c r="AF687" t="str">
        <f>IF(F687&gt;60000,"Expensive",IF(F687&gt;30000,"Moderate","Affordable"))</f>
        <v>Affordable</v>
      </c>
      <c r="AG687" t="str">
        <f>IF(J687&gt;=4.5,"Excellent",IF(J687&gt;=3.5,"Good",IF(J687&gt;=2.5,"Average","Poor")))</f>
        <v>Average</v>
      </c>
      <c r="AH687" t="str">
        <f>IF(OR(TEXT(N687,"dddd")="Saturday",TEXT(N687,"dddd")="Sunday"),"Weekend","Weekday")</f>
        <v>Weekday</v>
      </c>
    </row>
    <row r="688" spans="1:34" x14ac:dyDescent="0.3">
      <c r="A688">
        <v>698</v>
      </c>
      <c r="B688">
        <v>40</v>
      </c>
      <c r="C688" t="s">
        <v>35</v>
      </c>
      <c r="D688" t="s">
        <v>79</v>
      </c>
      <c r="E688" t="s">
        <v>80</v>
      </c>
      <c r="F688">
        <v>3000</v>
      </c>
      <c r="G688">
        <v>52</v>
      </c>
      <c r="H688" t="s">
        <v>24</v>
      </c>
      <c r="I688" t="s">
        <v>25</v>
      </c>
      <c r="J688">
        <v>4</v>
      </c>
      <c r="K688" t="s">
        <v>91</v>
      </c>
      <c r="L688" t="s">
        <v>1499</v>
      </c>
      <c r="M688" t="s">
        <v>1500</v>
      </c>
      <c r="N688" s="2">
        <v>46344</v>
      </c>
      <c r="O688" s="2">
        <v>46396</v>
      </c>
      <c r="P688" t="s">
        <v>29</v>
      </c>
      <c r="Q688" t="s">
        <v>71</v>
      </c>
      <c r="R688" t="s">
        <v>45</v>
      </c>
      <c r="S688" t="s">
        <v>32</v>
      </c>
      <c r="T688" t="s">
        <v>33</v>
      </c>
      <c r="U688" t="s">
        <v>104</v>
      </c>
      <c r="V688" t="str">
        <f>IF(B688&lt;=18,"Children",IF(B688&lt;=35,"Young adult",IF(B688&lt;=60,"Adult", "Senior Citizen")))</f>
        <v>Adult</v>
      </c>
      <c r="W688" t="str">
        <f t="shared" si="70"/>
        <v>Nov</v>
      </c>
      <c r="X688">
        <f t="shared" si="71"/>
        <v>11</v>
      </c>
      <c r="Y688" t="str">
        <f t="shared" si="72"/>
        <v>Q4</v>
      </c>
      <c r="Z688">
        <f t="shared" si="73"/>
        <v>2026</v>
      </c>
      <c r="AA688" t="str">
        <f t="shared" si="74"/>
        <v>Wednesday</v>
      </c>
      <c r="AB688">
        <f t="shared" si="75"/>
        <v>-52</v>
      </c>
      <c r="AC688" t="str">
        <f>IF(OR(D688="Heart Disease",D688="Cancer",D688="Stroke"),"High",IF(OR(D688="Diabetes",D688="Asthma"),"Medium","Low"))</f>
        <v>Low</v>
      </c>
      <c r="AD688" t="str">
        <f t="shared" si="76"/>
        <v>No</v>
      </c>
      <c r="AE688" t="str">
        <f>IF(G688&lt;=2,"Short Stay", IF(G688&lt;=7,"Normal Stay", "Long Stay"))</f>
        <v>Long Stay</v>
      </c>
      <c r="AF688" t="str">
        <f>IF(F688&gt;60000,"Expensive",IF(F688&gt;30000,"Moderate","Affordable"))</f>
        <v>Affordable</v>
      </c>
      <c r="AG688" t="str">
        <f>IF(J688&gt;=4.5,"Excellent",IF(J688&gt;=3.5,"Good",IF(J688&gt;=2.5,"Average","Poor")))</f>
        <v>Good</v>
      </c>
      <c r="AH688" t="str">
        <f>IF(OR(TEXT(N688,"dddd")="Saturday",TEXT(N688,"dddd")="Sunday"),"Weekend","Weekday")</f>
        <v>Weekday</v>
      </c>
    </row>
    <row r="689" spans="1:34" x14ac:dyDescent="0.3">
      <c r="A689">
        <v>699</v>
      </c>
      <c r="B689">
        <v>78</v>
      </c>
      <c r="C689" t="s">
        <v>21</v>
      </c>
      <c r="D689" t="s">
        <v>85</v>
      </c>
      <c r="E689" t="s">
        <v>86</v>
      </c>
      <c r="F689">
        <v>18000</v>
      </c>
      <c r="G689">
        <v>54</v>
      </c>
      <c r="H689" t="s">
        <v>38</v>
      </c>
      <c r="I689" t="s">
        <v>39</v>
      </c>
      <c r="J689">
        <v>2</v>
      </c>
      <c r="K689" t="s">
        <v>120</v>
      </c>
      <c r="L689" t="s">
        <v>1501</v>
      </c>
      <c r="M689" t="s">
        <v>1502</v>
      </c>
      <c r="N689" s="2">
        <v>46345</v>
      </c>
      <c r="O689" s="2">
        <v>46399</v>
      </c>
      <c r="P689" t="s">
        <v>29</v>
      </c>
      <c r="Q689" t="s">
        <v>52</v>
      </c>
      <c r="R689" t="s">
        <v>45</v>
      </c>
      <c r="S689" t="s">
        <v>32</v>
      </c>
      <c r="T689" t="s">
        <v>33</v>
      </c>
      <c r="U689" t="s">
        <v>46</v>
      </c>
      <c r="V689" t="str">
        <f>IF(B689&lt;=18,"Children",IF(B689&lt;=35,"Young adult",IF(B689&lt;=60,"Adult", "Senior Citizen")))</f>
        <v>Senior Citizen</v>
      </c>
      <c r="W689" t="str">
        <f t="shared" si="70"/>
        <v>Nov</v>
      </c>
      <c r="X689">
        <f t="shared" si="71"/>
        <v>11</v>
      </c>
      <c r="Y689" t="str">
        <f t="shared" si="72"/>
        <v>Q4</v>
      </c>
      <c r="Z689">
        <f t="shared" si="73"/>
        <v>2026</v>
      </c>
      <c r="AA689" t="str">
        <f t="shared" si="74"/>
        <v>Thursday</v>
      </c>
      <c r="AB689">
        <f t="shared" si="75"/>
        <v>-54</v>
      </c>
      <c r="AC689" t="str">
        <f>IF(OR(D689="Heart Disease",D689="Cancer",D689="Stroke"),"High",IF(OR(D689="Diabetes",D689="Asthma"),"Medium","Low"))</f>
        <v>Low</v>
      </c>
      <c r="AD689" t="str">
        <f t="shared" si="76"/>
        <v>No</v>
      </c>
      <c r="AE689" t="str">
        <f>IF(G689&lt;=2,"Short Stay", IF(G689&lt;=7,"Normal Stay", "Long Stay"))</f>
        <v>Long Stay</v>
      </c>
      <c r="AF689" t="str">
        <f>IF(F689&gt;60000,"Expensive",IF(F689&gt;30000,"Moderate","Affordable"))</f>
        <v>Affordable</v>
      </c>
      <c r="AG689" t="str">
        <f>IF(J689&gt;=4.5,"Excellent",IF(J689&gt;=3.5,"Good",IF(J689&gt;=2.5,"Average","Poor")))</f>
        <v>Poor</v>
      </c>
      <c r="AH689" t="str">
        <f>IF(OR(TEXT(N689,"dddd")="Saturday",TEXT(N689,"dddd")="Sunday"),"Weekend","Weekday")</f>
        <v>Weekday</v>
      </c>
    </row>
    <row r="690" spans="1:34" x14ac:dyDescent="0.3">
      <c r="A690">
        <v>700</v>
      </c>
      <c r="B690">
        <v>25</v>
      </c>
      <c r="C690" t="s">
        <v>35</v>
      </c>
      <c r="D690" t="s">
        <v>89</v>
      </c>
      <c r="E690" t="s">
        <v>90</v>
      </c>
      <c r="F690">
        <v>100</v>
      </c>
      <c r="G690">
        <v>47</v>
      </c>
      <c r="H690" t="s">
        <v>24</v>
      </c>
      <c r="I690" t="s">
        <v>25</v>
      </c>
      <c r="J690">
        <v>5</v>
      </c>
      <c r="K690" t="s">
        <v>482</v>
      </c>
      <c r="L690" t="s">
        <v>1503</v>
      </c>
      <c r="M690" t="s">
        <v>1504</v>
      </c>
      <c r="N690" s="2">
        <v>46346</v>
      </c>
      <c r="O690" s="2">
        <v>46393</v>
      </c>
      <c r="P690" t="s">
        <v>43</v>
      </c>
      <c r="Q690" t="s">
        <v>30</v>
      </c>
      <c r="R690" t="s">
        <v>45</v>
      </c>
      <c r="S690" t="s">
        <v>72</v>
      </c>
      <c r="T690" t="s">
        <v>33</v>
      </c>
      <c r="U690" t="s">
        <v>104</v>
      </c>
      <c r="V690" t="str">
        <f>IF(B690&lt;=18,"Children",IF(B690&lt;=35,"Young adult",IF(B690&lt;=60,"Adult", "Senior Citizen")))</f>
        <v>Young adult</v>
      </c>
      <c r="W690" t="str">
        <f t="shared" si="70"/>
        <v>Nov</v>
      </c>
      <c r="X690">
        <f t="shared" si="71"/>
        <v>11</v>
      </c>
      <c r="Y690" t="str">
        <f t="shared" si="72"/>
        <v>Q4</v>
      </c>
      <c r="Z690">
        <f t="shared" si="73"/>
        <v>2026</v>
      </c>
      <c r="AA690" t="str">
        <f t="shared" si="74"/>
        <v>Friday</v>
      </c>
      <c r="AB690">
        <f t="shared" si="75"/>
        <v>-47</v>
      </c>
      <c r="AC690" t="str">
        <f>IF(OR(D690="Heart Disease",D690="Cancer",D690="Stroke"),"High",IF(OR(D690="Diabetes",D690="Asthma"),"Medium","Low"))</f>
        <v>Low</v>
      </c>
      <c r="AD690" t="str">
        <f t="shared" si="76"/>
        <v>No</v>
      </c>
      <c r="AE690" t="str">
        <f>IF(G690&lt;=2,"Short Stay", IF(G690&lt;=7,"Normal Stay", "Long Stay"))</f>
        <v>Long Stay</v>
      </c>
      <c r="AF690" t="str">
        <f>IF(F690&gt;60000,"Expensive",IF(F690&gt;30000,"Moderate","Affordable"))</f>
        <v>Affordable</v>
      </c>
      <c r="AG690" t="str">
        <f>IF(J690&gt;=4.5,"Excellent",IF(J690&gt;=3.5,"Good",IF(J690&gt;=2.5,"Average","Poor")))</f>
        <v>Excellent</v>
      </c>
      <c r="AH690" t="str">
        <f>IF(OR(TEXT(N690,"dddd")="Saturday",TEXT(N690,"dddd")="Sunday"),"Weekend","Weekday")</f>
        <v>Weekday</v>
      </c>
    </row>
    <row r="691" spans="1:34" x14ac:dyDescent="0.3">
      <c r="A691">
        <v>701</v>
      </c>
      <c r="B691">
        <v>52</v>
      </c>
      <c r="C691" t="s">
        <v>21</v>
      </c>
      <c r="D691" t="s">
        <v>94</v>
      </c>
      <c r="E691" t="s">
        <v>95</v>
      </c>
      <c r="F691">
        <v>800</v>
      </c>
      <c r="G691">
        <v>48</v>
      </c>
      <c r="H691" t="s">
        <v>24</v>
      </c>
      <c r="I691" t="s">
        <v>39</v>
      </c>
      <c r="J691">
        <v>4</v>
      </c>
      <c r="K691" t="s">
        <v>187</v>
      </c>
      <c r="L691" t="s">
        <v>1505</v>
      </c>
      <c r="M691" t="s">
        <v>1506</v>
      </c>
      <c r="N691" s="2">
        <v>46347</v>
      </c>
      <c r="O691" s="2">
        <v>46395</v>
      </c>
      <c r="P691" t="s">
        <v>29</v>
      </c>
      <c r="Q691" t="s">
        <v>52</v>
      </c>
      <c r="R691" t="s">
        <v>45</v>
      </c>
      <c r="S691" t="s">
        <v>77</v>
      </c>
      <c r="T691" t="s">
        <v>33</v>
      </c>
      <c r="U691" t="s">
        <v>78</v>
      </c>
      <c r="V691" t="str">
        <f>IF(B691&lt;=18,"Children",IF(B691&lt;=35,"Young adult",IF(B691&lt;=60,"Adult", "Senior Citizen")))</f>
        <v>Adult</v>
      </c>
      <c r="W691" t="str">
        <f t="shared" si="70"/>
        <v>Nov</v>
      </c>
      <c r="X691">
        <f t="shared" si="71"/>
        <v>11</v>
      </c>
      <c r="Y691" t="str">
        <f t="shared" si="72"/>
        <v>Q4</v>
      </c>
      <c r="Z691">
        <f t="shared" si="73"/>
        <v>2026</v>
      </c>
      <c r="AA691" t="str">
        <f t="shared" si="74"/>
        <v>Saturday</v>
      </c>
      <c r="AB691">
        <f t="shared" si="75"/>
        <v>-48</v>
      </c>
      <c r="AC691" t="str">
        <f>IF(OR(D691="Heart Disease",D691="Cancer",D691="Stroke"),"High",IF(OR(D691="Diabetes",D691="Asthma"),"Medium","Low"))</f>
        <v>Low</v>
      </c>
      <c r="AD691" t="str">
        <f t="shared" si="76"/>
        <v>No</v>
      </c>
      <c r="AE691" t="str">
        <f>IF(G691&lt;=2,"Short Stay", IF(G691&lt;=7,"Normal Stay", "Long Stay"))</f>
        <v>Long Stay</v>
      </c>
      <c r="AF691" t="str">
        <f>IF(F691&gt;60000,"Expensive",IF(F691&gt;30000,"Moderate","Affordable"))</f>
        <v>Affordable</v>
      </c>
      <c r="AG691" t="str">
        <f>IF(J691&gt;=4.5,"Excellent",IF(J691&gt;=3.5,"Good",IF(J691&gt;=2.5,"Average","Poor")))</f>
        <v>Good</v>
      </c>
      <c r="AH691" t="str">
        <f>IF(OR(TEXT(N691,"dddd")="Saturday",TEXT(N691,"dddd")="Sunday"),"Weekend","Weekday")</f>
        <v>Weekend</v>
      </c>
    </row>
    <row r="692" spans="1:34" x14ac:dyDescent="0.3">
      <c r="A692">
        <v>702</v>
      </c>
      <c r="B692">
        <v>58</v>
      </c>
      <c r="C692" t="s">
        <v>35</v>
      </c>
      <c r="D692" t="s">
        <v>99</v>
      </c>
      <c r="E692" t="s">
        <v>100</v>
      </c>
      <c r="F692">
        <v>20000</v>
      </c>
      <c r="G692">
        <v>55</v>
      </c>
      <c r="H692" t="s">
        <v>24</v>
      </c>
      <c r="I692" t="s">
        <v>25</v>
      </c>
      <c r="J692">
        <v>3</v>
      </c>
      <c r="K692" t="s">
        <v>96</v>
      </c>
      <c r="L692" t="s">
        <v>1507</v>
      </c>
      <c r="M692" t="s">
        <v>1508</v>
      </c>
      <c r="N692" s="2">
        <v>46348</v>
      </c>
      <c r="O692" s="2">
        <v>46403</v>
      </c>
      <c r="P692" t="s">
        <v>29</v>
      </c>
      <c r="Q692" t="s">
        <v>71</v>
      </c>
      <c r="R692" t="s">
        <v>45</v>
      </c>
      <c r="S692" t="s">
        <v>84</v>
      </c>
      <c r="T692" t="s">
        <v>33</v>
      </c>
      <c r="U692" t="s">
        <v>104</v>
      </c>
      <c r="V692" t="str">
        <f>IF(B692&lt;=18,"Children",IF(B692&lt;=35,"Young adult",IF(B692&lt;=60,"Adult", "Senior Citizen")))</f>
        <v>Adult</v>
      </c>
      <c r="W692" t="str">
        <f t="shared" si="70"/>
        <v>Nov</v>
      </c>
      <c r="X692">
        <f t="shared" si="71"/>
        <v>11</v>
      </c>
      <c r="Y692" t="str">
        <f t="shared" si="72"/>
        <v>Q4</v>
      </c>
      <c r="Z692">
        <f t="shared" si="73"/>
        <v>2026</v>
      </c>
      <c r="AA692" t="str">
        <f t="shared" si="74"/>
        <v>Sunday</v>
      </c>
      <c r="AB692">
        <f t="shared" si="75"/>
        <v>-55</v>
      </c>
      <c r="AC692" t="str">
        <f>IF(OR(D692="Heart Disease",D692="Cancer",D692="Stroke"),"High",IF(OR(D692="Diabetes",D692="Asthma"),"Medium","Low"))</f>
        <v>Low</v>
      </c>
      <c r="AD692" t="str">
        <f t="shared" si="76"/>
        <v>No</v>
      </c>
      <c r="AE692" t="str">
        <f>IF(G692&lt;=2,"Short Stay", IF(G692&lt;=7,"Normal Stay", "Long Stay"))</f>
        <v>Long Stay</v>
      </c>
      <c r="AF692" t="str">
        <f>IF(F692&gt;60000,"Expensive",IF(F692&gt;30000,"Moderate","Affordable"))</f>
        <v>Affordable</v>
      </c>
      <c r="AG692" t="str">
        <f>IF(J692&gt;=4.5,"Excellent",IF(J692&gt;=3.5,"Good",IF(J692&gt;=2.5,"Average","Poor")))</f>
        <v>Average</v>
      </c>
      <c r="AH692" t="str">
        <f>IF(OR(TEXT(N692,"dddd")="Saturday",TEXT(N692,"dddd")="Sunday"),"Weekend","Weekday")</f>
        <v>Weekend</v>
      </c>
    </row>
    <row r="693" spans="1:34" x14ac:dyDescent="0.3">
      <c r="A693">
        <v>703</v>
      </c>
      <c r="B693">
        <v>32</v>
      </c>
      <c r="C693" t="s">
        <v>21</v>
      </c>
      <c r="D693" t="s">
        <v>105</v>
      </c>
      <c r="E693" t="s">
        <v>106</v>
      </c>
      <c r="F693">
        <v>12000</v>
      </c>
      <c r="G693">
        <v>49</v>
      </c>
      <c r="H693" t="s">
        <v>24</v>
      </c>
      <c r="I693" t="s">
        <v>25</v>
      </c>
      <c r="J693">
        <v>4</v>
      </c>
      <c r="K693" t="s">
        <v>125</v>
      </c>
      <c r="L693" t="s">
        <v>1509</v>
      </c>
      <c r="M693" t="s">
        <v>1510</v>
      </c>
      <c r="N693" s="2">
        <v>46349</v>
      </c>
      <c r="O693" s="2">
        <v>46398</v>
      </c>
      <c r="P693" t="s">
        <v>29</v>
      </c>
      <c r="Q693" t="s">
        <v>52</v>
      </c>
      <c r="R693" t="s">
        <v>45</v>
      </c>
      <c r="S693" t="s">
        <v>77</v>
      </c>
      <c r="T693" t="s">
        <v>33</v>
      </c>
      <c r="U693" t="s">
        <v>34</v>
      </c>
      <c r="V693" t="str">
        <f>IF(B693&lt;=18,"Children",IF(B693&lt;=35,"Young adult",IF(B693&lt;=60,"Adult", "Senior Citizen")))</f>
        <v>Young adult</v>
      </c>
      <c r="W693" t="str">
        <f t="shared" si="70"/>
        <v>Nov</v>
      </c>
      <c r="X693">
        <f t="shared" si="71"/>
        <v>11</v>
      </c>
      <c r="Y693" t="str">
        <f t="shared" si="72"/>
        <v>Q4</v>
      </c>
      <c r="Z693">
        <f t="shared" si="73"/>
        <v>2026</v>
      </c>
      <c r="AA693" t="str">
        <f t="shared" si="74"/>
        <v>Monday</v>
      </c>
      <c r="AB693">
        <f t="shared" si="75"/>
        <v>-49</v>
      </c>
      <c r="AC693" t="str">
        <f>IF(OR(D693="Heart Disease",D693="Cancer",D693="Stroke"),"High",IF(OR(D693="Diabetes",D693="Asthma"),"Medium","Low"))</f>
        <v>Low</v>
      </c>
      <c r="AD693" t="str">
        <f t="shared" si="76"/>
        <v>No</v>
      </c>
      <c r="AE693" t="str">
        <f>IF(G693&lt;=2,"Short Stay", IF(G693&lt;=7,"Normal Stay", "Long Stay"))</f>
        <v>Long Stay</v>
      </c>
      <c r="AF693" t="str">
        <f>IF(F693&gt;60000,"Expensive",IF(F693&gt;30000,"Moderate","Affordable"))</f>
        <v>Affordable</v>
      </c>
      <c r="AG693" t="str">
        <f>IF(J693&gt;=4.5,"Excellent",IF(J693&gt;=3.5,"Good",IF(J693&gt;=2.5,"Average","Poor")))</f>
        <v>Good</v>
      </c>
      <c r="AH693" t="str">
        <f>IF(OR(TEXT(N693,"dddd")="Saturday",TEXT(N693,"dddd")="Sunday"),"Weekend","Weekday")</f>
        <v>Weekday</v>
      </c>
    </row>
    <row r="694" spans="1:34" x14ac:dyDescent="0.3">
      <c r="A694">
        <v>704</v>
      </c>
      <c r="B694">
        <v>55</v>
      </c>
      <c r="C694" t="s">
        <v>35</v>
      </c>
      <c r="D694" t="s">
        <v>111</v>
      </c>
      <c r="E694" t="s">
        <v>112</v>
      </c>
      <c r="F694">
        <v>6000</v>
      </c>
      <c r="G694">
        <v>50</v>
      </c>
      <c r="H694" t="s">
        <v>24</v>
      </c>
      <c r="I694" t="s">
        <v>25</v>
      </c>
      <c r="J694">
        <v>3</v>
      </c>
      <c r="K694" t="s">
        <v>187</v>
      </c>
      <c r="L694" t="s">
        <v>1511</v>
      </c>
      <c r="M694" t="s">
        <v>1512</v>
      </c>
      <c r="N694" s="2">
        <v>46350</v>
      </c>
      <c r="O694" s="2">
        <v>46400</v>
      </c>
      <c r="P694" t="s">
        <v>43</v>
      </c>
      <c r="Q694" t="s">
        <v>52</v>
      </c>
      <c r="R694" t="s">
        <v>45</v>
      </c>
      <c r="S694" t="s">
        <v>77</v>
      </c>
      <c r="T694" t="s">
        <v>33</v>
      </c>
      <c r="U694" t="s">
        <v>78</v>
      </c>
      <c r="V694" t="str">
        <f>IF(B694&lt;=18,"Children",IF(B694&lt;=35,"Young adult",IF(B694&lt;=60,"Adult", "Senior Citizen")))</f>
        <v>Adult</v>
      </c>
      <c r="W694" t="str">
        <f t="shared" si="70"/>
        <v>Nov</v>
      </c>
      <c r="X694">
        <f t="shared" si="71"/>
        <v>11</v>
      </c>
      <c r="Y694" t="str">
        <f t="shared" si="72"/>
        <v>Q4</v>
      </c>
      <c r="Z694">
        <f t="shared" si="73"/>
        <v>2026</v>
      </c>
      <c r="AA694" t="str">
        <f t="shared" si="74"/>
        <v>Tuesday</v>
      </c>
      <c r="AB694">
        <f t="shared" si="75"/>
        <v>-50</v>
      </c>
      <c r="AC694" t="str">
        <f>IF(OR(D694="Heart Disease",D694="Cancer",D694="Stroke"),"High",IF(OR(D694="Diabetes",D694="Asthma"),"Medium","Low"))</f>
        <v>Low</v>
      </c>
      <c r="AD694" t="str">
        <f t="shared" si="76"/>
        <v>No</v>
      </c>
      <c r="AE694" t="str">
        <f>IF(G694&lt;=2,"Short Stay", IF(G694&lt;=7,"Normal Stay", "Long Stay"))</f>
        <v>Long Stay</v>
      </c>
      <c r="AF694" t="str">
        <f>IF(F694&gt;60000,"Expensive",IF(F694&gt;30000,"Moderate","Affordable"))</f>
        <v>Affordable</v>
      </c>
      <c r="AG694" t="str">
        <f>IF(J694&gt;=4.5,"Excellent",IF(J694&gt;=3.5,"Good",IF(J694&gt;=2.5,"Average","Poor")))</f>
        <v>Average</v>
      </c>
      <c r="AH694" t="str">
        <f>IF(OR(TEXT(N694,"dddd")="Saturday",TEXT(N694,"dddd")="Sunday"),"Weekend","Weekday")</f>
        <v>Weekday</v>
      </c>
    </row>
    <row r="695" spans="1:34" x14ac:dyDescent="0.3">
      <c r="A695">
        <v>705</v>
      </c>
      <c r="B695">
        <v>65</v>
      </c>
      <c r="C695" t="s">
        <v>21</v>
      </c>
      <c r="D695" t="s">
        <v>116</v>
      </c>
      <c r="E695" t="s">
        <v>117</v>
      </c>
      <c r="F695">
        <v>4000</v>
      </c>
      <c r="G695">
        <v>51</v>
      </c>
      <c r="H695" t="s">
        <v>24</v>
      </c>
      <c r="I695" t="s">
        <v>39</v>
      </c>
      <c r="J695">
        <v>4</v>
      </c>
      <c r="K695" t="s">
        <v>144</v>
      </c>
      <c r="L695" t="s">
        <v>1513</v>
      </c>
      <c r="M695" t="s">
        <v>1514</v>
      </c>
      <c r="N695" s="2">
        <v>46351</v>
      </c>
      <c r="O695" s="2">
        <v>46402</v>
      </c>
      <c r="P695" t="s">
        <v>43</v>
      </c>
      <c r="Q695" t="s">
        <v>52</v>
      </c>
      <c r="R695" t="s">
        <v>45</v>
      </c>
      <c r="S695" t="s">
        <v>72</v>
      </c>
      <c r="T695" t="s">
        <v>33</v>
      </c>
      <c r="U695" t="s">
        <v>78</v>
      </c>
      <c r="V695" t="str">
        <f>IF(B695&lt;=18,"Children",IF(B695&lt;=35,"Young adult",IF(B695&lt;=60,"Adult", "Senior Citizen")))</f>
        <v>Senior Citizen</v>
      </c>
      <c r="W695" t="str">
        <f t="shared" si="70"/>
        <v>Nov</v>
      </c>
      <c r="X695">
        <f t="shared" si="71"/>
        <v>11</v>
      </c>
      <c r="Y695" t="str">
        <f t="shared" si="72"/>
        <v>Q4</v>
      </c>
      <c r="Z695">
        <f t="shared" si="73"/>
        <v>2026</v>
      </c>
      <c r="AA695" t="str">
        <f t="shared" si="74"/>
        <v>Wednesday</v>
      </c>
      <c r="AB695">
        <f t="shared" si="75"/>
        <v>-51</v>
      </c>
      <c r="AC695" t="str">
        <f>IF(OR(D695="Heart Disease",D695="Cancer",D695="Stroke"),"High",IF(OR(D695="Diabetes",D695="Asthma"),"Medium","Low"))</f>
        <v>Low</v>
      </c>
      <c r="AD695" t="str">
        <f t="shared" si="76"/>
        <v>No</v>
      </c>
      <c r="AE695" t="str">
        <f>IF(G695&lt;=2,"Short Stay", IF(G695&lt;=7,"Normal Stay", "Long Stay"))</f>
        <v>Long Stay</v>
      </c>
      <c r="AF695" t="str">
        <f>IF(F695&gt;60000,"Expensive",IF(F695&gt;30000,"Moderate","Affordable"))</f>
        <v>Affordable</v>
      </c>
      <c r="AG695" t="str">
        <f>IF(J695&gt;=4.5,"Excellent",IF(J695&gt;=3.5,"Good",IF(J695&gt;=2.5,"Average","Poor")))</f>
        <v>Good</v>
      </c>
      <c r="AH695" t="str">
        <f>IF(OR(TEXT(N695,"dddd")="Saturday",TEXT(N695,"dddd")="Sunday"),"Weekend","Weekday")</f>
        <v>Weekday</v>
      </c>
    </row>
    <row r="696" spans="1:34" x14ac:dyDescent="0.3">
      <c r="A696">
        <v>706</v>
      </c>
      <c r="B696">
        <v>55</v>
      </c>
      <c r="C696" t="s">
        <v>21</v>
      </c>
      <c r="D696" t="s">
        <v>22</v>
      </c>
      <c r="E696" t="s">
        <v>23</v>
      </c>
      <c r="F696">
        <v>15000</v>
      </c>
      <c r="G696">
        <v>52</v>
      </c>
      <c r="H696" t="s">
        <v>38</v>
      </c>
      <c r="I696" t="s">
        <v>25</v>
      </c>
      <c r="J696">
        <v>3</v>
      </c>
      <c r="K696" t="s">
        <v>245</v>
      </c>
      <c r="L696" t="s">
        <v>1515</v>
      </c>
      <c r="M696" t="s">
        <v>1516</v>
      </c>
      <c r="N696" s="2">
        <v>46352</v>
      </c>
      <c r="O696" s="2">
        <v>46404</v>
      </c>
      <c r="P696" t="s">
        <v>29</v>
      </c>
      <c r="Q696" t="s">
        <v>30</v>
      </c>
      <c r="R696" t="s">
        <v>31</v>
      </c>
      <c r="S696" t="s">
        <v>84</v>
      </c>
      <c r="T696" t="s">
        <v>33</v>
      </c>
      <c r="U696" t="s">
        <v>104</v>
      </c>
      <c r="V696" t="str">
        <f>IF(B696&lt;=18,"Children",IF(B696&lt;=35,"Young adult",IF(B696&lt;=60,"Adult", "Senior Citizen")))</f>
        <v>Adult</v>
      </c>
      <c r="W696" t="str">
        <f t="shared" si="70"/>
        <v>Nov</v>
      </c>
      <c r="X696">
        <f t="shared" si="71"/>
        <v>11</v>
      </c>
      <c r="Y696" t="str">
        <f t="shared" si="72"/>
        <v>Q4</v>
      </c>
      <c r="Z696">
        <f t="shared" si="73"/>
        <v>2026</v>
      </c>
      <c r="AA696" t="str">
        <f t="shared" si="74"/>
        <v>Thursday</v>
      </c>
      <c r="AB696">
        <f t="shared" si="75"/>
        <v>-52</v>
      </c>
      <c r="AC696" t="str">
        <f>IF(OR(D696="Heart Disease",D696="Cancer",D696="Stroke"),"High",IF(OR(D696="Diabetes",D696="Asthma"),"Medium","Low"))</f>
        <v>High</v>
      </c>
      <c r="AD696" t="str">
        <f t="shared" si="76"/>
        <v>Yes</v>
      </c>
      <c r="AE696" t="str">
        <f>IF(G696&lt;=2,"Short Stay", IF(G696&lt;=7,"Normal Stay", "Long Stay"))</f>
        <v>Long Stay</v>
      </c>
      <c r="AF696" t="str">
        <f>IF(F696&gt;60000,"Expensive",IF(F696&gt;30000,"Moderate","Affordable"))</f>
        <v>Affordable</v>
      </c>
      <c r="AG696" t="str">
        <f>IF(J696&gt;=4.5,"Excellent",IF(J696&gt;=3.5,"Good",IF(J696&gt;=2.5,"Average","Poor")))</f>
        <v>Average</v>
      </c>
      <c r="AH696" t="str">
        <f>IF(OR(TEXT(N696,"dddd")="Saturday",TEXT(N696,"dddd")="Sunday"),"Weekend","Weekday")</f>
        <v>Weekday</v>
      </c>
    </row>
    <row r="697" spans="1:34" x14ac:dyDescent="0.3">
      <c r="A697">
        <v>707</v>
      </c>
      <c r="B697">
        <v>62</v>
      </c>
      <c r="C697" t="s">
        <v>35</v>
      </c>
      <c r="D697" t="s">
        <v>36</v>
      </c>
      <c r="E697" t="s">
        <v>37</v>
      </c>
      <c r="F697">
        <v>2000</v>
      </c>
      <c r="G697">
        <v>50</v>
      </c>
      <c r="H697" t="s">
        <v>24</v>
      </c>
      <c r="I697" t="s">
        <v>39</v>
      </c>
      <c r="J697">
        <v>4</v>
      </c>
      <c r="K697" t="s">
        <v>187</v>
      </c>
      <c r="L697" t="s">
        <v>1517</v>
      </c>
      <c r="M697" t="s">
        <v>1518</v>
      </c>
      <c r="N697" s="2">
        <v>46353</v>
      </c>
      <c r="O697" s="2">
        <v>46403</v>
      </c>
      <c r="P697" t="s">
        <v>29</v>
      </c>
      <c r="Q697" t="s">
        <v>139</v>
      </c>
      <c r="R697" t="s">
        <v>45</v>
      </c>
      <c r="S697" t="s">
        <v>84</v>
      </c>
      <c r="T697" t="s">
        <v>33</v>
      </c>
      <c r="U697" t="s">
        <v>104</v>
      </c>
      <c r="V697" t="str">
        <f>IF(B697&lt;=18,"Children",IF(B697&lt;=35,"Young adult",IF(B697&lt;=60,"Adult", "Senior Citizen")))</f>
        <v>Senior Citizen</v>
      </c>
      <c r="W697" t="str">
        <f t="shared" si="70"/>
        <v>Nov</v>
      </c>
      <c r="X697">
        <f t="shared" si="71"/>
        <v>11</v>
      </c>
      <c r="Y697" t="str">
        <f t="shared" si="72"/>
        <v>Q4</v>
      </c>
      <c r="Z697">
        <f t="shared" si="73"/>
        <v>2026</v>
      </c>
      <c r="AA697" t="str">
        <f t="shared" si="74"/>
        <v>Friday</v>
      </c>
      <c r="AB697">
        <f t="shared" si="75"/>
        <v>-50</v>
      </c>
      <c r="AC697" t="str">
        <f>IF(OR(D697="Heart Disease",D697="Cancer",D697="Stroke"),"High",IF(OR(D697="Diabetes",D697="Asthma"),"Medium","Low"))</f>
        <v>Medium</v>
      </c>
      <c r="AD697" t="str">
        <f t="shared" si="76"/>
        <v>No</v>
      </c>
      <c r="AE697" t="str">
        <f>IF(G697&lt;=2,"Short Stay", IF(G697&lt;=7,"Normal Stay", "Long Stay"))</f>
        <v>Long Stay</v>
      </c>
      <c r="AF697" t="str">
        <f>IF(F697&gt;60000,"Expensive",IF(F697&gt;30000,"Moderate","Affordable"))</f>
        <v>Affordable</v>
      </c>
      <c r="AG697" t="str">
        <f>IF(J697&gt;=4.5,"Excellent",IF(J697&gt;=3.5,"Good",IF(J697&gt;=2.5,"Average","Poor")))</f>
        <v>Good</v>
      </c>
      <c r="AH697" t="str">
        <f>IF(OR(TEXT(N697,"dddd")="Saturday",TEXT(N697,"dddd")="Sunday"),"Weekend","Weekday")</f>
        <v>Weekday</v>
      </c>
    </row>
    <row r="698" spans="1:34" x14ac:dyDescent="0.3">
      <c r="A698">
        <v>708</v>
      </c>
      <c r="B698">
        <v>35</v>
      </c>
      <c r="C698" t="s">
        <v>21</v>
      </c>
      <c r="D698" t="s">
        <v>47</v>
      </c>
      <c r="E698" t="s">
        <v>48</v>
      </c>
      <c r="F698">
        <v>500</v>
      </c>
      <c r="G698">
        <v>48</v>
      </c>
      <c r="H698" t="s">
        <v>38</v>
      </c>
      <c r="I698" t="s">
        <v>25</v>
      </c>
      <c r="J698">
        <v>5</v>
      </c>
      <c r="K698" t="s">
        <v>160</v>
      </c>
      <c r="L698" t="s">
        <v>1519</v>
      </c>
      <c r="M698" t="s">
        <v>1520</v>
      </c>
      <c r="N698" s="2">
        <v>46354</v>
      </c>
      <c r="O698" s="2">
        <v>46402</v>
      </c>
      <c r="P698" t="s">
        <v>43</v>
      </c>
      <c r="Q698" t="s">
        <v>30</v>
      </c>
      <c r="R698" t="s">
        <v>45</v>
      </c>
      <c r="S698" t="s">
        <v>110</v>
      </c>
      <c r="T698" t="s">
        <v>33</v>
      </c>
      <c r="U698" t="s">
        <v>34</v>
      </c>
      <c r="V698" t="str">
        <f>IF(B698&lt;=18,"Children",IF(B698&lt;=35,"Young adult",IF(B698&lt;=60,"Adult", "Senior Citizen")))</f>
        <v>Young adult</v>
      </c>
      <c r="W698" t="str">
        <f t="shared" si="70"/>
        <v>Nov</v>
      </c>
      <c r="X698">
        <f t="shared" si="71"/>
        <v>11</v>
      </c>
      <c r="Y698" t="str">
        <f t="shared" si="72"/>
        <v>Q4</v>
      </c>
      <c r="Z698">
        <f t="shared" si="73"/>
        <v>2026</v>
      </c>
      <c r="AA698" t="str">
        <f t="shared" si="74"/>
        <v>Saturday</v>
      </c>
      <c r="AB698">
        <f t="shared" si="75"/>
        <v>-48</v>
      </c>
      <c r="AC698" t="str">
        <f>IF(OR(D698="Heart Disease",D698="Cancer",D698="Stroke"),"High",IF(OR(D698="Diabetes",D698="Asthma"),"Medium","Low"))</f>
        <v>Low</v>
      </c>
      <c r="AD698" t="str">
        <f t="shared" si="76"/>
        <v>No</v>
      </c>
      <c r="AE698" t="str">
        <f>IF(G698&lt;=2,"Short Stay", IF(G698&lt;=7,"Normal Stay", "Long Stay"))</f>
        <v>Long Stay</v>
      </c>
      <c r="AF698" t="str">
        <f>IF(F698&gt;60000,"Expensive",IF(F698&gt;30000,"Moderate","Affordable"))</f>
        <v>Affordable</v>
      </c>
      <c r="AG698" t="str">
        <f>IF(J698&gt;=4.5,"Excellent",IF(J698&gt;=3.5,"Good",IF(J698&gt;=2.5,"Average","Poor")))</f>
        <v>Excellent</v>
      </c>
      <c r="AH698" t="str">
        <f>IF(OR(TEXT(N698,"dddd")="Saturday",TEXT(N698,"dddd")="Sunday"),"Weekend","Weekday")</f>
        <v>Weekend</v>
      </c>
    </row>
    <row r="699" spans="1:34" x14ac:dyDescent="0.3">
      <c r="A699">
        <v>709</v>
      </c>
      <c r="B699">
        <v>78</v>
      </c>
      <c r="C699" t="s">
        <v>35</v>
      </c>
      <c r="D699" t="s">
        <v>54</v>
      </c>
      <c r="E699" t="s">
        <v>55</v>
      </c>
      <c r="F699">
        <v>10000</v>
      </c>
      <c r="G699">
        <v>55</v>
      </c>
      <c r="H699" t="s">
        <v>24</v>
      </c>
      <c r="I699" t="s">
        <v>39</v>
      </c>
      <c r="J699">
        <v>2</v>
      </c>
      <c r="K699" t="s">
        <v>160</v>
      </c>
      <c r="L699" t="s">
        <v>1521</v>
      </c>
      <c r="M699" t="s">
        <v>1522</v>
      </c>
      <c r="N699" s="2">
        <v>46355</v>
      </c>
      <c r="O699" s="2">
        <v>46410</v>
      </c>
      <c r="P699" t="s">
        <v>43</v>
      </c>
      <c r="Q699" t="s">
        <v>71</v>
      </c>
      <c r="R699" t="s">
        <v>59</v>
      </c>
      <c r="S699" t="s">
        <v>53</v>
      </c>
      <c r="T699" t="s">
        <v>33</v>
      </c>
      <c r="U699" t="s">
        <v>34</v>
      </c>
      <c r="V699" t="str">
        <f>IF(B699&lt;=18,"Children",IF(B699&lt;=35,"Young adult",IF(B699&lt;=60,"Adult", "Senior Citizen")))</f>
        <v>Senior Citizen</v>
      </c>
      <c r="W699" t="str">
        <f t="shared" si="70"/>
        <v>Nov</v>
      </c>
      <c r="X699">
        <f t="shared" si="71"/>
        <v>11</v>
      </c>
      <c r="Y699" t="str">
        <f t="shared" si="72"/>
        <v>Q4</v>
      </c>
      <c r="Z699">
        <f t="shared" si="73"/>
        <v>2026</v>
      </c>
      <c r="AA699" t="str">
        <f t="shared" si="74"/>
        <v>Sunday</v>
      </c>
      <c r="AB699">
        <f t="shared" si="75"/>
        <v>-55</v>
      </c>
      <c r="AC699" t="str">
        <f>IF(OR(D699="Heart Disease",D699="Cancer",D699="Stroke"),"High",IF(OR(D699="Diabetes",D699="Asthma"),"Medium","Low"))</f>
        <v>High</v>
      </c>
      <c r="AD699" t="str">
        <f t="shared" si="76"/>
        <v>Yes</v>
      </c>
      <c r="AE699" t="str">
        <f>IF(G699&lt;=2,"Short Stay", IF(G699&lt;=7,"Normal Stay", "Long Stay"))</f>
        <v>Long Stay</v>
      </c>
      <c r="AF699" t="str">
        <f>IF(F699&gt;60000,"Expensive",IF(F699&gt;30000,"Moderate","Affordable"))</f>
        <v>Affordable</v>
      </c>
      <c r="AG699" t="str">
        <f>IF(J699&gt;=4.5,"Excellent",IF(J699&gt;=3.5,"Good",IF(J699&gt;=2.5,"Average","Poor")))</f>
        <v>Poor</v>
      </c>
      <c r="AH699" t="str">
        <f>IF(OR(TEXT(N699,"dddd")="Saturday",TEXT(N699,"dddd")="Sunday"),"Weekend","Weekday")</f>
        <v>Weekend</v>
      </c>
    </row>
    <row r="700" spans="1:34" x14ac:dyDescent="0.3">
      <c r="A700">
        <v>710</v>
      </c>
      <c r="B700">
        <v>53</v>
      </c>
      <c r="C700" t="s">
        <v>21</v>
      </c>
      <c r="D700" t="s">
        <v>60</v>
      </c>
      <c r="E700" t="s">
        <v>61</v>
      </c>
      <c r="F700">
        <v>25000</v>
      </c>
      <c r="G700">
        <v>57</v>
      </c>
      <c r="H700" t="s">
        <v>38</v>
      </c>
      <c r="I700" t="s">
        <v>25</v>
      </c>
      <c r="J700">
        <v>4</v>
      </c>
      <c r="K700" t="s">
        <v>317</v>
      </c>
      <c r="L700" t="s">
        <v>1523</v>
      </c>
      <c r="M700" t="s">
        <v>1524</v>
      </c>
      <c r="N700" s="2">
        <v>46356</v>
      </c>
      <c r="O700" s="2">
        <v>46413</v>
      </c>
      <c r="P700" t="s">
        <v>43</v>
      </c>
      <c r="Q700" t="s">
        <v>52</v>
      </c>
      <c r="R700" t="s">
        <v>65</v>
      </c>
      <c r="S700" t="s">
        <v>72</v>
      </c>
      <c r="T700" t="s">
        <v>33</v>
      </c>
      <c r="U700" t="s">
        <v>34</v>
      </c>
      <c r="V700" t="str">
        <f>IF(B700&lt;=18,"Children",IF(B700&lt;=35,"Young adult",IF(B700&lt;=60,"Adult", "Senior Citizen")))</f>
        <v>Adult</v>
      </c>
      <c r="W700" t="str">
        <f t="shared" si="70"/>
        <v>Nov</v>
      </c>
      <c r="X700">
        <f t="shared" si="71"/>
        <v>11</v>
      </c>
      <c r="Y700" t="str">
        <f t="shared" si="72"/>
        <v>Q4</v>
      </c>
      <c r="Z700">
        <f t="shared" si="73"/>
        <v>2026</v>
      </c>
      <c r="AA700" t="str">
        <f t="shared" si="74"/>
        <v>Monday</v>
      </c>
      <c r="AB700">
        <f t="shared" si="75"/>
        <v>-57</v>
      </c>
      <c r="AC700" t="str">
        <f>IF(OR(D700="Heart Disease",D700="Cancer",D700="Stroke"),"High",IF(OR(D700="Diabetes",D700="Asthma"),"Medium","Low"))</f>
        <v>High</v>
      </c>
      <c r="AD700" t="str">
        <f t="shared" si="76"/>
        <v>Yes</v>
      </c>
      <c r="AE700" t="str">
        <f>IF(G700&lt;=2,"Short Stay", IF(G700&lt;=7,"Normal Stay", "Long Stay"))</f>
        <v>Long Stay</v>
      </c>
      <c r="AF700" t="str">
        <f>IF(F700&gt;60000,"Expensive",IF(F700&gt;30000,"Moderate","Affordable"))</f>
        <v>Affordable</v>
      </c>
      <c r="AG700" t="str">
        <f>IF(J700&gt;=4.5,"Excellent",IF(J700&gt;=3.5,"Good",IF(J700&gt;=2.5,"Average","Poor")))</f>
        <v>Good</v>
      </c>
      <c r="AH700" t="str">
        <f>IF(OR(TEXT(N700,"dddd")="Saturday",TEXT(N700,"dddd")="Sunday"),"Weekend","Weekday")</f>
        <v>Weekday</v>
      </c>
    </row>
    <row r="701" spans="1:34" x14ac:dyDescent="0.3">
      <c r="A701">
        <v>711</v>
      </c>
      <c r="B701">
        <v>72</v>
      </c>
      <c r="C701" t="s">
        <v>35</v>
      </c>
      <c r="D701" t="s">
        <v>66</v>
      </c>
      <c r="E701" t="s">
        <v>67</v>
      </c>
      <c r="F701">
        <v>1000</v>
      </c>
      <c r="G701">
        <v>51</v>
      </c>
      <c r="H701" t="s">
        <v>24</v>
      </c>
      <c r="I701" t="s">
        <v>39</v>
      </c>
      <c r="J701">
        <v>4</v>
      </c>
      <c r="K701" t="s">
        <v>169</v>
      </c>
      <c r="L701" t="s">
        <v>1525</v>
      </c>
      <c r="M701" t="s">
        <v>1526</v>
      </c>
      <c r="N701" s="2">
        <v>46357</v>
      </c>
      <c r="O701" s="2">
        <v>46408</v>
      </c>
      <c r="P701" t="s">
        <v>43</v>
      </c>
      <c r="Q701" t="s">
        <v>44</v>
      </c>
      <c r="R701" t="s">
        <v>45</v>
      </c>
      <c r="S701" t="s">
        <v>72</v>
      </c>
      <c r="T701" t="s">
        <v>33</v>
      </c>
      <c r="U701" t="s">
        <v>78</v>
      </c>
      <c r="V701" t="str">
        <f>IF(B701&lt;=18,"Children",IF(B701&lt;=35,"Young adult",IF(B701&lt;=60,"Adult", "Senior Citizen")))</f>
        <v>Senior Citizen</v>
      </c>
      <c r="W701" t="str">
        <f t="shared" si="70"/>
        <v>Dec</v>
      </c>
      <c r="X701">
        <f t="shared" si="71"/>
        <v>12</v>
      </c>
      <c r="Y701" t="str">
        <f t="shared" si="72"/>
        <v>Q4</v>
      </c>
      <c r="Z701">
        <f t="shared" si="73"/>
        <v>2026</v>
      </c>
      <c r="AA701" t="str">
        <f t="shared" si="74"/>
        <v>Tuesday</v>
      </c>
      <c r="AB701">
        <f t="shared" si="75"/>
        <v>-51</v>
      </c>
      <c r="AC701" t="str">
        <f>IF(OR(D701="Heart Disease",D701="Cancer",D701="Stroke"),"High",IF(OR(D701="Diabetes",D701="Asthma"),"Medium","Low"))</f>
        <v>Low</v>
      </c>
      <c r="AD701" t="str">
        <f t="shared" si="76"/>
        <v>No</v>
      </c>
      <c r="AE701" t="str">
        <f>IF(G701&lt;=2,"Short Stay", IF(G701&lt;=7,"Normal Stay", "Long Stay"))</f>
        <v>Long Stay</v>
      </c>
      <c r="AF701" t="str">
        <f>IF(F701&gt;60000,"Expensive",IF(F701&gt;30000,"Moderate","Affordable"))</f>
        <v>Affordable</v>
      </c>
      <c r="AG701" t="str">
        <f>IF(J701&gt;=4.5,"Excellent",IF(J701&gt;=3.5,"Good",IF(J701&gt;=2.5,"Average","Poor")))</f>
        <v>Good</v>
      </c>
      <c r="AH701" t="str">
        <f>IF(OR(TEXT(N701,"dddd")="Saturday",TEXT(N701,"dddd")="Sunday"),"Weekend","Weekday")</f>
        <v>Weekday</v>
      </c>
    </row>
    <row r="702" spans="1:34" x14ac:dyDescent="0.3">
      <c r="A702">
        <v>712</v>
      </c>
      <c r="B702">
        <v>60</v>
      </c>
      <c r="C702" t="s">
        <v>21</v>
      </c>
      <c r="D702" t="s">
        <v>73</v>
      </c>
      <c r="E702" t="s">
        <v>74</v>
      </c>
      <c r="F702">
        <v>8000</v>
      </c>
      <c r="G702">
        <v>53</v>
      </c>
      <c r="H702" t="s">
        <v>38</v>
      </c>
      <c r="I702" t="s">
        <v>25</v>
      </c>
      <c r="J702">
        <v>3</v>
      </c>
      <c r="K702" t="s">
        <v>157</v>
      </c>
      <c r="L702" t="s">
        <v>1527</v>
      </c>
      <c r="M702" t="s">
        <v>1528</v>
      </c>
      <c r="N702" s="2">
        <v>46358</v>
      </c>
      <c r="O702" s="2">
        <v>46411</v>
      </c>
      <c r="P702" t="s">
        <v>43</v>
      </c>
      <c r="Q702" t="s">
        <v>139</v>
      </c>
      <c r="R702" t="s">
        <v>45</v>
      </c>
      <c r="S702" t="s">
        <v>53</v>
      </c>
      <c r="T702" t="s">
        <v>33</v>
      </c>
      <c r="U702" t="s">
        <v>46</v>
      </c>
      <c r="V702" t="str">
        <f>IF(B702&lt;=18,"Children",IF(B702&lt;=35,"Young adult",IF(B702&lt;=60,"Adult", "Senior Citizen")))</f>
        <v>Adult</v>
      </c>
      <c r="W702" t="str">
        <f t="shared" si="70"/>
        <v>Dec</v>
      </c>
      <c r="X702">
        <f t="shared" si="71"/>
        <v>12</v>
      </c>
      <c r="Y702" t="str">
        <f t="shared" si="72"/>
        <v>Q4</v>
      </c>
      <c r="Z702">
        <f t="shared" si="73"/>
        <v>2026</v>
      </c>
      <c r="AA702" t="str">
        <f t="shared" si="74"/>
        <v>Wednesday</v>
      </c>
      <c r="AB702">
        <f t="shared" si="75"/>
        <v>-53</v>
      </c>
      <c r="AC702" t="str">
        <f>IF(OR(D702="Heart Disease",D702="Cancer",D702="Stroke"),"High",IF(OR(D702="Diabetes",D702="Asthma"),"Medium","Low"))</f>
        <v>Low</v>
      </c>
      <c r="AD702" t="str">
        <f t="shared" si="76"/>
        <v>No</v>
      </c>
      <c r="AE702" t="str">
        <f>IF(G702&lt;=2,"Short Stay", IF(G702&lt;=7,"Normal Stay", "Long Stay"))</f>
        <v>Long Stay</v>
      </c>
      <c r="AF702" t="str">
        <f>IF(F702&gt;60000,"Expensive",IF(F702&gt;30000,"Moderate","Affordable"))</f>
        <v>Affordable</v>
      </c>
      <c r="AG702" t="str">
        <f>IF(J702&gt;=4.5,"Excellent",IF(J702&gt;=3.5,"Good",IF(J702&gt;=2.5,"Average","Poor")))</f>
        <v>Average</v>
      </c>
      <c r="AH702" t="str">
        <f>IF(OR(TEXT(N702,"dddd")="Saturday",TEXT(N702,"dddd")="Sunday"),"Weekend","Weekday")</f>
        <v>Weekday</v>
      </c>
    </row>
    <row r="703" spans="1:34" x14ac:dyDescent="0.3">
      <c r="A703">
        <v>713</v>
      </c>
      <c r="B703">
        <v>45</v>
      </c>
      <c r="C703" t="s">
        <v>35</v>
      </c>
      <c r="D703" t="s">
        <v>79</v>
      </c>
      <c r="E703" t="s">
        <v>80</v>
      </c>
      <c r="F703">
        <v>3000</v>
      </c>
      <c r="G703">
        <v>53</v>
      </c>
      <c r="H703" t="s">
        <v>24</v>
      </c>
      <c r="I703" t="s">
        <v>25</v>
      </c>
      <c r="J703">
        <v>4</v>
      </c>
      <c r="K703" t="s">
        <v>120</v>
      </c>
      <c r="L703" t="s">
        <v>1529</v>
      </c>
      <c r="M703" t="s">
        <v>1530</v>
      </c>
      <c r="N703" s="2">
        <v>46359</v>
      </c>
      <c r="O703" s="2">
        <v>46412</v>
      </c>
      <c r="P703" t="s">
        <v>29</v>
      </c>
      <c r="Q703" t="s">
        <v>71</v>
      </c>
      <c r="R703" t="s">
        <v>45</v>
      </c>
      <c r="S703" t="s">
        <v>53</v>
      </c>
      <c r="T703" t="s">
        <v>33</v>
      </c>
      <c r="U703" t="s">
        <v>78</v>
      </c>
      <c r="V703" t="str">
        <f>IF(B703&lt;=18,"Children",IF(B703&lt;=35,"Young adult",IF(B703&lt;=60,"Adult", "Senior Citizen")))</f>
        <v>Adult</v>
      </c>
      <c r="W703" t="str">
        <f t="shared" si="70"/>
        <v>Dec</v>
      </c>
      <c r="X703">
        <f t="shared" si="71"/>
        <v>12</v>
      </c>
      <c r="Y703" t="str">
        <f t="shared" si="72"/>
        <v>Q4</v>
      </c>
      <c r="Z703">
        <f t="shared" si="73"/>
        <v>2026</v>
      </c>
      <c r="AA703" t="str">
        <f t="shared" si="74"/>
        <v>Thursday</v>
      </c>
      <c r="AB703">
        <f t="shared" si="75"/>
        <v>-53</v>
      </c>
      <c r="AC703" t="str">
        <f>IF(OR(D703="Heart Disease",D703="Cancer",D703="Stroke"),"High",IF(OR(D703="Diabetes",D703="Asthma"),"Medium","Low"))</f>
        <v>Low</v>
      </c>
      <c r="AD703" t="str">
        <f t="shared" si="76"/>
        <v>No</v>
      </c>
      <c r="AE703" t="str">
        <f>IF(G703&lt;=2,"Short Stay", IF(G703&lt;=7,"Normal Stay", "Long Stay"))</f>
        <v>Long Stay</v>
      </c>
      <c r="AF703" t="str">
        <f>IF(F703&gt;60000,"Expensive",IF(F703&gt;30000,"Moderate","Affordable"))</f>
        <v>Affordable</v>
      </c>
      <c r="AG703" t="str">
        <f>IF(J703&gt;=4.5,"Excellent",IF(J703&gt;=3.5,"Good",IF(J703&gt;=2.5,"Average","Poor")))</f>
        <v>Good</v>
      </c>
      <c r="AH703" t="str">
        <f>IF(OR(TEXT(N703,"dddd")="Saturday",TEXT(N703,"dddd")="Sunday"),"Weekend","Weekday")</f>
        <v>Weekday</v>
      </c>
    </row>
    <row r="704" spans="1:34" x14ac:dyDescent="0.3">
      <c r="A704">
        <v>714</v>
      </c>
      <c r="B704">
        <v>75</v>
      </c>
      <c r="C704" t="s">
        <v>21</v>
      </c>
      <c r="D704" t="s">
        <v>85</v>
      </c>
      <c r="E704" t="s">
        <v>86</v>
      </c>
      <c r="F704">
        <v>18000</v>
      </c>
      <c r="G704">
        <v>55</v>
      </c>
      <c r="H704" t="s">
        <v>38</v>
      </c>
      <c r="I704" t="s">
        <v>39</v>
      </c>
      <c r="J704">
        <v>2</v>
      </c>
      <c r="K704" t="s">
        <v>62</v>
      </c>
      <c r="L704" t="s">
        <v>1531</v>
      </c>
      <c r="M704" t="s">
        <v>1532</v>
      </c>
      <c r="N704" s="2">
        <v>46360</v>
      </c>
      <c r="O704" s="2">
        <v>46415</v>
      </c>
      <c r="P704" t="s">
        <v>29</v>
      </c>
      <c r="Q704" t="s">
        <v>52</v>
      </c>
      <c r="R704" t="s">
        <v>45</v>
      </c>
      <c r="S704" t="s">
        <v>110</v>
      </c>
      <c r="T704" t="s">
        <v>33</v>
      </c>
      <c r="U704" t="s">
        <v>104</v>
      </c>
      <c r="V704" t="str">
        <f>IF(B704&lt;=18,"Children",IF(B704&lt;=35,"Young adult",IF(B704&lt;=60,"Adult", "Senior Citizen")))</f>
        <v>Senior Citizen</v>
      </c>
      <c r="W704" t="str">
        <f t="shared" si="70"/>
        <v>Dec</v>
      </c>
      <c r="X704">
        <f t="shared" si="71"/>
        <v>12</v>
      </c>
      <c r="Y704" t="str">
        <f t="shared" si="72"/>
        <v>Q4</v>
      </c>
      <c r="Z704">
        <f t="shared" si="73"/>
        <v>2026</v>
      </c>
      <c r="AA704" t="str">
        <f t="shared" si="74"/>
        <v>Friday</v>
      </c>
      <c r="AB704">
        <f t="shared" si="75"/>
        <v>-55</v>
      </c>
      <c r="AC704" t="str">
        <f>IF(OR(D704="Heart Disease",D704="Cancer",D704="Stroke"),"High",IF(OR(D704="Diabetes",D704="Asthma"),"Medium","Low"))</f>
        <v>Low</v>
      </c>
      <c r="AD704" t="str">
        <f t="shared" si="76"/>
        <v>No</v>
      </c>
      <c r="AE704" t="str">
        <f>IF(G704&lt;=2,"Short Stay", IF(G704&lt;=7,"Normal Stay", "Long Stay"))</f>
        <v>Long Stay</v>
      </c>
      <c r="AF704" t="str">
        <f>IF(F704&gt;60000,"Expensive",IF(F704&gt;30000,"Moderate","Affordable"))</f>
        <v>Affordable</v>
      </c>
      <c r="AG704" t="str">
        <f>IF(J704&gt;=4.5,"Excellent",IF(J704&gt;=3.5,"Good",IF(J704&gt;=2.5,"Average","Poor")))</f>
        <v>Poor</v>
      </c>
      <c r="AH704" t="str">
        <f>IF(OR(TEXT(N704,"dddd")="Saturday",TEXT(N704,"dddd")="Sunday"),"Weekend","Weekday")</f>
        <v>Weekday</v>
      </c>
    </row>
    <row r="705" spans="1:34" x14ac:dyDescent="0.3">
      <c r="A705">
        <v>715</v>
      </c>
      <c r="B705">
        <v>28</v>
      </c>
      <c r="C705" t="s">
        <v>35</v>
      </c>
      <c r="D705" t="s">
        <v>89</v>
      </c>
      <c r="E705" t="s">
        <v>90</v>
      </c>
      <c r="F705">
        <v>100</v>
      </c>
      <c r="G705">
        <v>48</v>
      </c>
      <c r="H705" t="s">
        <v>24</v>
      </c>
      <c r="I705" t="s">
        <v>25</v>
      </c>
      <c r="J705">
        <v>5</v>
      </c>
      <c r="K705" t="s">
        <v>336</v>
      </c>
      <c r="L705" t="s">
        <v>1533</v>
      </c>
      <c r="M705" t="s">
        <v>1534</v>
      </c>
      <c r="N705" s="2">
        <v>46361</v>
      </c>
      <c r="O705" s="2">
        <v>46409</v>
      </c>
      <c r="P705" t="s">
        <v>29</v>
      </c>
      <c r="Q705" t="s">
        <v>52</v>
      </c>
      <c r="R705" t="s">
        <v>45</v>
      </c>
      <c r="S705" t="s">
        <v>84</v>
      </c>
      <c r="T705" t="s">
        <v>33</v>
      </c>
      <c r="U705" t="s">
        <v>46</v>
      </c>
      <c r="V705" t="str">
        <f>IF(B705&lt;=18,"Children",IF(B705&lt;=35,"Young adult",IF(B705&lt;=60,"Adult", "Senior Citizen")))</f>
        <v>Young adult</v>
      </c>
      <c r="W705" t="str">
        <f t="shared" si="70"/>
        <v>Dec</v>
      </c>
      <c r="X705">
        <f t="shared" si="71"/>
        <v>12</v>
      </c>
      <c r="Y705" t="str">
        <f t="shared" si="72"/>
        <v>Q4</v>
      </c>
      <c r="Z705">
        <f t="shared" si="73"/>
        <v>2026</v>
      </c>
      <c r="AA705" t="str">
        <f t="shared" si="74"/>
        <v>Saturday</v>
      </c>
      <c r="AB705">
        <f t="shared" si="75"/>
        <v>-48</v>
      </c>
      <c r="AC705" t="str">
        <f>IF(OR(D705="Heart Disease",D705="Cancer",D705="Stroke"),"High",IF(OR(D705="Diabetes",D705="Asthma"),"Medium","Low"))</f>
        <v>Low</v>
      </c>
      <c r="AD705" t="str">
        <f t="shared" si="76"/>
        <v>No</v>
      </c>
      <c r="AE705" t="str">
        <f>IF(G705&lt;=2,"Short Stay", IF(G705&lt;=7,"Normal Stay", "Long Stay"))</f>
        <v>Long Stay</v>
      </c>
      <c r="AF705" t="str">
        <f>IF(F705&gt;60000,"Expensive",IF(F705&gt;30000,"Moderate","Affordable"))</f>
        <v>Affordable</v>
      </c>
      <c r="AG705" t="str">
        <f>IF(J705&gt;=4.5,"Excellent",IF(J705&gt;=3.5,"Good",IF(J705&gt;=2.5,"Average","Poor")))</f>
        <v>Excellent</v>
      </c>
      <c r="AH705" t="str">
        <f>IF(OR(TEXT(N705,"dddd")="Saturday",TEXT(N705,"dddd")="Sunday"),"Weekend","Weekday")</f>
        <v>Weekend</v>
      </c>
    </row>
    <row r="706" spans="1:34" x14ac:dyDescent="0.3">
      <c r="A706">
        <v>716</v>
      </c>
      <c r="B706">
        <v>52</v>
      </c>
      <c r="C706" t="s">
        <v>21</v>
      </c>
      <c r="D706" t="s">
        <v>94</v>
      </c>
      <c r="E706" t="s">
        <v>95</v>
      </c>
      <c r="F706">
        <v>800</v>
      </c>
      <c r="G706">
        <v>49</v>
      </c>
      <c r="H706" t="s">
        <v>24</v>
      </c>
      <c r="I706" t="s">
        <v>39</v>
      </c>
      <c r="J706">
        <v>4</v>
      </c>
      <c r="K706" t="s">
        <v>178</v>
      </c>
      <c r="L706" t="s">
        <v>1535</v>
      </c>
      <c r="M706" t="s">
        <v>1536</v>
      </c>
      <c r="N706" s="2">
        <v>46362</v>
      </c>
      <c r="O706" s="2">
        <v>46411</v>
      </c>
      <c r="P706" t="s">
        <v>29</v>
      </c>
      <c r="Q706" t="s">
        <v>52</v>
      </c>
      <c r="R706" t="s">
        <v>45</v>
      </c>
      <c r="S706" t="s">
        <v>32</v>
      </c>
      <c r="T706" t="s">
        <v>33</v>
      </c>
      <c r="U706" t="s">
        <v>104</v>
      </c>
      <c r="V706" t="str">
        <f>IF(B706&lt;=18,"Children",IF(B706&lt;=35,"Young adult",IF(B706&lt;=60,"Adult", "Senior Citizen")))</f>
        <v>Adult</v>
      </c>
      <c r="W706" t="str">
        <f t="shared" si="70"/>
        <v>Dec</v>
      </c>
      <c r="X706">
        <f t="shared" si="71"/>
        <v>12</v>
      </c>
      <c r="Y706" t="str">
        <f t="shared" si="72"/>
        <v>Q4</v>
      </c>
      <c r="Z706">
        <f t="shared" si="73"/>
        <v>2026</v>
      </c>
      <c r="AA706" t="str">
        <f t="shared" si="74"/>
        <v>Sunday</v>
      </c>
      <c r="AB706">
        <f t="shared" si="75"/>
        <v>-49</v>
      </c>
      <c r="AC706" t="str">
        <f>IF(OR(D706="Heart Disease",D706="Cancer",D706="Stroke"),"High",IF(OR(D706="Diabetes",D706="Asthma"),"Medium","Low"))</f>
        <v>Low</v>
      </c>
      <c r="AD706" t="str">
        <f t="shared" si="76"/>
        <v>No</v>
      </c>
      <c r="AE706" t="str">
        <f>IF(G706&lt;=2,"Short Stay", IF(G706&lt;=7,"Normal Stay", "Long Stay"))</f>
        <v>Long Stay</v>
      </c>
      <c r="AF706" t="str">
        <f>IF(F706&gt;60000,"Expensive",IF(F706&gt;30000,"Moderate","Affordable"))</f>
        <v>Affordable</v>
      </c>
      <c r="AG706" t="str">
        <f>IF(J706&gt;=4.5,"Excellent",IF(J706&gt;=3.5,"Good",IF(J706&gt;=2.5,"Average","Poor")))</f>
        <v>Good</v>
      </c>
      <c r="AH706" t="str">
        <f>IF(OR(TEXT(N706,"dddd")="Saturday",TEXT(N706,"dddd")="Sunday"),"Weekend","Weekday")</f>
        <v>Weekend</v>
      </c>
    </row>
    <row r="707" spans="1:34" x14ac:dyDescent="0.3">
      <c r="A707">
        <v>717</v>
      </c>
      <c r="B707">
        <v>67</v>
      </c>
      <c r="C707" t="s">
        <v>35</v>
      </c>
      <c r="D707" t="s">
        <v>99</v>
      </c>
      <c r="E707" t="s">
        <v>100</v>
      </c>
      <c r="F707">
        <v>20000</v>
      </c>
      <c r="G707">
        <v>56</v>
      </c>
      <c r="H707" t="s">
        <v>24</v>
      </c>
      <c r="I707" t="s">
        <v>25</v>
      </c>
      <c r="J707">
        <v>3</v>
      </c>
      <c r="K707" t="s">
        <v>125</v>
      </c>
      <c r="L707" t="s">
        <v>1537</v>
      </c>
      <c r="M707" t="s">
        <v>1538</v>
      </c>
      <c r="N707" s="2">
        <v>46363</v>
      </c>
      <c r="O707" s="2">
        <v>46419</v>
      </c>
      <c r="P707" t="s">
        <v>43</v>
      </c>
      <c r="Q707" t="s">
        <v>44</v>
      </c>
      <c r="R707" t="s">
        <v>45</v>
      </c>
      <c r="S707" t="s">
        <v>72</v>
      </c>
      <c r="T707" t="s">
        <v>33</v>
      </c>
      <c r="U707" t="s">
        <v>78</v>
      </c>
      <c r="V707" t="str">
        <f>IF(B707&lt;=18,"Children",IF(B707&lt;=35,"Young adult",IF(B707&lt;=60,"Adult", "Senior Citizen")))</f>
        <v>Senior Citizen</v>
      </c>
      <c r="W707" t="str">
        <f t="shared" ref="W707:W770" si="77">TEXT(N707,"MMM")</f>
        <v>Dec</v>
      </c>
      <c r="X707">
        <f t="shared" ref="X707:X770" si="78">MONTH(N707)</f>
        <v>12</v>
      </c>
      <c r="Y707" t="str">
        <f t="shared" ref="Y707:Y770" si="79">"Q"&amp;ROUNDUP(MONTH(N707)/3,0)</f>
        <v>Q4</v>
      </c>
      <c r="Z707">
        <f t="shared" ref="Z707:Z770" si="80">YEAR(N707)</f>
        <v>2026</v>
      </c>
      <c r="AA707" t="str">
        <f t="shared" ref="AA707:AA770" si="81">TEXT(N707, "dddd")</f>
        <v>Monday</v>
      </c>
      <c r="AB707">
        <f t="shared" ref="AB707:AB770" si="82">N707-O707</f>
        <v>-56</v>
      </c>
      <c r="AC707" t="str">
        <f>IF(OR(D707="Heart Disease",D707="Cancer",D707="Stroke"),"High",IF(OR(D707="Diabetes",D707="Asthma"),"Medium","Low"))</f>
        <v>Low</v>
      </c>
      <c r="AD707" t="str">
        <f t="shared" ref="AD707:AD770" si="83">IF(AC707="High","Yes","No")</f>
        <v>No</v>
      </c>
      <c r="AE707" t="str">
        <f>IF(G707&lt;=2,"Short Stay", IF(G707&lt;=7,"Normal Stay", "Long Stay"))</f>
        <v>Long Stay</v>
      </c>
      <c r="AF707" t="str">
        <f>IF(F707&gt;60000,"Expensive",IF(F707&gt;30000,"Moderate","Affordable"))</f>
        <v>Affordable</v>
      </c>
      <c r="AG707" t="str">
        <f>IF(J707&gt;=4.5,"Excellent",IF(J707&gt;=3.5,"Good",IF(J707&gt;=2.5,"Average","Poor")))</f>
        <v>Average</v>
      </c>
      <c r="AH707" t="str">
        <f>IF(OR(TEXT(N707,"dddd")="Saturday",TEXT(N707,"dddd")="Sunday"),"Weekend","Weekday")</f>
        <v>Weekday</v>
      </c>
    </row>
    <row r="708" spans="1:34" x14ac:dyDescent="0.3">
      <c r="A708">
        <v>718</v>
      </c>
      <c r="B708">
        <v>35</v>
      </c>
      <c r="C708" t="s">
        <v>21</v>
      </c>
      <c r="D708" t="s">
        <v>105</v>
      </c>
      <c r="E708" t="s">
        <v>106</v>
      </c>
      <c r="F708">
        <v>12000</v>
      </c>
      <c r="G708">
        <v>50</v>
      </c>
      <c r="H708" t="s">
        <v>24</v>
      </c>
      <c r="I708" t="s">
        <v>25</v>
      </c>
      <c r="J708">
        <v>4</v>
      </c>
      <c r="K708" t="s">
        <v>154</v>
      </c>
      <c r="L708" t="s">
        <v>1539</v>
      </c>
      <c r="M708" t="s">
        <v>1540</v>
      </c>
      <c r="N708" s="2">
        <v>46364</v>
      </c>
      <c r="O708" s="2">
        <v>46414</v>
      </c>
      <c r="P708" t="s">
        <v>29</v>
      </c>
      <c r="Q708" t="s">
        <v>30</v>
      </c>
      <c r="R708" t="s">
        <v>45</v>
      </c>
      <c r="S708" t="s">
        <v>53</v>
      </c>
      <c r="T708" t="s">
        <v>33</v>
      </c>
      <c r="U708" t="s">
        <v>34</v>
      </c>
      <c r="V708" t="str">
        <f>IF(B708&lt;=18,"Children",IF(B708&lt;=35,"Young adult",IF(B708&lt;=60,"Adult", "Senior Citizen")))</f>
        <v>Young adult</v>
      </c>
      <c r="W708" t="str">
        <f t="shared" si="77"/>
        <v>Dec</v>
      </c>
      <c r="X708">
        <f t="shared" si="78"/>
        <v>12</v>
      </c>
      <c r="Y708" t="str">
        <f t="shared" si="79"/>
        <v>Q4</v>
      </c>
      <c r="Z708">
        <f t="shared" si="80"/>
        <v>2026</v>
      </c>
      <c r="AA708" t="str">
        <f t="shared" si="81"/>
        <v>Tuesday</v>
      </c>
      <c r="AB708">
        <f t="shared" si="82"/>
        <v>-50</v>
      </c>
      <c r="AC708" t="str">
        <f>IF(OR(D708="Heart Disease",D708="Cancer",D708="Stroke"),"High",IF(OR(D708="Diabetes",D708="Asthma"),"Medium","Low"))</f>
        <v>Low</v>
      </c>
      <c r="AD708" t="str">
        <f t="shared" si="83"/>
        <v>No</v>
      </c>
      <c r="AE708" t="str">
        <f>IF(G708&lt;=2,"Short Stay", IF(G708&lt;=7,"Normal Stay", "Long Stay"))</f>
        <v>Long Stay</v>
      </c>
      <c r="AF708" t="str">
        <f>IF(F708&gt;60000,"Expensive",IF(F708&gt;30000,"Moderate","Affordable"))</f>
        <v>Affordable</v>
      </c>
      <c r="AG708" t="str">
        <f>IF(J708&gt;=4.5,"Excellent",IF(J708&gt;=3.5,"Good",IF(J708&gt;=2.5,"Average","Poor")))</f>
        <v>Good</v>
      </c>
      <c r="AH708" t="str">
        <f>IF(OR(TEXT(N708,"dddd")="Saturday",TEXT(N708,"dddd")="Sunday"),"Weekend","Weekday")</f>
        <v>Weekday</v>
      </c>
    </row>
    <row r="709" spans="1:34" x14ac:dyDescent="0.3">
      <c r="A709">
        <v>719</v>
      </c>
      <c r="B709">
        <v>50</v>
      </c>
      <c r="C709" t="s">
        <v>35</v>
      </c>
      <c r="D709" t="s">
        <v>111</v>
      </c>
      <c r="E709" t="s">
        <v>112</v>
      </c>
      <c r="F709">
        <v>6000</v>
      </c>
      <c r="G709">
        <v>51</v>
      </c>
      <c r="H709" t="s">
        <v>24</v>
      </c>
      <c r="I709" t="s">
        <v>25</v>
      </c>
      <c r="J709">
        <v>3</v>
      </c>
      <c r="K709" t="s">
        <v>91</v>
      </c>
      <c r="L709" t="s">
        <v>1541</v>
      </c>
      <c r="M709" t="s">
        <v>1542</v>
      </c>
      <c r="N709" s="2">
        <v>46365</v>
      </c>
      <c r="O709" s="2">
        <v>46416</v>
      </c>
      <c r="P709" t="s">
        <v>43</v>
      </c>
      <c r="Q709" t="s">
        <v>71</v>
      </c>
      <c r="R709" t="s">
        <v>45</v>
      </c>
      <c r="S709" t="s">
        <v>32</v>
      </c>
      <c r="T709" t="s">
        <v>33</v>
      </c>
      <c r="U709" t="s">
        <v>104</v>
      </c>
      <c r="V709" t="str">
        <f>IF(B709&lt;=18,"Children",IF(B709&lt;=35,"Young adult",IF(B709&lt;=60,"Adult", "Senior Citizen")))</f>
        <v>Adult</v>
      </c>
      <c r="W709" t="str">
        <f t="shared" si="77"/>
        <v>Dec</v>
      </c>
      <c r="X709">
        <f t="shared" si="78"/>
        <v>12</v>
      </c>
      <c r="Y709" t="str">
        <f t="shared" si="79"/>
        <v>Q4</v>
      </c>
      <c r="Z709">
        <f t="shared" si="80"/>
        <v>2026</v>
      </c>
      <c r="AA709" t="str">
        <f t="shared" si="81"/>
        <v>Wednesday</v>
      </c>
      <c r="AB709">
        <f t="shared" si="82"/>
        <v>-51</v>
      </c>
      <c r="AC709" t="str">
        <f>IF(OR(D709="Heart Disease",D709="Cancer",D709="Stroke"),"High",IF(OR(D709="Diabetes",D709="Asthma"),"Medium","Low"))</f>
        <v>Low</v>
      </c>
      <c r="AD709" t="str">
        <f t="shared" si="83"/>
        <v>No</v>
      </c>
      <c r="AE709" t="str">
        <f>IF(G709&lt;=2,"Short Stay", IF(G709&lt;=7,"Normal Stay", "Long Stay"))</f>
        <v>Long Stay</v>
      </c>
      <c r="AF709" t="str">
        <f>IF(F709&gt;60000,"Expensive",IF(F709&gt;30000,"Moderate","Affordable"))</f>
        <v>Affordable</v>
      </c>
      <c r="AG709" t="str">
        <f>IF(J709&gt;=4.5,"Excellent",IF(J709&gt;=3.5,"Good",IF(J709&gt;=2.5,"Average","Poor")))</f>
        <v>Average</v>
      </c>
      <c r="AH709" t="str">
        <f>IF(OR(TEXT(N709,"dddd")="Saturday",TEXT(N709,"dddd")="Sunday"),"Weekend","Weekday")</f>
        <v>Weekday</v>
      </c>
    </row>
    <row r="710" spans="1:34" x14ac:dyDescent="0.3">
      <c r="A710">
        <v>720</v>
      </c>
      <c r="B710">
        <v>60</v>
      </c>
      <c r="C710" t="s">
        <v>21</v>
      </c>
      <c r="D710" t="s">
        <v>116</v>
      </c>
      <c r="E710" t="s">
        <v>117</v>
      </c>
      <c r="F710">
        <v>4000</v>
      </c>
      <c r="G710">
        <v>52</v>
      </c>
      <c r="H710" t="s">
        <v>24</v>
      </c>
      <c r="I710" t="s">
        <v>39</v>
      </c>
      <c r="J710">
        <v>4</v>
      </c>
      <c r="K710" t="s">
        <v>175</v>
      </c>
      <c r="L710" t="s">
        <v>1543</v>
      </c>
      <c r="M710" t="s">
        <v>1544</v>
      </c>
      <c r="N710" s="2">
        <v>46366</v>
      </c>
      <c r="O710" s="2">
        <v>46418</v>
      </c>
      <c r="P710" t="s">
        <v>29</v>
      </c>
      <c r="Q710" t="s">
        <v>52</v>
      </c>
      <c r="R710" t="s">
        <v>45</v>
      </c>
      <c r="S710" t="s">
        <v>32</v>
      </c>
      <c r="T710" t="s">
        <v>33</v>
      </c>
      <c r="U710" t="s">
        <v>34</v>
      </c>
      <c r="V710" t="str">
        <f>IF(B710&lt;=18,"Children",IF(B710&lt;=35,"Young adult",IF(B710&lt;=60,"Adult", "Senior Citizen")))</f>
        <v>Adult</v>
      </c>
      <c r="W710" t="str">
        <f t="shared" si="77"/>
        <v>Dec</v>
      </c>
      <c r="X710">
        <f t="shared" si="78"/>
        <v>12</v>
      </c>
      <c r="Y710" t="str">
        <f t="shared" si="79"/>
        <v>Q4</v>
      </c>
      <c r="Z710">
        <f t="shared" si="80"/>
        <v>2026</v>
      </c>
      <c r="AA710" t="str">
        <f t="shared" si="81"/>
        <v>Thursday</v>
      </c>
      <c r="AB710">
        <f t="shared" si="82"/>
        <v>-52</v>
      </c>
      <c r="AC710" t="str">
        <f>IF(OR(D710="Heart Disease",D710="Cancer",D710="Stroke"),"High",IF(OR(D710="Diabetes",D710="Asthma"),"Medium","Low"))</f>
        <v>Low</v>
      </c>
      <c r="AD710" t="str">
        <f t="shared" si="83"/>
        <v>No</v>
      </c>
      <c r="AE710" t="str">
        <f>IF(G710&lt;=2,"Short Stay", IF(G710&lt;=7,"Normal Stay", "Long Stay"))</f>
        <v>Long Stay</v>
      </c>
      <c r="AF710" t="str">
        <f>IF(F710&gt;60000,"Expensive",IF(F710&gt;30000,"Moderate","Affordable"))</f>
        <v>Affordable</v>
      </c>
      <c r="AG710" t="str">
        <f>IF(J710&gt;=4.5,"Excellent",IF(J710&gt;=3.5,"Good",IF(J710&gt;=2.5,"Average","Poor")))</f>
        <v>Good</v>
      </c>
      <c r="AH710" t="str">
        <f>IF(OR(TEXT(N710,"dddd")="Saturday",TEXT(N710,"dddd")="Sunday"),"Weekend","Weekday")</f>
        <v>Weekday</v>
      </c>
    </row>
    <row r="711" spans="1:34" x14ac:dyDescent="0.3">
      <c r="A711">
        <v>721</v>
      </c>
      <c r="B711">
        <v>48</v>
      </c>
      <c r="C711" t="s">
        <v>21</v>
      </c>
      <c r="D711" t="s">
        <v>22</v>
      </c>
      <c r="E711" t="s">
        <v>23</v>
      </c>
      <c r="F711">
        <v>15000</v>
      </c>
      <c r="G711">
        <v>53</v>
      </c>
      <c r="H711" t="s">
        <v>38</v>
      </c>
      <c r="I711" t="s">
        <v>25</v>
      </c>
      <c r="J711">
        <v>4</v>
      </c>
      <c r="K711" t="s">
        <v>101</v>
      </c>
      <c r="L711" t="s">
        <v>1545</v>
      </c>
      <c r="M711" t="s">
        <v>1546</v>
      </c>
      <c r="N711" s="2">
        <v>46367</v>
      </c>
      <c r="O711" s="2">
        <v>46420</v>
      </c>
      <c r="P711" t="s">
        <v>29</v>
      </c>
      <c r="Q711" t="s">
        <v>44</v>
      </c>
      <c r="R711" t="s">
        <v>31</v>
      </c>
      <c r="S711" t="s">
        <v>72</v>
      </c>
      <c r="T711" t="s">
        <v>33</v>
      </c>
      <c r="U711" t="s">
        <v>34</v>
      </c>
      <c r="V711" t="str">
        <f>IF(B711&lt;=18,"Children",IF(B711&lt;=35,"Young adult",IF(B711&lt;=60,"Adult", "Senior Citizen")))</f>
        <v>Adult</v>
      </c>
      <c r="W711" t="str">
        <f t="shared" si="77"/>
        <v>Dec</v>
      </c>
      <c r="X711">
        <f t="shared" si="78"/>
        <v>12</v>
      </c>
      <c r="Y711" t="str">
        <f t="shared" si="79"/>
        <v>Q4</v>
      </c>
      <c r="Z711">
        <f t="shared" si="80"/>
        <v>2026</v>
      </c>
      <c r="AA711" t="str">
        <f t="shared" si="81"/>
        <v>Friday</v>
      </c>
      <c r="AB711">
        <f t="shared" si="82"/>
        <v>-53</v>
      </c>
      <c r="AC711" t="str">
        <f>IF(OR(D711="Heart Disease",D711="Cancer",D711="Stroke"),"High",IF(OR(D711="Diabetes",D711="Asthma"),"Medium","Low"))</f>
        <v>High</v>
      </c>
      <c r="AD711" t="str">
        <f t="shared" si="83"/>
        <v>Yes</v>
      </c>
      <c r="AE711" t="str">
        <f>IF(G711&lt;=2,"Short Stay", IF(G711&lt;=7,"Normal Stay", "Long Stay"))</f>
        <v>Long Stay</v>
      </c>
      <c r="AF711" t="str">
        <f>IF(F711&gt;60000,"Expensive",IF(F711&gt;30000,"Moderate","Affordable"))</f>
        <v>Affordable</v>
      </c>
      <c r="AG711" t="str">
        <f>IF(J711&gt;=4.5,"Excellent",IF(J711&gt;=3.5,"Good",IF(J711&gt;=2.5,"Average","Poor")))</f>
        <v>Good</v>
      </c>
      <c r="AH711" t="str">
        <f>IF(OR(TEXT(N711,"dddd")="Saturday",TEXT(N711,"dddd")="Sunday"),"Weekend","Weekday")</f>
        <v>Weekday</v>
      </c>
    </row>
    <row r="712" spans="1:34" x14ac:dyDescent="0.3">
      <c r="A712">
        <v>723</v>
      </c>
      <c r="B712">
        <v>30</v>
      </c>
      <c r="C712" t="s">
        <v>21</v>
      </c>
      <c r="D712" t="s">
        <v>47</v>
      </c>
      <c r="E712" t="s">
        <v>48</v>
      </c>
      <c r="F712">
        <v>500</v>
      </c>
      <c r="G712">
        <v>49</v>
      </c>
      <c r="H712" t="s">
        <v>24</v>
      </c>
      <c r="I712" t="s">
        <v>25</v>
      </c>
      <c r="J712">
        <v>5</v>
      </c>
      <c r="K712" t="s">
        <v>218</v>
      </c>
      <c r="L712" t="s">
        <v>1547</v>
      </c>
      <c r="M712" t="s">
        <v>1548</v>
      </c>
      <c r="N712" s="2">
        <v>46368</v>
      </c>
      <c r="O712" s="2">
        <v>46417</v>
      </c>
      <c r="P712" t="s">
        <v>43</v>
      </c>
      <c r="Q712" t="s">
        <v>139</v>
      </c>
      <c r="R712" t="s">
        <v>45</v>
      </c>
      <c r="S712" t="s">
        <v>53</v>
      </c>
      <c r="T712" t="s">
        <v>33</v>
      </c>
      <c r="U712" t="s">
        <v>104</v>
      </c>
      <c r="V712" t="str">
        <f>IF(B712&lt;=18,"Children",IF(B712&lt;=35,"Young adult",IF(B712&lt;=60,"Adult", "Senior Citizen")))</f>
        <v>Young adult</v>
      </c>
      <c r="W712" t="str">
        <f t="shared" si="77"/>
        <v>Dec</v>
      </c>
      <c r="X712">
        <f t="shared" si="78"/>
        <v>12</v>
      </c>
      <c r="Y712" t="str">
        <f t="shared" si="79"/>
        <v>Q4</v>
      </c>
      <c r="Z712">
        <f t="shared" si="80"/>
        <v>2026</v>
      </c>
      <c r="AA712" t="str">
        <f t="shared" si="81"/>
        <v>Saturday</v>
      </c>
      <c r="AB712">
        <f t="shared" si="82"/>
        <v>-49</v>
      </c>
      <c r="AC712" t="str">
        <f>IF(OR(D712="Heart Disease",D712="Cancer",D712="Stroke"),"High",IF(OR(D712="Diabetes",D712="Asthma"),"Medium","Low"))</f>
        <v>Low</v>
      </c>
      <c r="AD712" t="str">
        <f t="shared" si="83"/>
        <v>No</v>
      </c>
      <c r="AE712" t="str">
        <f>IF(G712&lt;=2,"Short Stay", IF(G712&lt;=7,"Normal Stay", "Long Stay"))</f>
        <v>Long Stay</v>
      </c>
      <c r="AF712" t="str">
        <f>IF(F712&gt;60000,"Expensive",IF(F712&gt;30000,"Moderate","Affordable"))</f>
        <v>Affordable</v>
      </c>
      <c r="AG712" t="str">
        <f>IF(J712&gt;=4.5,"Excellent",IF(J712&gt;=3.5,"Good",IF(J712&gt;=2.5,"Average","Poor")))</f>
        <v>Excellent</v>
      </c>
      <c r="AH712" t="str">
        <f>IF(OR(TEXT(N712,"dddd")="Saturday",TEXT(N712,"dddd")="Sunday"),"Weekend","Weekday")</f>
        <v>Weekend</v>
      </c>
    </row>
    <row r="713" spans="1:34" x14ac:dyDescent="0.3">
      <c r="A713">
        <v>724</v>
      </c>
      <c r="B713">
        <v>70</v>
      </c>
      <c r="C713" t="s">
        <v>35</v>
      </c>
      <c r="D713" t="s">
        <v>54</v>
      </c>
      <c r="E713" t="s">
        <v>55</v>
      </c>
      <c r="F713">
        <v>10000</v>
      </c>
      <c r="G713">
        <v>56</v>
      </c>
      <c r="H713" t="s">
        <v>38</v>
      </c>
      <c r="I713" t="s">
        <v>39</v>
      </c>
      <c r="J713">
        <v>2</v>
      </c>
      <c r="K713" t="s">
        <v>128</v>
      </c>
      <c r="L713" t="s">
        <v>1549</v>
      </c>
      <c r="M713" t="s">
        <v>1550</v>
      </c>
      <c r="N713" s="2">
        <v>46369</v>
      </c>
      <c r="O713" s="2">
        <v>46425</v>
      </c>
      <c r="P713" t="s">
        <v>43</v>
      </c>
      <c r="Q713" t="s">
        <v>139</v>
      </c>
      <c r="R713" t="s">
        <v>59</v>
      </c>
      <c r="S713" t="s">
        <v>53</v>
      </c>
      <c r="T713" t="s">
        <v>33</v>
      </c>
      <c r="U713" t="s">
        <v>46</v>
      </c>
      <c r="V713" t="str">
        <f>IF(B713&lt;=18,"Children",IF(B713&lt;=35,"Young adult",IF(B713&lt;=60,"Adult", "Senior Citizen")))</f>
        <v>Senior Citizen</v>
      </c>
      <c r="W713" t="str">
        <f t="shared" si="77"/>
        <v>Dec</v>
      </c>
      <c r="X713">
        <f t="shared" si="78"/>
        <v>12</v>
      </c>
      <c r="Y713" t="str">
        <f t="shared" si="79"/>
        <v>Q4</v>
      </c>
      <c r="Z713">
        <f t="shared" si="80"/>
        <v>2026</v>
      </c>
      <c r="AA713" t="str">
        <f t="shared" si="81"/>
        <v>Sunday</v>
      </c>
      <c r="AB713">
        <f t="shared" si="82"/>
        <v>-56</v>
      </c>
      <c r="AC713" t="str">
        <f>IF(OR(D713="Heart Disease",D713="Cancer",D713="Stroke"),"High",IF(OR(D713="Diabetes",D713="Asthma"),"Medium","Low"))</f>
        <v>High</v>
      </c>
      <c r="AD713" t="str">
        <f t="shared" si="83"/>
        <v>Yes</v>
      </c>
      <c r="AE713" t="str">
        <f>IF(G713&lt;=2,"Short Stay", IF(G713&lt;=7,"Normal Stay", "Long Stay"))</f>
        <v>Long Stay</v>
      </c>
      <c r="AF713" t="str">
        <f>IF(F713&gt;60000,"Expensive",IF(F713&gt;30000,"Moderate","Affordable"))</f>
        <v>Affordable</v>
      </c>
      <c r="AG713" t="str">
        <f>IF(J713&gt;=4.5,"Excellent",IF(J713&gt;=3.5,"Good",IF(J713&gt;=2.5,"Average","Poor")))</f>
        <v>Poor</v>
      </c>
      <c r="AH713" t="str">
        <f>IF(OR(TEXT(N713,"dddd")="Saturday",TEXT(N713,"dddd")="Sunday"),"Weekend","Weekday")</f>
        <v>Weekend</v>
      </c>
    </row>
    <row r="714" spans="1:34" x14ac:dyDescent="0.3">
      <c r="A714">
        <v>725</v>
      </c>
      <c r="B714">
        <v>55</v>
      </c>
      <c r="C714" t="s">
        <v>21</v>
      </c>
      <c r="D714" t="s">
        <v>60</v>
      </c>
      <c r="E714" t="s">
        <v>61</v>
      </c>
      <c r="F714">
        <v>25000</v>
      </c>
      <c r="G714">
        <v>58</v>
      </c>
      <c r="H714" t="s">
        <v>24</v>
      </c>
      <c r="I714" t="s">
        <v>25</v>
      </c>
      <c r="J714">
        <v>4</v>
      </c>
      <c r="K714" t="s">
        <v>175</v>
      </c>
      <c r="L714" t="s">
        <v>1551</v>
      </c>
      <c r="M714" t="s">
        <v>1552</v>
      </c>
      <c r="N714" s="2">
        <v>46370</v>
      </c>
      <c r="O714" s="2">
        <v>46428</v>
      </c>
      <c r="P714" t="s">
        <v>29</v>
      </c>
      <c r="Q714" t="s">
        <v>44</v>
      </c>
      <c r="R714" t="s">
        <v>65</v>
      </c>
      <c r="S714" t="s">
        <v>84</v>
      </c>
      <c r="T714" t="s">
        <v>33</v>
      </c>
      <c r="U714" t="s">
        <v>78</v>
      </c>
      <c r="V714" t="str">
        <f>IF(B714&lt;=18,"Children",IF(B714&lt;=35,"Young adult",IF(B714&lt;=60,"Adult", "Senior Citizen")))</f>
        <v>Adult</v>
      </c>
      <c r="W714" t="str">
        <f t="shared" si="77"/>
        <v>Dec</v>
      </c>
      <c r="X714">
        <f t="shared" si="78"/>
        <v>12</v>
      </c>
      <c r="Y714" t="str">
        <f t="shared" si="79"/>
        <v>Q4</v>
      </c>
      <c r="Z714">
        <f t="shared" si="80"/>
        <v>2026</v>
      </c>
      <c r="AA714" t="str">
        <f t="shared" si="81"/>
        <v>Monday</v>
      </c>
      <c r="AB714">
        <f t="shared" si="82"/>
        <v>-58</v>
      </c>
      <c r="AC714" t="str">
        <f>IF(OR(D714="Heart Disease",D714="Cancer",D714="Stroke"),"High",IF(OR(D714="Diabetes",D714="Asthma"),"Medium","Low"))</f>
        <v>High</v>
      </c>
      <c r="AD714" t="str">
        <f t="shared" si="83"/>
        <v>Yes</v>
      </c>
      <c r="AE714" t="str">
        <f>IF(G714&lt;=2,"Short Stay", IF(G714&lt;=7,"Normal Stay", "Long Stay"))</f>
        <v>Long Stay</v>
      </c>
      <c r="AF714" t="str">
        <f>IF(F714&gt;60000,"Expensive",IF(F714&gt;30000,"Moderate","Affordable"))</f>
        <v>Affordable</v>
      </c>
      <c r="AG714" t="str">
        <f>IF(J714&gt;=4.5,"Excellent",IF(J714&gt;=3.5,"Good",IF(J714&gt;=2.5,"Average","Poor")))</f>
        <v>Good</v>
      </c>
      <c r="AH714" t="str">
        <f>IF(OR(TEXT(N714,"dddd")="Saturday",TEXT(N714,"dddd")="Sunday"),"Weekend","Weekday")</f>
        <v>Weekday</v>
      </c>
    </row>
    <row r="715" spans="1:34" x14ac:dyDescent="0.3">
      <c r="A715">
        <v>726</v>
      </c>
      <c r="B715">
        <v>68</v>
      </c>
      <c r="C715" t="s">
        <v>35</v>
      </c>
      <c r="D715" t="s">
        <v>66</v>
      </c>
      <c r="E715" t="s">
        <v>67</v>
      </c>
      <c r="F715">
        <v>1000</v>
      </c>
      <c r="G715">
        <v>52</v>
      </c>
      <c r="H715" t="s">
        <v>24</v>
      </c>
      <c r="I715" t="s">
        <v>39</v>
      </c>
      <c r="J715">
        <v>4</v>
      </c>
      <c r="K715" t="s">
        <v>81</v>
      </c>
      <c r="L715" t="s">
        <v>1553</v>
      </c>
      <c r="M715" t="s">
        <v>1554</v>
      </c>
      <c r="N715" s="2">
        <v>46371</v>
      </c>
      <c r="O715" s="2">
        <v>46423</v>
      </c>
      <c r="P715" t="s">
        <v>29</v>
      </c>
      <c r="Q715" t="s">
        <v>71</v>
      </c>
      <c r="R715" t="s">
        <v>45</v>
      </c>
      <c r="S715" t="s">
        <v>77</v>
      </c>
      <c r="T715" t="s">
        <v>33</v>
      </c>
      <c r="U715" t="s">
        <v>78</v>
      </c>
      <c r="V715" t="str">
        <f>IF(B715&lt;=18,"Children",IF(B715&lt;=35,"Young adult",IF(B715&lt;=60,"Adult", "Senior Citizen")))</f>
        <v>Senior Citizen</v>
      </c>
      <c r="W715" t="str">
        <f t="shared" si="77"/>
        <v>Dec</v>
      </c>
      <c r="X715">
        <f t="shared" si="78"/>
        <v>12</v>
      </c>
      <c r="Y715" t="str">
        <f t="shared" si="79"/>
        <v>Q4</v>
      </c>
      <c r="Z715">
        <f t="shared" si="80"/>
        <v>2026</v>
      </c>
      <c r="AA715" t="str">
        <f t="shared" si="81"/>
        <v>Tuesday</v>
      </c>
      <c r="AB715">
        <f t="shared" si="82"/>
        <v>-52</v>
      </c>
      <c r="AC715" t="str">
        <f>IF(OR(D715="Heart Disease",D715="Cancer",D715="Stroke"),"High",IF(OR(D715="Diabetes",D715="Asthma"),"Medium","Low"))</f>
        <v>Low</v>
      </c>
      <c r="AD715" t="str">
        <f t="shared" si="83"/>
        <v>No</v>
      </c>
      <c r="AE715" t="str">
        <f>IF(G715&lt;=2,"Short Stay", IF(G715&lt;=7,"Normal Stay", "Long Stay"))</f>
        <v>Long Stay</v>
      </c>
      <c r="AF715" t="str">
        <f>IF(F715&gt;60000,"Expensive",IF(F715&gt;30000,"Moderate","Affordable"))</f>
        <v>Affordable</v>
      </c>
      <c r="AG715" t="str">
        <f>IF(J715&gt;=4.5,"Excellent",IF(J715&gt;=3.5,"Good",IF(J715&gt;=2.5,"Average","Poor")))</f>
        <v>Good</v>
      </c>
      <c r="AH715" t="str">
        <f>IF(OR(TEXT(N715,"dddd")="Saturday",TEXT(N715,"dddd")="Sunday"),"Weekend","Weekday")</f>
        <v>Weekday</v>
      </c>
    </row>
    <row r="716" spans="1:34" x14ac:dyDescent="0.3">
      <c r="A716">
        <v>727</v>
      </c>
      <c r="B716">
        <v>45</v>
      </c>
      <c r="C716" t="s">
        <v>21</v>
      </c>
      <c r="D716" t="s">
        <v>73</v>
      </c>
      <c r="E716" t="s">
        <v>74</v>
      </c>
      <c r="F716">
        <v>8000</v>
      </c>
      <c r="G716">
        <v>54</v>
      </c>
      <c r="H716" t="s">
        <v>24</v>
      </c>
      <c r="I716" t="s">
        <v>25</v>
      </c>
      <c r="J716">
        <v>3</v>
      </c>
      <c r="K716" t="s">
        <v>160</v>
      </c>
      <c r="L716" t="s">
        <v>1555</v>
      </c>
      <c r="M716" t="s">
        <v>1556</v>
      </c>
      <c r="N716" s="2">
        <v>46372</v>
      </c>
      <c r="O716" s="2">
        <v>46426</v>
      </c>
      <c r="P716" t="s">
        <v>43</v>
      </c>
      <c r="Q716" t="s">
        <v>44</v>
      </c>
      <c r="R716" t="s">
        <v>45</v>
      </c>
      <c r="S716" t="s">
        <v>53</v>
      </c>
      <c r="T716" t="s">
        <v>33</v>
      </c>
      <c r="U716" t="s">
        <v>34</v>
      </c>
      <c r="V716" t="str">
        <f>IF(B716&lt;=18,"Children",IF(B716&lt;=35,"Young adult",IF(B716&lt;=60,"Adult", "Senior Citizen")))</f>
        <v>Adult</v>
      </c>
      <c r="W716" t="str">
        <f t="shared" si="77"/>
        <v>Dec</v>
      </c>
      <c r="X716">
        <f t="shared" si="78"/>
        <v>12</v>
      </c>
      <c r="Y716" t="str">
        <f t="shared" si="79"/>
        <v>Q4</v>
      </c>
      <c r="Z716">
        <f t="shared" si="80"/>
        <v>2026</v>
      </c>
      <c r="AA716" t="str">
        <f t="shared" si="81"/>
        <v>Wednesday</v>
      </c>
      <c r="AB716">
        <f t="shared" si="82"/>
        <v>-54</v>
      </c>
      <c r="AC716" t="str">
        <f>IF(OR(D716="Heart Disease",D716="Cancer",D716="Stroke"),"High",IF(OR(D716="Diabetes",D716="Asthma"),"Medium","Low"))</f>
        <v>Low</v>
      </c>
      <c r="AD716" t="str">
        <f t="shared" si="83"/>
        <v>No</v>
      </c>
      <c r="AE716" t="str">
        <f>IF(G716&lt;=2,"Short Stay", IF(G716&lt;=7,"Normal Stay", "Long Stay"))</f>
        <v>Long Stay</v>
      </c>
      <c r="AF716" t="str">
        <f>IF(F716&gt;60000,"Expensive",IF(F716&gt;30000,"Moderate","Affordable"))</f>
        <v>Affordable</v>
      </c>
      <c r="AG716" t="str">
        <f>IF(J716&gt;=4.5,"Excellent",IF(J716&gt;=3.5,"Good",IF(J716&gt;=2.5,"Average","Poor")))</f>
        <v>Average</v>
      </c>
      <c r="AH716" t="str">
        <f>IF(OR(TEXT(N716,"dddd")="Saturday",TEXT(N716,"dddd")="Sunday"),"Weekend","Weekday")</f>
        <v>Weekday</v>
      </c>
    </row>
    <row r="717" spans="1:34" x14ac:dyDescent="0.3">
      <c r="A717">
        <v>728</v>
      </c>
      <c r="B717">
        <v>40</v>
      </c>
      <c r="C717" t="s">
        <v>35</v>
      </c>
      <c r="D717" t="s">
        <v>79</v>
      </c>
      <c r="E717" t="s">
        <v>80</v>
      </c>
      <c r="F717">
        <v>3000</v>
      </c>
      <c r="G717">
        <v>54</v>
      </c>
      <c r="H717" t="s">
        <v>24</v>
      </c>
      <c r="I717" t="s">
        <v>25</v>
      </c>
      <c r="J717">
        <v>4</v>
      </c>
      <c r="K717" t="s">
        <v>101</v>
      </c>
      <c r="L717" t="s">
        <v>1557</v>
      </c>
      <c r="M717" t="s">
        <v>1558</v>
      </c>
      <c r="N717" s="2">
        <v>46373</v>
      </c>
      <c r="O717" s="2">
        <v>46427</v>
      </c>
      <c r="P717" t="s">
        <v>43</v>
      </c>
      <c r="Q717" t="s">
        <v>44</v>
      </c>
      <c r="R717" t="s">
        <v>45</v>
      </c>
      <c r="S717" t="s">
        <v>72</v>
      </c>
      <c r="T717" t="s">
        <v>33</v>
      </c>
      <c r="U717" t="s">
        <v>104</v>
      </c>
      <c r="V717" t="str">
        <f>IF(B717&lt;=18,"Children",IF(B717&lt;=35,"Young adult",IF(B717&lt;=60,"Adult", "Senior Citizen")))</f>
        <v>Adult</v>
      </c>
      <c r="W717" t="str">
        <f t="shared" si="77"/>
        <v>Dec</v>
      </c>
      <c r="X717">
        <f t="shared" si="78"/>
        <v>12</v>
      </c>
      <c r="Y717" t="str">
        <f t="shared" si="79"/>
        <v>Q4</v>
      </c>
      <c r="Z717">
        <f t="shared" si="80"/>
        <v>2026</v>
      </c>
      <c r="AA717" t="str">
        <f t="shared" si="81"/>
        <v>Thursday</v>
      </c>
      <c r="AB717">
        <f t="shared" si="82"/>
        <v>-54</v>
      </c>
      <c r="AC717" t="str">
        <f>IF(OR(D717="Heart Disease",D717="Cancer",D717="Stroke"),"High",IF(OR(D717="Diabetes",D717="Asthma"),"Medium","Low"))</f>
        <v>Low</v>
      </c>
      <c r="AD717" t="str">
        <f t="shared" si="83"/>
        <v>No</v>
      </c>
      <c r="AE717" t="str">
        <f>IF(G717&lt;=2,"Short Stay", IF(G717&lt;=7,"Normal Stay", "Long Stay"))</f>
        <v>Long Stay</v>
      </c>
      <c r="AF717" t="str">
        <f>IF(F717&gt;60000,"Expensive",IF(F717&gt;30000,"Moderate","Affordable"))</f>
        <v>Affordable</v>
      </c>
      <c r="AG717" t="str">
        <f>IF(J717&gt;=4.5,"Excellent",IF(J717&gt;=3.5,"Good",IF(J717&gt;=2.5,"Average","Poor")))</f>
        <v>Good</v>
      </c>
      <c r="AH717" t="str">
        <f>IF(OR(TEXT(N717,"dddd")="Saturday",TEXT(N717,"dddd")="Sunday"),"Weekend","Weekday")</f>
        <v>Weekday</v>
      </c>
    </row>
    <row r="718" spans="1:34" x14ac:dyDescent="0.3">
      <c r="A718">
        <v>729</v>
      </c>
      <c r="B718">
        <v>78</v>
      </c>
      <c r="C718" t="s">
        <v>21</v>
      </c>
      <c r="D718" t="s">
        <v>85</v>
      </c>
      <c r="E718" t="s">
        <v>86</v>
      </c>
      <c r="F718">
        <v>18000</v>
      </c>
      <c r="G718">
        <v>56</v>
      </c>
      <c r="H718" t="s">
        <v>38</v>
      </c>
      <c r="I718" t="s">
        <v>39</v>
      </c>
      <c r="J718">
        <v>2</v>
      </c>
      <c r="K718" t="s">
        <v>96</v>
      </c>
      <c r="L718" t="s">
        <v>1559</v>
      </c>
      <c r="M718" t="s">
        <v>1560</v>
      </c>
      <c r="N718" s="2">
        <v>46374</v>
      </c>
      <c r="O718" s="2">
        <v>46430</v>
      </c>
      <c r="P718" t="s">
        <v>29</v>
      </c>
      <c r="Q718" t="s">
        <v>52</v>
      </c>
      <c r="R718" t="s">
        <v>45</v>
      </c>
      <c r="S718" t="s">
        <v>32</v>
      </c>
      <c r="T718" t="s">
        <v>33</v>
      </c>
      <c r="U718" t="s">
        <v>78</v>
      </c>
      <c r="V718" t="str">
        <f>IF(B718&lt;=18,"Children",IF(B718&lt;=35,"Young adult",IF(B718&lt;=60,"Adult", "Senior Citizen")))</f>
        <v>Senior Citizen</v>
      </c>
      <c r="W718" t="str">
        <f t="shared" si="77"/>
        <v>Dec</v>
      </c>
      <c r="X718">
        <f t="shared" si="78"/>
        <v>12</v>
      </c>
      <c r="Y718" t="str">
        <f t="shared" si="79"/>
        <v>Q4</v>
      </c>
      <c r="Z718">
        <f t="shared" si="80"/>
        <v>2026</v>
      </c>
      <c r="AA718" t="str">
        <f t="shared" si="81"/>
        <v>Friday</v>
      </c>
      <c r="AB718">
        <f t="shared" si="82"/>
        <v>-56</v>
      </c>
      <c r="AC718" t="str">
        <f>IF(OR(D718="Heart Disease",D718="Cancer",D718="Stroke"),"High",IF(OR(D718="Diabetes",D718="Asthma"),"Medium","Low"))</f>
        <v>Low</v>
      </c>
      <c r="AD718" t="str">
        <f t="shared" si="83"/>
        <v>No</v>
      </c>
      <c r="AE718" t="str">
        <f>IF(G718&lt;=2,"Short Stay", IF(G718&lt;=7,"Normal Stay", "Long Stay"))</f>
        <v>Long Stay</v>
      </c>
      <c r="AF718" t="str">
        <f>IF(F718&gt;60000,"Expensive",IF(F718&gt;30000,"Moderate","Affordable"))</f>
        <v>Affordable</v>
      </c>
      <c r="AG718" t="str">
        <f>IF(J718&gt;=4.5,"Excellent",IF(J718&gt;=3.5,"Good",IF(J718&gt;=2.5,"Average","Poor")))</f>
        <v>Poor</v>
      </c>
      <c r="AH718" t="str">
        <f>IF(OR(TEXT(N718,"dddd")="Saturday",TEXT(N718,"dddd")="Sunday"),"Weekend","Weekday")</f>
        <v>Weekday</v>
      </c>
    </row>
    <row r="719" spans="1:34" x14ac:dyDescent="0.3">
      <c r="A719">
        <v>730</v>
      </c>
      <c r="B719">
        <v>25</v>
      </c>
      <c r="C719" t="s">
        <v>35</v>
      </c>
      <c r="D719" t="s">
        <v>89</v>
      </c>
      <c r="E719" t="s">
        <v>90</v>
      </c>
      <c r="F719">
        <v>100</v>
      </c>
      <c r="G719">
        <v>49</v>
      </c>
      <c r="H719" t="s">
        <v>24</v>
      </c>
      <c r="I719" t="s">
        <v>25</v>
      </c>
      <c r="J719">
        <v>5</v>
      </c>
      <c r="K719" t="s">
        <v>336</v>
      </c>
      <c r="L719" t="s">
        <v>1561</v>
      </c>
      <c r="M719" t="s">
        <v>1562</v>
      </c>
      <c r="N719" s="2">
        <v>46375</v>
      </c>
      <c r="O719" s="2">
        <v>46424</v>
      </c>
      <c r="P719" t="s">
        <v>29</v>
      </c>
      <c r="Q719" t="s">
        <v>71</v>
      </c>
      <c r="R719" t="s">
        <v>45</v>
      </c>
      <c r="S719" t="s">
        <v>77</v>
      </c>
      <c r="T719" t="s">
        <v>33</v>
      </c>
      <c r="U719" t="s">
        <v>104</v>
      </c>
      <c r="V719" t="str">
        <f>IF(B719&lt;=18,"Children",IF(B719&lt;=35,"Young adult",IF(B719&lt;=60,"Adult", "Senior Citizen")))</f>
        <v>Young adult</v>
      </c>
      <c r="W719" t="str">
        <f t="shared" si="77"/>
        <v>Dec</v>
      </c>
      <c r="X719">
        <f t="shared" si="78"/>
        <v>12</v>
      </c>
      <c r="Y719" t="str">
        <f t="shared" si="79"/>
        <v>Q4</v>
      </c>
      <c r="Z719">
        <f t="shared" si="80"/>
        <v>2026</v>
      </c>
      <c r="AA719" t="str">
        <f t="shared" si="81"/>
        <v>Saturday</v>
      </c>
      <c r="AB719">
        <f t="shared" si="82"/>
        <v>-49</v>
      </c>
      <c r="AC719" t="str">
        <f>IF(OR(D719="Heart Disease",D719="Cancer",D719="Stroke"),"High",IF(OR(D719="Diabetes",D719="Asthma"),"Medium","Low"))</f>
        <v>Low</v>
      </c>
      <c r="AD719" t="str">
        <f t="shared" si="83"/>
        <v>No</v>
      </c>
      <c r="AE719" t="str">
        <f>IF(G719&lt;=2,"Short Stay", IF(G719&lt;=7,"Normal Stay", "Long Stay"))</f>
        <v>Long Stay</v>
      </c>
      <c r="AF719" t="str">
        <f>IF(F719&gt;60000,"Expensive",IF(F719&gt;30000,"Moderate","Affordable"))</f>
        <v>Affordable</v>
      </c>
      <c r="AG719" t="str">
        <f>IF(J719&gt;=4.5,"Excellent",IF(J719&gt;=3.5,"Good",IF(J719&gt;=2.5,"Average","Poor")))</f>
        <v>Excellent</v>
      </c>
      <c r="AH719" t="str">
        <f>IF(OR(TEXT(N719,"dddd")="Saturday",TEXT(N719,"dddd")="Sunday"),"Weekend","Weekday")</f>
        <v>Weekend</v>
      </c>
    </row>
    <row r="720" spans="1:34" x14ac:dyDescent="0.3">
      <c r="A720">
        <v>731</v>
      </c>
      <c r="B720">
        <v>52</v>
      </c>
      <c r="C720" t="s">
        <v>21</v>
      </c>
      <c r="D720" t="s">
        <v>94</v>
      </c>
      <c r="E720" t="s">
        <v>95</v>
      </c>
      <c r="F720">
        <v>800</v>
      </c>
      <c r="G720">
        <v>50</v>
      </c>
      <c r="H720" t="s">
        <v>24</v>
      </c>
      <c r="I720" t="s">
        <v>39</v>
      </c>
      <c r="J720">
        <v>4</v>
      </c>
      <c r="K720" t="s">
        <v>149</v>
      </c>
      <c r="L720" t="s">
        <v>1563</v>
      </c>
      <c r="M720" t="s">
        <v>1564</v>
      </c>
      <c r="N720" s="2">
        <v>46376</v>
      </c>
      <c r="O720" s="2">
        <v>46426</v>
      </c>
      <c r="P720" t="s">
        <v>43</v>
      </c>
      <c r="Q720" t="s">
        <v>139</v>
      </c>
      <c r="R720" t="s">
        <v>45</v>
      </c>
      <c r="S720" t="s">
        <v>72</v>
      </c>
      <c r="T720" t="s">
        <v>33</v>
      </c>
      <c r="U720" t="s">
        <v>34</v>
      </c>
      <c r="V720" t="str">
        <f>IF(B720&lt;=18,"Children",IF(B720&lt;=35,"Young adult",IF(B720&lt;=60,"Adult", "Senior Citizen")))</f>
        <v>Adult</v>
      </c>
      <c r="W720" t="str">
        <f t="shared" si="77"/>
        <v>Dec</v>
      </c>
      <c r="X720">
        <f t="shared" si="78"/>
        <v>12</v>
      </c>
      <c r="Y720" t="str">
        <f t="shared" si="79"/>
        <v>Q4</v>
      </c>
      <c r="Z720">
        <f t="shared" si="80"/>
        <v>2026</v>
      </c>
      <c r="AA720" t="str">
        <f t="shared" si="81"/>
        <v>Sunday</v>
      </c>
      <c r="AB720">
        <f t="shared" si="82"/>
        <v>-50</v>
      </c>
      <c r="AC720" t="str">
        <f>IF(OR(D720="Heart Disease",D720="Cancer",D720="Stroke"),"High",IF(OR(D720="Diabetes",D720="Asthma"),"Medium","Low"))</f>
        <v>Low</v>
      </c>
      <c r="AD720" t="str">
        <f t="shared" si="83"/>
        <v>No</v>
      </c>
      <c r="AE720" t="str">
        <f>IF(G720&lt;=2,"Short Stay", IF(G720&lt;=7,"Normal Stay", "Long Stay"))</f>
        <v>Long Stay</v>
      </c>
      <c r="AF720" t="str">
        <f>IF(F720&gt;60000,"Expensive",IF(F720&gt;30000,"Moderate","Affordable"))</f>
        <v>Affordable</v>
      </c>
      <c r="AG720" t="str">
        <f>IF(J720&gt;=4.5,"Excellent",IF(J720&gt;=3.5,"Good",IF(J720&gt;=2.5,"Average","Poor")))</f>
        <v>Good</v>
      </c>
      <c r="AH720" t="str">
        <f>IF(OR(TEXT(N720,"dddd")="Saturday",TEXT(N720,"dddd")="Sunday"),"Weekend","Weekday")</f>
        <v>Weekend</v>
      </c>
    </row>
    <row r="721" spans="1:34" x14ac:dyDescent="0.3">
      <c r="A721">
        <v>732</v>
      </c>
      <c r="B721">
        <v>58</v>
      </c>
      <c r="C721" t="s">
        <v>35</v>
      </c>
      <c r="D721" t="s">
        <v>99</v>
      </c>
      <c r="E721" t="s">
        <v>100</v>
      </c>
      <c r="F721">
        <v>20000</v>
      </c>
      <c r="G721">
        <v>57</v>
      </c>
      <c r="H721" t="s">
        <v>24</v>
      </c>
      <c r="I721" t="s">
        <v>25</v>
      </c>
      <c r="J721">
        <v>3</v>
      </c>
      <c r="K721" t="s">
        <v>154</v>
      </c>
      <c r="L721" t="s">
        <v>1565</v>
      </c>
      <c r="M721" t="s">
        <v>1566</v>
      </c>
      <c r="N721" s="2">
        <v>46377</v>
      </c>
      <c r="O721" s="2">
        <v>46434</v>
      </c>
      <c r="P721" t="s">
        <v>43</v>
      </c>
      <c r="Q721" t="s">
        <v>71</v>
      </c>
      <c r="R721" t="s">
        <v>45</v>
      </c>
      <c r="S721" t="s">
        <v>53</v>
      </c>
      <c r="T721" t="s">
        <v>33</v>
      </c>
      <c r="U721" t="s">
        <v>104</v>
      </c>
      <c r="V721" t="str">
        <f>IF(B721&lt;=18,"Children",IF(B721&lt;=35,"Young adult",IF(B721&lt;=60,"Adult", "Senior Citizen")))</f>
        <v>Adult</v>
      </c>
      <c r="W721" t="str">
        <f t="shared" si="77"/>
        <v>Dec</v>
      </c>
      <c r="X721">
        <f t="shared" si="78"/>
        <v>12</v>
      </c>
      <c r="Y721" t="str">
        <f t="shared" si="79"/>
        <v>Q4</v>
      </c>
      <c r="Z721">
        <f t="shared" si="80"/>
        <v>2026</v>
      </c>
      <c r="AA721" t="str">
        <f t="shared" si="81"/>
        <v>Monday</v>
      </c>
      <c r="AB721">
        <f t="shared" si="82"/>
        <v>-57</v>
      </c>
      <c r="AC721" t="str">
        <f>IF(OR(D721="Heart Disease",D721="Cancer",D721="Stroke"),"High",IF(OR(D721="Diabetes",D721="Asthma"),"Medium","Low"))</f>
        <v>Low</v>
      </c>
      <c r="AD721" t="str">
        <f t="shared" si="83"/>
        <v>No</v>
      </c>
      <c r="AE721" t="str">
        <f>IF(G721&lt;=2,"Short Stay", IF(G721&lt;=7,"Normal Stay", "Long Stay"))</f>
        <v>Long Stay</v>
      </c>
      <c r="AF721" t="str">
        <f>IF(F721&gt;60000,"Expensive",IF(F721&gt;30000,"Moderate","Affordable"))</f>
        <v>Affordable</v>
      </c>
      <c r="AG721" t="str">
        <f>IF(J721&gt;=4.5,"Excellent",IF(J721&gt;=3.5,"Good",IF(J721&gt;=2.5,"Average","Poor")))</f>
        <v>Average</v>
      </c>
      <c r="AH721" t="str">
        <f>IF(OR(TEXT(N721,"dddd")="Saturday",TEXT(N721,"dddd")="Sunday"),"Weekend","Weekday")</f>
        <v>Weekday</v>
      </c>
    </row>
    <row r="722" spans="1:34" x14ac:dyDescent="0.3">
      <c r="A722">
        <v>733</v>
      </c>
      <c r="B722">
        <v>32</v>
      </c>
      <c r="C722" t="s">
        <v>21</v>
      </c>
      <c r="D722" t="s">
        <v>105</v>
      </c>
      <c r="E722" t="s">
        <v>106</v>
      </c>
      <c r="F722">
        <v>12000</v>
      </c>
      <c r="G722">
        <v>51</v>
      </c>
      <c r="H722" t="s">
        <v>24</v>
      </c>
      <c r="I722" t="s">
        <v>25</v>
      </c>
      <c r="J722">
        <v>4</v>
      </c>
      <c r="K722" t="s">
        <v>101</v>
      </c>
      <c r="L722" t="s">
        <v>1567</v>
      </c>
      <c r="M722" t="s">
        <v>1568</v>
      </c>
      <c r="N722" s="2">
        <v>46378</v>
      </c>
      <c r="O722" s="2">
        <v>46429</v>
      </c>
      <c r="P722" t="s">
        <v>43</v>
      </c>
      <c r="Q722" t="s">
        <v>71</v>
      </c>
      <c r="R722" t="s">
        <v>45</v>
      </c>
      <c r="S722" t="s">
        <v>110</v>
      </c>
      <c r="T722" t="s">
        <v>33</v>
      </c>
      <c r="U722" t="s">
        <v>78</v>
      </c>
      <c r="V722" t="str">
        <f>IF(B722&lt;=18,"Children",IF(B722&lt;=35,"Young adult",IF(B722&lt;=60,"Adult", "Senior Citizen")))</f>
        <v>Young adult</v>
      </c>
      <c r="W722" t="str">
        <f t="shared" si="77"/>
        <v>Dec</v>
      </c>
      <c r="X722">
        <f t="shared" si="78"/>
        <v>12</v>
      </c>
      <c r="Y722" t="str">
        <f t="shared" si="79"/>
        <v>Q4</v>
      </c>
      <c r="Z722">
        <f t="shared" si="80"/>
        <v>2026</v>
      </c>
      <c r="AA722" t="str">
        <f t="shared" si="81"/>
        <v>Tuesday</v>
      </c>
      <c r="AB722">
        <f t="shared" si="82"/>
        <v>-51</v>
      </c>
      <c r="AC722" t="str">
        <f>IF(OR(D722="Heart Disease",D722="Cancer",D722="Stroke"),"High",IF(OR(D722="Diabetes",D722="Asthma"),"Medium","Low"))</f>
        <v>Low</v>
      </c>
      <c r="AD722" t="str">
        <f t="shared" si="83"/>
        <v>No</v>
      </c>
      <c r="AE722" t="str">
        <f>IF(G722&lt;=2,"Short Stay", IF(G722&lt;=7,"Normal Stay", "Long Stay"))</f>
        <v>Long Stay</v>
      </c>
      <c r="AF722" t="str">
        <f>IF(F722&gt;60000,"Expensive",IF(F722&gt;30000,"Moderate","Affordable"))</f>
        <v>Affordable</v>
      </c>
      <c r="AG722" t="str">
        <f>IF(J722&gt;=4.5,"Excellent",IF(J722&gt;=3.5,"Good",IF(J722&gt;=2.5,"Average","Poor")))</f>
        <v>Good</v>
      </c>
      <c r="AH722" t="str">
        <f>IF(OR(TEXT(N722,"dddd")="Saturday",TEXT(N722,"dddd")="Sunday"),"Weekend","Weekday")</f>
        <v>Weekday</v>
      </c>
    </row>
    <row r="723" spans="1:34" x14ac:dyDescent="0.3">
      <c r="A723">
        <v>734</v>
      </c>
      <c r="B723">
        <v>55</v>
      </c>
      <c r="C723" t="s">
        <v>35</v>
      </c>
      <c r="D723" t="s">
        <v>111</v>
      </c>
      <c r="E723" t="s">
        <v>112</v>
      </c>
      <c r="F723">
        <v>6000</v>
      </c>
      <c r="G723">
        <v>52</v>
      </c>
      <c r="H723" t="s">
        <v>24</v>
      </c>
      <c r="I723" t="s">
        <v>25</v>
      </c>
      <c r="J723">
        <v>3</v>
      </c>
      <c r="K723" t="s">
        <v>160</v>
      </c>
      <c r="L723" t="s">
        <v>1569</v>
      </c>
      <c r="M723" t="s">
        <v>1570</v>
      </c>
      <c r="N723" s="2">
        <v>46379</v>
      </c>
      <c r="O723" s="2">
        <v>46431</v>
      </c>
      <c r="P723" t="s">
        <v>43</v>
      </c>
      <c r="Q723" t="s">
        <v>71</v>
      </c>
      <c r="R723" t="s">
        <v>45</v>
      </c>
      <c r="S723" t="s">
        <v>84</v>
      </c>
      <c r="T723" t="s">
        <v>33</v>
      </c>
      <c r="U723" t="s">
        <v>78</v>
      </c>
      <c r="V723" t="str">
        <f>IF(B723&lt;=18,"Children",IF(B723&lt;=35,"Young adult",IF(B723&lt;=60,"Adult", "Senior Citizen")))</f>
        <v>Adult</v>
      </c>
      <c r="W723" t="str">
        <f t="shared" si="77"/>
        <v>Dec</v>
      </c>
      <c r="X723">
        <f t="shared" si="78"/>
        <v>12</v>
      </c>
      <c r="Y723" t="str">
        <f t="shared" si="79"/>
        <v>Q4</v>
      </c>
      <c r="Z723">
        <f t="shared" si="80"/>
        <v>2026</v>
      </c>
      <c r="AA723" t="str">
        <f t="shared" si="81"/>
        <v>Wednesday</v>
      </c>
      <c r="AB723">
        <f t="shared" si="82"/>
        <v>-52</v>
      </c>
      <c r="AC723" t="str">
        <f>IF(OR(D723="Heart Disease",D723="Cancer",D723="Stroke"),"High",IF(OR(D723="Diabetes",D723="Asthma"),"Medium","Low"))</f>
        <v>Low</v>
      </c>
      <c r="AD723" t="str">
        <f t="shared" si="83"/>
        <v>No</v>
      </c>
      <c r="AE723" t="str">
        <f>IF(G723&lt;=2,"Short Stay", IF(G723&lt;=7,"Normal Stay", "Long Stay"))</f>
        <v>Long Stay</v>
      </c>
      <c r="AF723" t="str">
        <f>IF(F723&gt;60000,"Expensive",IF(F723&gt;30000,"Moderate","Affordable"))</f>
        <v>Affordable</v>
      </c>
      <c r="AG723" t="str">
        <f>IF(J723&gt;=4.5,"Excellent",IF(J723&gt;=3.5,"Good",IF(J723&gt;=2.5,"Average","Poor")))</f>
        <v>Average</v>
      </c>
      <c r="AH723" t="str">
        <f>IF(OR(TEXT(N723,"dddd")="Saturday",TEXT(N723,"dddd")="Sunday"),"Weekend","Weekday")</f>
        <v>Weekday</v>
      </c>
    </row>
    <row r="724" spans="1:34" x14ac:dyDescent="0.3">
      <c r="A724">
        <v>735</v>
      </c>
      <c r="B724">
        <v>65</v>
      </c>
      <c r="C724" t="s">
        <v>21</v>
      </c>
      <c r="D724" t="s">
        <v>116</v>
      </c>
      <c r="E724" t="s">
        <v>117</v>
      </c>
      <c r="F724">
        <v>4000</v>
      </c>
      <c r="G724">
        <v>53</v>
      </c>
      <c r="H724" t="s">
        <v>24</v>
      </c>
      <c r="I724" t="s">
        <v>39</v>
      </c>
      <c r="J724">
        <v>4</v>
      </c>
      <c r="K724" t="s">
        <v>223</v>
      </c>
      <c r="L724" t="s">
        <v>1571</v>
      </c>
      <c r="M724" t="s">
        <v>1572</v>
      </c>
      <c r="N724" s="2">
        <v>46380</v>
      </c>
      <c r="O724" s="2">
        <v>46433</v>
      </c>
      <c r="P724" t="s">
        <v>29</v>
      </c>
      <c r="Q724" t="s">
        <v>52</v>
      </c>
      <c r="R724" t="s">
        <v>45</v>
      </c>
      <c r="S724" t="s">
        <v>32</v>
      </c>
      <c r="T724" t="s">
        <v>33</v>
      </c>
      <c r="U724" t="s">
        <v>78</v>
      </c>
      <c r="V724" t="str">
        <f>IF(B724&lt;=18,"Children",IF(B724&lt;=35,"Young adult",IF(B724&lt;=60,"Adult", "Senior Citizen")))</f>
        <v>Senior Citizen</v>
      </c>
      <c r="W724" t="str">
        <f t="shared" si="77"/>
        <v>Dec</v>
      </c>
      <c r="X724">
        <f t="shared" si="78"/>
        <v>12</v>
      </c>
      <c r="Y724" t="str">
        <f t="shared" si="79"/>
        <v>Q4</v>
      </c>
      <c r="Z724">
        <f t="shared" si="80"/>
        <v>2026</v>
      </c>
      <c r="AA724" t="str">
        <f t="shared" si="81"/>
        <v>Thursday</v>
      </c>
      <c r="AB724">
        <f t="shared" si="82"/>
        <v>-53</v>
      </c>
      <c r="AC724" t="str">
        <f>IF(OR(D724="Heart Disease",D724="Cancer",D724="Stroke"),"High",IF(OR(D724="Diabetes",D724="Asthma"),"Medium","Low"))</f>
        <v>Low</v>
      </c>
      <c r="AD724" t="str">
        <f t="shared" si="83"/>
        <v>No</v>
      </c>
      <c r="AE724" t="str">
        <f>IF(G724&lt;=2,"Short Stay", IF(G724&lt;=7,"Normal Stay", "Long Stay"))</f>
        <v>Long Stay</v>
      </c>
      <c r="AF724" t="str">
        <f>IF(F724&gt;60000,"Expensive",IF(F724&gt;30000,"Moderate","Affordable"))</f>
        <v>Affordable</v>
      </c>
      <c r="AG724" t="str">
        <f>IF(J724&gt;=4.5,"Excellent",IF(J724&gt;=3.5,"Good",IF(J724&gt;=2.5,"Average","Poor")))</f>
        <v>Good</v>
      </c>
      <c r="AH724" t="str">
        <f>IF(OR(TEXT(N724,"dddd")="Saturday",TEXT(N724,"dddd")="Sunday"),"Weekend","Weekday")</f>
        <v>Weekday</v>
      </c>
    </row>
    <row r="725" spans="1:34" x14ac:dyDescent="0.3">
      <c r="A725">
        <v>736</v>
      </c>
      <c r="B725">
        <v>55</v>
      </c>
      <c r="C725" t="s">
        <v>21</v>
      </c>
      <c r="D725" t="s">
        <v>22</v>
      </c>
      <c r="E725" t="s">
        <v>23</v>
      </c>
      <c r="F725">
        <v>15000</v>
      </c>
      <c r="G725">
        <v>54</v>
      </c>
      <c r="H725" t="s">
        <v>38</v>
      </c>
      <c r="I725" t="s">
        <v>25</v>
      </c>
      <c r="J725">
        <v>3</v>
      </c>
      <c r="K725" t="s">
        <v>317</v>
      </c>
      <c r="L725" t="s">
        <v>1573</v>
      </c>
      <c r="M725" t="s">
        <v>1574</v>
      </c>
      <c r="N725" s="2">
        <v>46381</v>
      </c>
      <c r="O725" s="2">
        <v>46435</v>
      </c>
      <c r="P725" t="s">
        <v>43</v>
      </c>
      <c r="Q725" t="s">
        <v>44</v>
      </c>
      <c r="R725" t="s">
        <v>31</v>
      </c>
      <c r="S725" t="s">
        <v>72</v>
      </c>
      <c r="T725" t="s">
        <v>33</v>
      </c>
      <c r="U725" t="s">
        <v>104</v>
      </c>
      <c r="V725" t="str">
        <f>IF(B725&lt;=18,"Children",IF(B725&lt;=35,"Young adult",IF(B725&lt;=60,"Adult", "Senior Citizen")))</f>
        <v>Adult</v>
      </c>
      <c r="W725" t="str">
        <f t="shared" si="77"/>
        <v>Dec</v>
      </c>
      <c r="X725">
        <f t="shared" si="78"/>
        <v>12</v>
      </c>
      <c r="Y725" t="str">
        <f t="shared" si="79"/>
        <v>Q4</v>
      </c>
      <c r="Z725">
        <f t="shared" si="80"/>
        <v>2026</v>
      </c>
      <c r="AA725" t="str">
        <f t="shared" si="81"/>
        <v>Friday</v>
      </c>
      <c r="AB725">
        <f t="shared" si="82"/>
        <v>-54</v>
      </c>
      <c r="AC725" t="str">
        <f>IF(OR(D725="Heart Disease",D725="Cancer",D725="Stroke"),"High",IF(OR(D725="Diabetes",D725="Asthma"),"Medium","Low"))</f>
        <v>High</v>
      </c>
      <c r="AD725" t="str">
        <f t="shared" si="83"/>
        <v>Yes</v>
      </c>
      <c r="AE725" t="str">
        <f>IF(G725&lt;=2,"Short Stay", IF(G725&lt;=7,"Normal Stay", "Long Stay"))</f>
        <v>Long Stay</v>
      </c>
      <c r="AF725" t="str">
        <f>IF(F725&gt;60000,"Expensive",IF(F725&gt;30000,"Moderate","Affordable"))</f>
        <v>Affordable</v>
      </c>
      <c r="AG725" t="str">
        <f>IF(J725&gt;=4.5,"Excellent",IF(J725&gt;=3.5,"Good",IF(J725&gt;=2.5,"Average","Poor")))</f>
        <v>Average</v>
      </c>
      <c r="AH725" t="str">
        <f>IF(OR(TEXT(N725,"dddd")="Saturday",TEXT(N725,"dddd")="Sunday"),"Weekend","Weekday")</f>
        <v>Weekday</v>
      </c>
    </row>
    <row r="726" spans="1:34" x14ac:dyDescent="0.3">
      <c r="A726">
        <v>737</v>
      </c>
      <c r="B726">
        <v>62</v>
      </c>
      <c r="C726" t="s">
        <v>35</v>
      </c>
      <c r="D726" t="s">
        <v>36</v>
      </c>
      <c r="E726" t="s">
        <v>37</v>
      </c>
      <c r="F726">
        <v>2000</v>
      </c>
      <c r="G726">
        <v>52</v>
      </c>
      <c r="H726" t="s">
        <v>24</v>
      </c>
      <c r="I726" t="s">
        <v>39</v>
      </c>
      <c r="J726">
        <v>4</v>
      </c>
      <c r="K726" t="s">
        <v>345</v>
      </c>
      <c r="L726" t="s">
        <v>1575</v>
      </c>
      <c r="M726" t="s">
        <v>1576</v>
      </c>
      <c r="N726" s="2">
        <v>46382</v>
      </c>
      <c r="O726" s="2">
        <v>46434</v>
      </c>
      <c r="P726" t="s">
        <v>43</v>
      </c>
      <c r="Q726" t="s">
        <v>139</v>
      </c>
      <c r="R726" t="s">
        <v>45</v>
      </c>
      <c r="S726" t="s">
        <v>77</v>
      </c>
      <c r="T726" t="s">
        <v>33</v>
      </c>
      <c r="U726" t="s">
        <v>34</v>
      </c>
      <c r="V726" t="str">
        <f>IF(B726&lt;=18,"Children",IF(B726&lt;=35,"Young adult",IF(B726&lt;=60,"Adult", "Senior Citizen")))</f>
        <v>Senior Citizen</v>
      </c>
      <c r="W726" t="str">
        <f t="shared" si="77"/>
        <v>Dec</v>
      </c>
      <c r="X726">
        <f t="shared" si="78"/>
        <v>12</v>
      </c>
      <c r="Y726" t="str">
        <f t="shared" si="79"/>
        <v>Q4</v>
      </c>
      <c r="Z726">
        <f t="shared" si="80"/>
        <v>2026</v>
      </c>
      <c r="AA726" t="str">
        <f t="shared" si="81"/>
        <v>Saturday</v>
      </c>
      <c r="AB726">
        <f t="shared" si="82"/>
        <v>-52</v>
      </c>
      <c r="AC726" t="str">
        <f>IF(OR(D726="Heart Disease",D726="Cancer",D726="Stroke"),"High",IF(OR(D726="Diabetes",D726="Asthma"),"Medium","Low"))</f>
        <v>Medium</v>
      </c>
      <c r="AD726" t="str">
        <f t="shared" si="83"/>
        <v>No</v>
      </c>
      <c r="AE726" t="str">
        <f>IF(G726&lt;=2,"Short Stay", IF(G726&lt;=7,"Normal Stay", "Long Stay"))</f>
        <v>Long Stay</v>
      </c>
      <c r="AF726" t="str">
        <f>IF(F726&gt;60000,"Expensive",IF(F726&gt;30000,"Moderate","Affordable"))</f>
        <v>Affordable</v>
      </c>
      <c r="AG726" t="str">
        <f>IF(J726&gt;=4.5,"Excellent",IF(J726&gt;=3.5,"Good",IF(J726&gt;=2.5,"Average","Poor")))</f>
        <v>Good</v>
      </c>
      <c r="AH726" t="str">
        <f>IF(OR(TEXT(N726,"dddd")="Saturday",TEXT(N726,"dddd")="Sunday"),"Weekend","Weekday")</f>
        <v>Weekend</v>
      </c>
    </row>
    <row r="727" spans="1:34" x14ac:dyDescent="0.3">
      <c r="A727">
        <v>738</v>
      </c>
      <c r="B727">
        <v>35</v>
      </c>
      <c r="C727" t="s">
        <v>21</v>
      </c>
      <c r="D727" t="s">
        <v>47</v>
      </c>
      <c r="E727" t="s">
        <v>48</v>
      </c>
      <c r="F727">
        <v>500</v>
      </c>
      <c r="G727">
        <v>50</v>
      </c>
      <c r="H727" t="s">
        <v>38</v>
      </c>
      <c r="I727" t="s">
        <v>25</v>
      </c>
      <c r="J727">
        <v>5</v>
      </c>
      <c r="K727" t="s">
        <v>215</v>
      </c>
      <c r="L727" t="s">
        <v>1577</v>
      </c>
      <c r="M727" t="s">
        <v>1578</v>
      </c>
      <c r="N727" s="2">
        <v>46383</v>
      </c>
      <c r="O727" s="2">
        <v>46433</v>
      </c>
      <c r="P727" t="s">
        <v>29</v>
      </c>
      <c r="Q727" t="s">
        <v>139</v>
      </c>
      <c r="R727" t="s">
        <v>45</v>
      </c>
      <c r="S727" t="s">
        <v>110</v>
      </c>
      <c r="T727" t="s">
        <v>33</v>
      </c>
      <c r="U727" t="s">
        <v>78</v>
      </c>
      <c r="V727" t="str">
        <f>IF(B727&lt;=18,"Children",IF(B727&lt;=35,"Young adult",IF(B727&lt;=60,"Adult", "Senior Citizen")))</f>
        <v>Young adult</v>
      </c>
      <c r="W727" t="str">
        <f t="shared" si="77"/>
        <v>Dec</v>
      </c>
      <c r="X727">
        <f t="shared" si="78"/>
        <v>12</v>
      </c>
      <c r="Y727" t="str">
        <f t="shared" si="79"/>
        <v>Q4</v>
      </c>
      <c r="Z727">
        <f t="shared" si="80"/>
        <v>2026</v>
      </c>
      <c r="AA727" t="str">
        <f t="shared" si="81"/>
        <v>Sunday</v>
      </c>
      <c r="AB727">
        <f t="shared" si="82"/>
        <v>-50</v>
      </c>
      <c r="AC727" t="str">
        <f>IF(OR(D727="Heart Disease",D727="Cancer",D727="Stroke"),"High",IF(OR(D727="Diabetes",D727="Asthma"),"Medium","Low"))</f>
        <v>Low</v>
      </c>
      <c r="AD727" t="str">
        <f t="shared" si="83"/>
        <v>No</v>
      </c>
      <c r="AE727" t="str">
        <f>IF(G727&lt;=2,"Short Stay", IF(G727&lt;=7,"Normal Stay", "Long Stay"))</f>
        <v>Long Stay</v>
      </c>
      <c r="AF727" t="str">
        <f>IF(F727&gt;60000,"Expensive",IF(F727&gt;30000,"Moderate","Affordable"))</f>
        <v>Affordable</v>
      </c>
      <c r="AG727" t="str">
        <f>IF(J727&gt;=4.5,"Excellent",IF(J727&gt;=3.5,"Good",IF(J727&gt;=2.5,"Average","Poor")))</f>
        <v>Excellent</v>
      </c>
      <c r="AH727" t="str">
        <f>IF(OR(TEXT(N727,"dddd")="Saturday",TEXT(N727,"dddd")="Sunday"),"Weekend","Weekday")</f>
        <v>Weekend</v>
      </c>
    </row>
    <row r="728" spans="1:34" x14ac:dyDescent="0.3">
      <c r="A728">
        <v>739</v>
      </c>
      <c r="B728">
        <v>78</v>
      </c>
      <c r="C728" t="s">
        <v>35</v>
      </c>
      <c r="D728" t="s">
        <v>54</v>
      </c>
      <c r="E728" t="s">
        <v>55</v>
      </c>
      <c r="F728">
        <v>10000</v>
      </c>
      <c r="G728">
        <v>57</v>
      </c>
      <c r="H728" t="s">
        <v>24</v>
      </c>
      <c r="I728" t="s">
        <v>39</v>
      </c>
      <c r="J728">
        <v>2</v>
      </c>
      <c r="K728" t="s">
        <v>113</v>
      </c>
      <c r="L728" t="s">
        <v>1579</v>
      </c>
      <c r="M728" t="s">
        <v>1580</v>
      </c>
      <c r="N728" s="2">
        <v>46384</v>
      </c>
      <c r="O728" s="2">
        <v>46441</v>
      </c>
      <c r="P728" t="s">
        <v>29</v>
      </c>
      <c r="Q728" t="s">
        <v>44</v>
      </c>
      <c r="R728" t="s">
        <v>59</v>
      </c>
      <c r="S728" t="s">
        <v>32</v>
      </c>
      <c r="T728" t="s">
        <v>33</v>
      </c>
      <c r="U728" t="s">
        <v>104</v>
      </c>
      <c r="V728" t="str">
        <f>IF(B728&lt;=18,"Children",IF(B728&lt;=35,"Young adult",IF(B728&lt;=60,"Adult", "Senior Citizen")))</f>
        <v>Senior Citizen</v>
      </c>
      <c r="W728" t="str">
        <f t="shared" si="77"/>
        <v>Dec</v>
      </c>
      <c r="X728">
        <f t="shared" si="78"/>
        <v>12</v>
      </c>
      <c r="Y728" t="str">
        <f t="shared" si="79"/>
        <v>Q4</v>
      </c>
      <c r="Z728">
        <f t="shared" si="80"/>
        <v>2026</v>
      </c>
      <c r="AA728" t="str">
        <f t="shared" si="81"/>
        <v>Monday</v>
      </c>
      <c r="AB728">
        <f t="shared" si="82"/>
        <v>-57</v>
      </c>
      <c r="AC728" t="str">
        <f>IF(OR(D728="Heart Disease",D728="Cancer",D728="Stroke"),"High",IF(OR(D728="Diabetes",D728="Asthma"),"Medium","Low"))</f>
        <v>High</v>
      </c>
      <c r="AD728" t="str">
        <f t="shared" si="83"/>
        <v>Yes</v>
      </c>
      <c r="AE728" t="str">
        <f>IF(G728&lt;=2,"Short Stay", IF(G728&lt;=7,"Normal Stay", "Long Stay"))</f>
        <v>Long Stay</v>
      </c>
      <c r="AF728" t="str">
        <f>IF(F728&gt;60000,"Expensive",IF(F728&gt;30000,"Moderate","Affordable"))</f>
        <v>Affordable</v>
      </c>
      <c r="AG728" t="str">
        <f>IF(J728&gt;=4.5,"Excellent",IF(J728&gt;=3.5,"Good",IF(J728&gt;=2.5,"Average","Poor")))</f>
        <v>Poor</v>
      </c>
      <c r="AH728" t="str">
        <f>IF(OR(TEXT(N728,"dddd")="Saturday",TEXT(N728,"dddd")="Sunday"),"Weekend","Weekday")</f>
        <v>Weekday</v>
      </c>
    </row>
    <row r="729" spans="1:34" x14ac:dyDescent="0.3">
      <c r="A729">
        <v>740</v>
      </c>
      <c r="B729">
        <v>53</v>
      </c>
      <c r="C729" t="s">
        <v>21</v>
      </c>
      <c r="D729" t="s">
        <v>60</v>
      </c>
      <c r="E729" t="s">
        <v>61</v>
      </c>
      <c r="F729">
        <v>25000</v>
      </c>
      <c r="G729">
        <v>59</v>
      </c>
      <c r="H729" t="s">
        <v>38</v>
      </c>
      <c r="I729" t="s">
        <v>25</v>
      </c>
      <c r="J729">
        <v>4</v>
      </c>
      <c r="K729" t="s">
        <v>113</v>
      </c>
      <c r="L729" t="s">
        <v>1581</v>
      </c>
      <c r="M729" t="s">
        <v>1582</v>
      </c>
      <c r="N729" s="2">
        <v>46385</v>
      </c>
      <c r="O729" s="2">
        <v>46444</v>
      </c>
      <c r="P729" t="s">
        <v>29</v>
      </c>
      <c r="Q729" t="s">
        <v>30</v>
      </c>
      <c r="R729" t="s">
        <v>65</v>
      </c>
      <c r="S729" t="s">
        <v>32</v>
      </c>
      <c r="T729" t="s">
        <v>33</v>
      </c>
      <c r="U729" t="s">
        <v>46</v>
      </c>
      <c r="V729" t="str">
        <f>IF(B729&lt;=18,"Children",IF(B729&lt;=35,"Young adult",IF(B729&lt;=60,"Adult", "Senior Citizen")))</f>
        <v>Adult</v>
      </c>
      <c r="W729" t="str">
        <f t="shared" si="77"/>
        <v>Dec</v>
      </c>
      <c r="X729">
        <f t="shared" si="78"/>
        <v>12</v>
      </c>
      <c r="Y729" t="str">
        <f t="shared" si="79"/>
        <v>Q4</v>
      </c>
      <c r="Z729">
        <f t="shared" si="80"/>
        <v>2026</v>
      </c>
      <c r="AA729" t="str">
        <f t="shared" si="81"/>
        <v>Tuesday</v>
      </c>
      <c r="AB729">
        <f t="shared" si="82"/>
        <v>-59</v>
      </c>
      <c r="AC729" t="str">
        <f>IF(OR(D729="Heart Disease",D729="Cancer",D729="Stroke"),"High",IF(OR(D729="Diabetes",D729="Asthma"),"Medium","Low"))</f>
        <v>High</v>
      </c>
      <c r="AD729" t="str">
        <f t="shared" si="83"/>
        <v>Yes</v>
      </c>
      <c r="AE729" t="str">
        <f>IF(G729&lt;=2,"Short Stay", IF(G729&lt;=7,"Normal Stay", "Long Stay"))</f>
        <v>Long Stay</v>
      </c>
      <c r="AF729" t="str">
        <f>IF(F729&gt;60000,"Expensive",IF(F729&gt;30000,"Moderate","Affordable"))</f>
        <v>Affordable</v>
      </c>
      <c r="AG729" t="str">
        <f>IF(J729&gt;=4.5,"Excellent",IF(J729&gt;=3.5,"Good",IF(J729&gt;=2.5,"Average","Poor")))</f>
        <v>Good</v>
      </c>
      <c r="AH729" t="str">
        <f>IF(OR(TEXT(N729,"dddd")="Saturday",TEXT(N729,"dddd")="Sunday"),"Weekend","Weekday")</f>
        <v>Weekday</v>
      </c>
    </row>
    <row r="730" spans="1:34" x14ac:dyDescent="0.3">
      <c r="A730">
        <v>741</v>
      </c>
      <c r="B730">
        <v>72</v>
      </c>
      <c r="C730" t="s">
        <v>35</v>
      </c>
      <c r="D730" t="s">
        <v>66</v>
      </c>
      <c r="E730" t="s">
        <v>67</v>
      </c>
      <c r="F730">
        <v>1000</v>
      </c>
      <c r="G730">
        <v>53</v>
      </c>
      <c r="H730" t="s">
        <v>24</v>
      </c>
      <c r="I730" t="s">
        <v>39</v>
      </c>
      <c r="J730">
        <v>4</v>
      </c>
      <c r="K730" t="s">
        <v>203</v>
      </c>
      <c r="L730" t="s">
        <v>1583</v>
      </c>
      <c r="M730" t="s">
        <v>1584</v>
      </c>
      <c r="N730" s="2">
        <v>46386</v>
      </c>
      <c r="O730" s="2">
        <v>46439</v>
      </c>
      <c r="P730" t="s">
        <v>43</v>
      </c>
      <c r="Q730" t="s">
        <v>71</v>
      </c>
      <c r="R730" t="s">
        <v>45</v>
      </c>
      <c r="S730" t="s">
        <v>53</v>
      </c>
      <c r="T730" t="s">
        <v>33</v>
      </c>
      <c r="U730" t="s">
        <v>78</v>
      </c>
      <c r="V730" t="str">
        <f>IF(B730&lt;=18,"Children",IF(B730&lt;=35,"Young adult",IF(B730&lt;=60,"Adult", "Senior Citizen")))</f>
        <v>Senior Citizen</v>
      </c>
      <c r="W730" t="str">
        <f t="shared" si="77"/>
        <v>Dec</v>
      </c>
      <c r="X730">
        <f t="shared" si="78"/>
        <v>12</v>
      </c>
      <c r="Y730" t="str">
        <f t="shared" si="79"/>
        <v>Q4</v>
      </c>
      <c r="Z730">
        <f t="shared" si="80"/>
        <v>2026</v>
      </c>
      <c r="AA730" t="str">
        <f t="shared" si="81"/>
        <v>Wednesday</v>
      </c>
      <c r="AB730">
        <f t="shared" si="82"/>
        <v>-53</v>
      </c>
      <c r="AC730" t="str">
        <f>IF(OR(D730="Heart Disease",D730="Cancer",D730="Stroke"),"High",IF(OR(D730="Diabetes",D730="Asthma"),"Medium","Low"))</f>
        <v>Low</v>
      </c>
      <c r="AD730" t="str">
        <f t="shared" si="83"/>
        <v>No</v>
      </c>
      <c r="AE730" t="str">
        <f>IF(G730&lt;=2,"Short Stay", IF(G730&lt;=7,"Normal Stay", "Long Stay"))</f>
        <v>Long Stay</v>
      </c>
      <c r="AF730" t="str">
        <f>IF(F730&gt;60000,"Expensive",IF(F730&gt;30000,"Moderate","Affordable"))</f>
        <v>Affordable</v>
      </c>
      <c r="AG730" t="str">
        <f>IF(J730&gt;=4.5,"Excellent",IF(J730&gt;=3.5,"Good",IF(J730&gt;=2.5,"Average","Poor")))</f>
        <v>Good</v>
      </c>
      <c r="AH730" t="str">
        <f>IF(OR(TEXT(N730,"dddd")="Saturday",TEXT(N730,"dddd")="Sunday"),"Weekend","Weekday")</f>
        <v>Weekday</v>
      </c>
    </row>
    <row r="731" spans="1:34" x14ac:dyDescent="0.3">
      <c r="A731">
        <v>742</v>
      </c>
      <c r="B731">
        <v>60</v>
      </c>
      <c r="C731" t="s">
        <v>21</v>
      </c>
      <c r="D731" t="s">
        <v>73</v>
      </c>
      <c r="E731" t="s">
        <v>74</v>
      </c>
      <c r="F731">
        <v>8000</v>
      </c>
      <c r="G731">
        <v>55</v>
      </c>
      <c r="H731" t="s">
        <v>38</v>
      </c>
      <c r="I731" t="s">
        <v>25</v>
      </c>
      <c r="J731">
        <v>3</v>
      </c>
      <c r="K731" t="s">
        <v>336</v>
      </c>
      <c r="L731" t="s">
        <v>1585</v>
      </c>
      <c r="M731" t="s">
        <v>1586</v>
      </c>
      <c r="N731" s="2">
        <v>46387</v>
      </c>
      <c r="O731" s="2">
        <v>46442</v>
      </c>
      <c r="P731" t="s">
        <v>43</v>
      </c>
      <c r="Q731" t="s">
        <v>52</v>
      </c>
      <c r="R731" t="s">
        <v>45</v>
      </c>
      <c r="S731" t="s">
        <v>53</v>
      </c>
      <c r="T731" t="s">
        <v>33</v>
      </c>
      <c r="U731" t="s">
        <v>78</v>
      </c>
      <c r="V731" t="str">
        <f>IF(B731&lt;=18,"Children",IF(B731&lt;=35,"Young adult",IF(B731&lt;=60,"Adult", "Senior Citizen")))</f>
        <v>Adult</v>
      </c>
      <c r="W731" t="str">
        <f t="shared" si="77"/>
        <v>Dec</v>
      </c>
      <c r="X731">
        <f t="shared" si="78"/>
        <v>12</v>
      </c>
      <c r="Y731" t="str">
        <f t="shared" si="79"/>
        <v>Q4</v>
      </c>
      <c r="Z731">
        <f t="shared" si="80"/>
        <v>2026</v>
      </c>
      <c r="AA731" t="str">
        <f t="shared" si="81"/>
        <v>Thursday</v>
      </c>
      <c r="AB731">
        <f t="shared" si="82"/>
        <v>-55</v>
      </c>
      <c r="AC731" t="str">
        <f>IF(OR(D731="Heart Disease",D731="Cancer",D731="Stroke"),"High",IF(OR(D731="Diabetes",D731="Asthma"),"Medium","Low"))</f>
        <v>Low</v>
      </c>
      <c r="AD731" t="str">
        <f t="shared" si="83"/>
        <v>No</v>
      </c>
      <c r="AE731" t="str">
        <f>IF(G731&lt;=2,"Short Stay", IF(G731&lt;=7,"Normal Stay", "Long Stay"))</f>
        <v>Long Stay</v>
      </c>
      <c r="AF731" t="str">
        <f>IF(F731&gt;60000,"Expensive",IF(F731&gt;30000,"Moderate","Affordable"))</f>
        <v>Affordable</v>
      </c>
      <c r="AG731" t="str">
        <f>IF(J731&gt;=4.5,"Excellent",IF(J731&gt;=3.5,"Good",IF(J731&gt;=2.5,"Average","Poor")))</f>
        <v>Average</v>
      </c>
      <c r="AH731" t="str">
        <f>IF(OR(TEXT(N731,"dddd")="Saturday",TEXT(N731,"dddd")="Sunday"),"Weekend","Weekday")</f>
        <v>Weekday</v>
      </c>
    </row>
    <row r="732" spans="1:34" x14ac:dyDescent="0.3">
      <c r="A732">
        <v>743</v>
      </c>
      <c r="B732">
        <v>45</v>
      </c>
      <c r="C732" t="s">
        <v>35</v>
      </c>
      <c r="D732" t="s">
        <v>79</v>
      </c>
      <c r="E732" t="s">
        <v>80</v>
      </c>
      <c r="F732">
        <v>3000</v>
      </c>
      <c r="G732">
        <v>55</v>
      </c>
      <c r="H732" t="s">
        <v>24</v>
      </c>
      <c r="I732" t="s">
        <v>25</v>
      </c>
      <c r="J732">
        <v>4</v>
      </c>
      <c r="K732" t="s">
        <v>40</v>
      </c>
      <c r="L732" t="s">
        <v>1587</v>
      </c>
      <c r="M732" t="s">
        <v>1588</v>
      </c>
      <c r="N732" s="2">
        <v>46388</v>
      </c>
      <c r="O732" s="2">
        <v>46443</v>
      </c>
      <c r="P732" t="s">
        <v>29</v>
      </c>
      <c r="Q732" t="s">
        <v>71</v>
      </c>
      <c r="R732" t="s">
        <v>45</v>
      </c>
      <c r="S732" t="s">
        <v>32</v>
      </c>
      <c r="T732" t="s">
        <v>33</v>
      </c>
      <c r="U732" t="s">
        <v>104</v>
      </c>
      <c r="V732" t="str">
        <f>IF(B732&lt;=18,"Children",IF(B732&lt;=35,"Young adult",IF(B732&lt;=60,"Adult", "Senior Citizen")))</f>
        <v>Adult</v>
      </c>
      <c r="W732" t="str">
        <f t="shared" si="77"/>
        <v>Jan</v>
      </c>
      <c r="X732">
        <f t="shared" si="78"/>
        <v>1</v>
      </c>
      <c r="Y732" t="str">
        <f t="shared" si="79"/>
        <v>Q1</v>
      </c>
      <c r="Z732">
        <f t="shared" si="80"/>
        <v>2027</v>
      </c>
      <c r="AA732" t="str">
        <f t="shared" si="81"/>
        <v>Friday</v>
      </c>
      <c r="AB732">
        <f t="shared" si="82"/>
        <v>-55</v>
      </c>
      <c r="AC732" t="str">
        <f>IF(OR(D732="Heart Disease",D732="Cancer",D732="Stroke"),"High",IF(OR(D732="Diabetes",D732="Asthma"),"Medium","Low"))</f>
        <v>Low</v>
      </c>
      <c r="AD732" t="str">
        <f t="shared" si="83"/>
        <v>No</v>
      </c>
      <c r="AE732" t="str">
        <f>IF(G732&lt;=2,"Short Stay", IF(G732&lt;=7,"Normal Stay", "Long Stay"))</f>
        <v>Long Stay</v>
      </c>
      <c r="AF732" t="str">
        <f>IF(F732&gt;60000,"Expensive",IF(F732&gt;30000,"Moderate","Affordable"))</f>
        <v>Affordable</v>
      </c>
      <c r="AG732" t="str">
        <f>IF(J732&gt;=4.5,"Excellent",IF(J732&gt;=3.5,"Good",IF(J732&gt;=2.5,"Average","Poor")))</f>
        <v>Good</v>
      </c>
      <c r="AH732" t="str">
        <f>IF(OR(TEXT(N732,"dddd")="Saturday",TEXT(N732,"dddd")="Sunday"),"Weekend","Weekday")</f>
        <v>Weekday</v>
      </c>
    </row>
    <row r="733" spans="1:34" x14ac:dyDescent="0.3">
      <c r="A733">
        <v>744</v>
      </c>
      <c r="B733">
        <v>75</v>
      </c>
      <c r="C733" t="s">
        <v>21</v>
      </c>
      <c r="D733" t="s">
        <v>85</v>
      </c>
      <c r="E733" t="s">
        <v>86</v>
      </c>
      <c r="F733">
        <v>18000</v>
      </c>
      <c r="G733">
        <v>57</v>
      </c>
      <c r="H733" t="s">
        <v>38</v>
      </c>
      <c r="I733" t="s">
        <v>39</v>
      </c>
      <c r="J733">
        <v>2</v>
      </c>
      <c r="K733" t="s">
        <v>223</v>
      </c>
      <c r="L733" t="s">
        <v>1589</v>
      </c>
      <c r="M733" t="s">
        <v>1590</v>
      </c>
      <c r="N733" s="2">
        <v>46389</v>
      </c>
      <c r="O733" s="2">
        <v>46446</v>
      </c>
      <c r="P733" t="s">
        <v>29</v>
      </c>
      <c r="Q733" t="s">
        <v>139</v>
      </c>
      <c r="R733" t="s">
        <v>45</v>
      </c>
      <c r="S733" t="s">
        <v>53</v>
      </c>
      <c r="T733" t="s">
        <v>33</v>
      </c>
      <c r="U733" t="s">
        <v>104</v>
      </c>
      <c r="V733" t="str">
        <f>IF(B733&lt;=18,"Children",IF(B733&lt;=35,"Young adult",IF(B733&lt;=60,"Adult", "Senior Citizen")))</f>
        <v>Senior Citizen</v>
      </c>
      <c r="W733" t="str">
        <f t="shared" si="77"/>
        <v>Jan</v>
      </c>
      <c r="X733">
        <f t="shared" si="78"/>
        <v>1</v>
      </c>
      <c r="Y733" t="str">
        <f t="shared" si="79"/>
        <v>Q1</v>
      </c>
      <c r="Z733">
        <f t="shared" si="80"/>
        <v>2027</v>
      </c>
      <c r="AA733" t="str">
        <f t="shared" si="81"/>
        <v>Saturday</v>
      </c>
      <c r="AB733">
        <f t="shared" si="82"/>
        <v>-57</v>
      </c>
      <c r="AC733" t="str">
        <f>IF(OR(D733="Heart Disease",D733="Cancer",D733="Stroke"),"High",IF(OR(D733="Diabetes",D733="Asthma"),"Medium","Low"))</f>
        <v>Low</v>
      </c>
      <c r="AD733" t="str">
        <f t="shared" si="83"/>
        <v>No</v>
      </c>
      <c r="AE733" t="str">
        <f>IF(G733&lt;=2,"Short Stay", IF(G733&lt;=7,"Normal Stay", "Long Stay"))</f>
        <v>Long Stay</v>
      </c>
      <c r="AF733" t="str">
        <f>IF(F733&gt;60000,"Expensive",IF(F733&gt;30000,"Moderate","Affordable"))</f>
        <v>Affordable</v>
      </c>
      <c r="AG733" t="str">
        <f>IF(J733&gt;=4.5,"Excellent",IF(J733&gt;=3.5,"Good",IF(J733&gt;=2.5,"Average","Poor")))</f>
        <v>Poor</v>
      </c>
      <c r="AH733" t="str">
        <f>IF(OR(TEXT(N733,"dddd")="Saturday",TEXT(N733,"dddd")="Sunday"),"Weekend","Weekday")</f>
        <v>Weekend</v>
      </c>
    </row>
    <row r="734" spans="1:34" x14ac:dyDescent="0.3">
      <c r="A734">
        <v>745</v>
      </c>
      <c r="B734">
        <v>28</v>
      </c>
      <c r="C734" t="s">
        <v>35</v>
      </c>
      <c r="D734" t="s">
        <v>89</v>
      </c>
      <c r="E734" t="s">
        <v>90</v>
      </c>
      <c r="F734">
        <v>100</v>
      </c>
      <c r="G734">
        <v>50</v>
      </c>
      <c r="H734" t="s">
        <v>24</v>
      </c>
      <c r="I734" t="s">
        <v>25</v>
      </c>
      <c r="J734">
        <v>5</v>
      </c>
      <c r="K734" t="s">
        <v>329</v>
      </c>
      <c r="L734" t="s">
        <v>1591</v>
      </c>
      <c r="M734" t="s">
        <v>1592</v>
      </c>
      <c r="N734" s="2">
        <v>46390</v>
      </c>
      <c r="O734" s="2">
        <v>46440</v>
      </c>
      <c r="P734" t="s">
        <v>43</v>
      </c>
      <c r="Q734" t="s">
        <v>71</v>
      </c>
      <c r="R734" t="s">
        <v>45</v>
      </c>
      <c r="S734" t="s">
        <v>72</v>
      </c>
      <c r="T734" t="s">
        <v>33</v>
      </c>
      <c r="U734" t="s">
        <v>34</v>
      </c>
      <c r="V734" t="str">
        <f>IF(B734&lt;=18,"Children",IF(B734&lt;=35,"Young adult",IF(B734&lt;=60,"Adult", "Senior Citizen")))</f>
        <v>Young adult</v>
      </c>
      <c r="W734" t="str">
        <f t="shared" si="77"/>
        <v>Jan</v>
      </c>
      <c r="X734">
        <f t="shared" si="78"/>
        <v>1</v>
      </c>
      <c r="Y734" t="str">
        <f t="shared" si="79"/>
        <v>Q1</v>
      </c>
      <c r="Z734">
        <f t="shared" si="80"/>
        <v>2027</v>
      </c>
      <c r="AA734" t="str">
        <f t="shared" si="81"/>
        <v>Sunday</v>
      </c>
      <c r="AB734">
        <f t="shared" si="82"/>
        <v>-50</v>
      </c>
      <c r="AC734" t="str">
        <f>IF(OR(D734="Heart Disease",D734="Cancer",D734="Stroke"),"High",IF(OR(D734="Diabetes",D734="Asthma"),"Medium","Low"))</f>
        <v>Low</v>
      </c>
      <c r="AD734" t="str">
        <f t="shared" si="83"/>
        <v>No</v>
      </c>
      <c r="AE734" t="str">
        <f>IF(G734&lt;=2,"Short Stay", IF(G734&lt;=7,"Normal Stay", "Long Stay"))</f>
        <v>Long Stay</v>
      </c>
      <c r="AF734" t="str">
        <f>IF(F734&gt;60000,"Expensive",IF(F734&gt;30000,"Moderate","Affordable"))</f>
        <v>Affordable</v>
      </c>
      <c r="AG734" t="str">
        <f>IF(J734&gt;=4.5,"Excellent",IF(J734&gt;=3.5,"Good",IF(J734&gt;=2.5,"Average","Poor")))</f>
        <v>Excellent</v>
      </c>
      <c r="AH734" t="str">
        <f>IF(OR(TEXT(N734,"dddd")="Saturday",TEXT(N734,"dddd")="Sunday"),"Weekend","Weekday")</f>
        <v>Weekend</v>
      </c>
    </row>
    <row r="735" spans="1:34" x14ac:dyDescent="0.3">
      <c r="A735">
        <v>746</v>
      </c>
      <c r="B735">
        <v>52</v>
      </c>
      <c r="C735" t="s">
        <v>21</v>
      </c>
      <c r="D735" t="s">
        <v>94</v>
      </c>
      <c r="E735" t="s">
        <v>95</v>
      </c>
      <c r="F735">
        <v>800</v>
      </c>
      <c r="G735">
        <v>51</v>
      </c>
      <c r="H735" t="s">
        <v>24</v>
      </c>
      <c r="I735" t="s">
        <v>39</v>
      </c>
      <c r="J735">
        <v>4</v>
      </c>
      <c r="K735" t="s">
        <v>200</v>
      </c>
      <c r="L735" t="s">
        <v>1593</v>
      </c>
      <c r="M735" t="s">
        <v>1594</v>
      </c>
      <c r="N735" s="2">
        <v>46391</v>
      </c>
      <c r="O735" s="2">
        <v>46442</v>
      </c>
      <c r="P735" t="s">
        <v>29</v>
      </c>
      <c r="Q735" t="s">
        <v>52</v>
      </c>
      <c r="R735" t="s">
        <v>45</v>
      </c>
      <c r="S735" t="s">
        <v>32</v>
      </c>
      <c r="T735" t="s">
        <v>33</v>
      </c>
      <c r="U735" t="s">
        <v>34</v>
      </c>
      <c r="V735" t="str">
        <f>IF(B735&lt;=18,"Children",IF(B735&lt;=35,"Young adult",IF(B735&lt;=60,"Adult", "Senior Citizen")))</f>
        <v>Adult</v>
      </c>
      <c r="W735" t="str">
        <f t="shared" si="77"/>
        <v>Jan</v>
      </c>
      <c r="X735">
        <f t="shared" si="78"/>
        <v>1</v>
      </c>
      <c r="Y735" t="str">
        <f t="shared" si="79"/>
        <v>Q1</v>
      </c>
      <c r="Z735">
        <f t="shared" si="80"/>
        <v>2027</v>
      </c>
      <c r="AA735" t="str">
        <f t="shared" si="81"/>
        <v>Monday</v>
      </c>
      <c r="AB735">
        <f t="shared" si="82"/>
        <v>-51</v>
      </c>
      <c r="AC735" t="str">
        <f>IF(OR(D735="Heart Disease",D735="Cancer",D735="Stroke"),"High",IF(OR(D735="Diabetes",D735="Asthma"),"Medium","Low"))</f>
        <v>Low</v>
      </c>
      <c r="AD735" t="str">
        <f t="shared" si="83"/>
        <v>No</v>
      </c>
      <c r="AE735" t="str">
        <f>IF(G735&lt;=2,"Short Stay", IF(G735&lt;=7,"Normal Stay", "Long Stay"))</f>
        <v>Long Stay</v>
      </c>
      <c r="AF735" t="str">
        <f>IF(F735&gt;60000,"Expensive",IF(F735&gt;30000,"Moderate","Affordable"))</f>
        <v>Affordable</v>
      </c>
      <c r="AG735" t="str">
        <f>IF(J735&gt;=4.5,"Excellent",IF(J735&gt;=3.5,"Good",IF(J735&gt;=2.5,"Average","Poor")))</f>
        <v>Good</v>
      </c>
      <c r="AH735" t="str">
        <f>IF(OR(TEXT(N735,"dddd")="Saturday",TEXT(N735,"dddd")="Sunday"),"Weekend","Weekday")</f>
        <v>Weekday</v>
      </c>
    </row>
    <row r="736" spans="1:34" x14ac:dyDescent="0.3">
      <c r="A736">
        <v>747</v>
      </c>
      <c r="B736">
        <v>67</v>
      </c>
      <c r="C736" t="s">
        <v>35</v>
      </c>
      <c r="D736" t="s">
        <v>99</v>
      </c>
      <c r="E736" t="s">
        <v>100</v>
      </c>
      <c r="F736">
        <v>20000</v>
      </c>
      <c r="G736">
        <v>58</v>
      </c>
      <c r="H736" t="s">
        <v>24</v>
      </c>
      <c r="I736" t="s">
        <v>25</v>
      </c>
      <c r="J736">
        <v>3</v>
      </c>
      <c r="K736" t="s">
        <v>157</v>
      </c>
      <c r="L736" t="s">
        <v>1595</v>
      </c>
      <c r="M736" t="s">
        <v>1596</v>
      </c>
      <c r="N736" s="2">
        <v>46392</v>
      </c>
      <c r="O736" s="2">
        <v>46450</v>
      </c>
      <c r="P736" t="s">
        <v>43</v>
      </c>
      <c r="Q736" t="s">
        <v>30</v>
      </c>
      <c r="R736" t="s">
        <v>45</v>
      </c>
      <c r="S736" t="s">
        <v>72</v>
      </c>
      <c r="T736" t="s">
        <v>33</v>
      </c>
      <c r="U736" t="s">
        <v>46</v>
      </c>
      <c r="V736" t="str">
        <f>IF(B736&lt;=18,"Children",IF(B736&lt;=35,"Young adult",IF(B736&lt;=60,"Adult", "Senior Citizen")))</f>
        <v>Senior Citizen</v>
      </c>
      <c r="W736" t="str">
        <f t="shared" si="77"/>
        <v>Jan</v>
      </c>
      <c r="X736">
        <f t="shared" si="78"/>
        <v>1</v>
      </c>
      <c r="Y736" t="str">
        <f t="shared" si="79"/>
        <v>Q1</v>
      </c>
      <c r="Z736">
        <f t="shared" si="80"/>
        <v>2027</v>
      </c>
      <c r="AA736" t="str">
        <f t="shared" si="81"/>
        <v>Tuesday</v>
      </c>
      <c r="AB736">
        <f t="shared" si="82"/>
        <v>-58</v>
      </c>
      <c r="AC736" t="str">
        <f>IF(OR(D736="Heart Disease",D736="Cancer",D736="Stroke"),"High",IF(OR(D736="Diabetes",D736="Asthma"),"Medium","Low"))</f>
        <v>Low</v>
      </c>
      <c r="AD736" t="str">
        <f t="shared" si="83"/>
        <v>No</v>
      </c>
      <c r="AE736" t="str">
        <f>IF(G736&lt;=2,"Short Stay", IF(G736&lt;=7,"Normal Stay", "Long Stay"))</f>
        <v>Long Stay</v>
      </c>
      <c r="AF736" t="str">
        <f>IF(F736&gt;60000,"Expensive",IF(F736&gt;30000,"Moderate","Affordable"))</f>
        <v>Affordable</v>
      </c>
      <c r="AG736" t="str">
        <f>IF(J736&gt;=4.5,"Excellent",IF(J736&gt;=3.5,"Good",IF(J736&gt;=2.5,"Average","Poor")))</f>
        <v>Average</v>
      </c>
      <c r="AH736" t="str">
        <f>IF(OR(TEXT(N736,"dddd")="Saturday",TEXT(N736,"dddd")="Sunday"),"Weekend","Weekday")</f>
        <v>Weekday</v>
      </c>
    </row>
    <row r="737" spans="1:34" x14ac:dyDescent="0.3">
      <c r="A737">
        <v>748</v>
      </c>
      <c r="B737">
        <v>35</v>
      </c>
      <c r="C737" t="s">
        <v>21</v>
      </c>
      <c r="D737" t="s">
        <v>105</v>
      </c>
      <c r="E737" t="s">
        <v>106</v>
      </c>
      <c r="F737">
        <v>12000</v>
      </c>
      <c r="G737">
        <v>52</v>
      </c>
      <c r="H737" t="s">
        <v>24</v>
      </c>
      <c r="I737" t="s">
        <v>25</v>
      </c>
      <c r="J737">
        <v>4</v>
      </c>
      <c r="K737" t="s">
        <v>245</v>
      </c>
      <c r="L737" t="s">
        <v>1597</v>
      </c>
      <c r="M737" t="s">
        <v>1598</v>
      </c>
      <c r="N737" s="2">
        <v>46393</v>
      </c>
      <c r="O737" s="2">
        <v>46445</v>
      </c>
      <c r="P737" t="s">
        <v>29</v>
      </c>
      <c r="Q737" t="s">
        <v>44</v>
      </c>
      <c r="R737" t="s">
        <v>45</v>
      </c>
      <c r="S737" t="s">
        <v>72</v>
      </c>
      <c r="T737" t="s">
        <v>33</v>
      </c>
      <c r="U737" t="s">
        <v>46</v>
      </c>
      <c r="V737" t="str">
        <f>IF(B737&lt;=18,"Children",IF(B737&lt;=35,"Young adult",IF(B737&lt;=60,"Adult", "Senior Citizen")))</f>
        <v>Young adult</v>
      </c>
      <c r="W737" t="str">
        <f t="shared" si="77"/>
        <v>Jan</v>
      </c>
      <c r="X737">
        <f t="shared" si="78"/>
        <v>1</v>
      </c>
      <c r="Y737" t="str">
        <f t="shared" si="79"/>
        <v>Q1</v>
      </c>
      <c r="Z737">
        <f t="shared" si="80"/>
        <v>2027</v>
      </c>
      <c r="AA737" t="str">
        <f t="shared" si="81"/>
        <v>Wednesday</v>
      </c>
      <c r="AB737">
        <f t="shared" si="82"/>
        <v>-52</v>
      </c>
      <c r="AC737" t="str">
        <f>IF(OR(D737="Heart Disease",D737="Cancer",D737="Stroke"),"High",IF(OR(D737="Diabetes",D737="Asthma"),"Medium","Low"))</f>
        <v>Low</v>
      </c>
      <c r="AD737" t="str">
        <f t="shared" si="83"/>
        <v>No</v>
      </c>
      <c r="AE737" t="str">
        <f>IF(G737&lt;=2,"Short Stay", IF(G737&lt;=7,"Normal Stay", "Long Stay"))</f>
        <v>Long Stay</v>
      </c>
      <c r="AF737" t="str">
        <f>IF(F737&gt;60000,"Expensive",IF(F737&gt;30000,"Moderate","Affordable"))</f>
        <v>Affordable</v>
      </c>
      <c r="AG737" t="str">
        <f>IF(J737&gt;=4.5,"Excellent",IF(J737&gt;=3.5,"Good",IF(J737&gt;=2.5,"Average","Poor")))</f>
        <v>Good</v>
      </c>
      <c r="AH737" t="str">
        <f>IF(OR(TEXT(N737,"dddd")="Saturday",TEXT(N737,"dddd")="Sunday"),"Weekend","Weekday")</f>
        <v>Weekday</v>
      </c>
    </row>
    <row r="738" spans="1:34" x14ac:dyDescent="0.3">
      <c r="A738">
        <v>749</v>
      </c>
      <c r="B738">
        <v>50</v>
      </c>
      <c r="C738" t="s">
        <v>35</v>
      </c>
      <c r="D738" t="s">
        <v>111</v>
      </c>
      <c r="E738" t="s">
        <v>112</v>
      </c>
      <c r="F738">
        <v>6000</v>
      </c>
      <c r="G738">
        <v>53</v>
      </c>
      <c r="H738" t="s">
        <v>24</v>
      </c>
      <c r="I738" t="s">
        <v>25</v>
      </c>
      <c r="J738">
        <v>3</v>
      </c>
      <c r="K738" t="s">
        <v>317</v>
      </c>
      <c r="L738" t="s">
        <v>1599</v>
      </c>
      <c r="M738" t="s">
        <v>1600</v>
      </c>
      <c r="N738" s="2">
        <v>46394</v>
      </c>
      <c r="O738" s="2">
        <v>46447</v>
      </c>
      <c r="P738" t="s">
        <v>29</v>
      </c>
      <c r="Q738" t="s">
        <v>139</v>
      </c>
      <c r="R738" t="s">
        <v>45</v>
      </c>
      <c r="S738" t="s">
        <v>84</v>
      </c>
      <c r="T738" t="s">
        <v>33</v>
      </c>
      <c r="U738" t="s">
        <v>104</v>
      </c>
      <c r="V738" t="str">
        <f>IF(B738&lt;=18,"Children",IF(B738&lt;=35,"Young adult",IF(B738&lt;=60,"Adult", "Senior Citizen")))</f>
        <v>Adult</v>
      </c>
      <c r="W738" t="str">
        <f t="shared" si="77"/>
        <v>Jan</v>
      </c>
      <c r="X738">
        <f t="shared" si="78"/>
        <v>1</v>
      </c>
      <c r="Y738" t="str">
        <f t="shared" si="79"/>
        <v>Q1</v>
      </c>
      <c r="Z738">
        <f t="shared" si="80"/>
        <v>2027</v>
      </c>
      <c r="AA738" t="str">
        <f t="shared" si="81"/>
        <v>Thursday</v>
      </c>
      <c r="AB738">
        <f t="shared" si="82"/>
        <v>-53</v>
      </c>
      <c r="AC738" t="str">
        <f>IF(OR(D738="Heart Disease",D738="Cancer",D738="Stroke"),"High",IF(OR(D738="Diabetes",D738="Asthma"),"Medium","Low"))</f>
        <v>Low</v>
      </c>
      <c r="AD738" t="str">
        <f t="shared" si="83"/>
        <v>No</v>
      </c>
      <c r="AE738" t="str">
        <f>IF(G738&lt;=2,"Short Stay", IF(G738&lt;=7,"Normal Stay", "Long Stay"))</f>
        <v>Long Stay</v>
      </c>
      <c r="AF738" t="str">
        <f>IF(F738&gt;60000,"Expensive",IF(F738&gt;30000,"Moderate","Affordable"))</f>
        <v>Affordable</v>
      </c>
      <c r="AG738" t="str">
        <f>IF(J738&gt;=4.5,"Excellent",IF(J738&gt;=3.5,"Good",IF(J738&gt;=2.5,"Average","Poor")))</f>
        <v>Average</v>
      </c>
      <c r="AH738" t="str">
        <f>IF(OR(TEXT(N738,"dddd")="Saturday",TEXT(N738,"dddd")="Sunday"),"Weekend","Weekday")</f>
        <v>Weekday</v>
      </c>
    </row>
    <row r="739" spans="1:34" x14ac:dyDescent="0.3">
      <c r="A739">
        <v>750</v>
      </c>
      <c r="B739">
        <v>60</v>
      </c>
      <c r="C739" t="s">
        <v>21</v>
      </c>
      <c r="D739" t="s">
        <v>116</v>
      </c>
      <c r="E739" t="s">
        <v>117</v>
      </c>
      <c r="F739">
        <v>4000</v>
      </c>
      <c r="G739">
        <v>54</v>
      </c>
      <c r="H739" t="s">
        <v>24</v>
      </c>
      <c r="I739" t="s">
        <v>39</v>
      </c>
      <c r="J739">
        <v>4</v>
      </c>
      <c r="K739" t="s">
        <v>242</v>
      </c>
      <c r="L739" t="s">
        <v>1601</v>
      </c>
      <c r="M739" t="s">
        <v>1602</v>
      </c>
      <c r="N739" s="2">
        <v>46395</v>
      </c>
      <c r="O739" s="2">
        <v>46449</v>
      </c>
      <c r="P739" t="s">
        <v>29</v>
      </c>
      <c r="Q739" t="s">
        <v>44</v>
      </c>
      <c r="R739" t="s">
        <v>45</v>
      </c>
      <c r="S739" t="s">
        <v>77</v>
      </c>
      <c r="T739" t="s">
        <v>33</v>
      </c>
      <c r="U739" t="s">
        <v>34</v>
      </c>
      <c r="V739" t="str">
        <f>IF(B739&lt;=18,"Children",IF(B739&lt;=35,"Young adult",IF(B739&lt;=60,"Adult", "Senior Citizen")))</f>
        <v>Adult</v>
      </c>
      <c r="W739" t="str">
        <f t="shared" si="77"/>
        <v>Jan</v>
      </c>
      <c r="X739">
        <f t="shared" si="78"/>
        <v>1</v>
      </c>
      <c r="Y739" t="str">
        <f t="shared" si="79"/>
        <v>Q1</v>
      </c>
      <c r="Z739">
        <f t="shared" si="80"/>
        <v>2027</v>
      </c>
      <c r="AA739" t="str">
        <f t="shared" si="81"/>
        <v>Friday</v>
      </c>
      <c r="AB739">
        <f t="shared" si="82"/>
        <v>-54</v>
      </c>
      <c r="AC739" t="str">
        <f>IF(OR(D739="Heart Disease",D739="Cancer",D739="Stroke"),"High",IF(OR(D739="Diabetes",D739="Asthma"),"Medium","Low"))</f>
        <v>Low</v>
      </c>
      <c r="AD739" t="str">
        <f t="shared" si="83"/>
        <v>No</v>
      </c>
      <c r="AE739" t="str">
        <f>IF(G739&lt;=2,"Short Stay", IF(G739&lt;=7,"Normal Stay", "Long Stay"))</f>
        <v>Long Stay</v>
      </c>
      <c r="AF739" t="str">
        <f>IF(F739&gt;60000,"Expensive",IF(F739&gt;30000,"Moderate","Affordable"))</f>
        <v>Affordable</v>
      </c>
      <c r="AG739" t="str">
        <f>IF(J739&gt;=4.5,"Excellent",IF(J739&gt;=3.5,"Good",IF(J739&gt;=2.5,"Average","Poor")))</f>
        <v>Good</v>
      </c>
      <c r="AH739" t="str">
        <f>IF(OR(TEXT(N739,"dddd")="Saturday",TEXT(N739,"dddd")="Sunday"),"Weekend","Weekday")</f>
        <v>Weekday</v>
      </c>
    </row>
    <row r="740" spans="1:34" x14ac:dyDescent="0.3">
      <c r="A740">
        <v>751</v>
      </c>
      <c r="B740">
        <v>48</v>
      </c>
      <c r="C740" t="s">
        <v>21</v>
      </c>
      <c r="D740" t="s">
        <v>22</v>
      </c>
      <c r="E740" t="s">
        <v>23</v>
      </c>
      <c r="F740">
        <v>15000</v>
      </c>
      <c r="G740">
        <v>55</v>
      </c>
      <c r="H740" t="s">
        <v>38</v>
      </c>
      <c r="I740" t="s">
        <v>25</v>
      </c>
      <c r="J740">
        <v>4</v>
      </c>
      <c r="K740" t="s">
        <v>336</v>
      </c>
      <c r="L740" t="s">
        <v>1603</v>
      </c>
      <c r="M740" t="s">
        <v>1604</v>
      </c>
      <c r="N740" s="2">
        <v>46396</v>
      </c>
      <c r="O740" s="2">
        <v>46451</v>
      </c>
      <c r="P740" t="s">
        <v>29</v>
      </c>
      <c r="Q740" t="s">
        <v>52</v>
      </c>
      <c r="R740" t="s">
        <v>31</v>
      </c>
      <c r="S740" t="s">
        <v>53</v>
      </c>
      <c r="T740" t="s">
        <v>33</v>
      </c>
      <c r="U740" t="s">
        <v>78</v>
      </c>
      <c r="V740" t="str">
        <f>IF(B740&lt;=18,"Children",IF(B740&lt;=35,"Young adult",IF(B740&lt;=60,"Adult", "Senior Citizen")))</f>
        <v>Adult</v>
      </c>
      <c r="W740" t="str">
        <f t="shared" si="77"/>
        <v>Jan</v>
      </c>
      <c r="X740">
        <f t="shared" si="78"/>
        <v>1</v>
      </c>
      <c r="Y740" t="str">
        <f t="shared" si="79"/>
        <v>Q1</v>
      </c>
      <c r="Z740">
        <f t="shared" si="80"/>
        <v>2027</v>
      </c>
      <c r="AA740" t="str">
        <f t="shared" si="81"/>
        <v>Saturday</v>
      </c>
      <c r="AB740">
        <f t="shared" si="82"/>
        <v>-55</v>
      </c>
      <c r="AC740" t="str">
        <f>IF(OR(D740="Heart Disease",D740="Cancer",D740="Stroke"),"High",IF(OR(D740="Diabetes",D740="Asthma"),"Medium","Low"))</f>
        <v>High</v>
      </c>
      <c r="AD740" t="str">
        <f t="shared" si="83"/>
        <v>Yes</v>
      </c>
      <c r="AE740" t="str">
        <f>IF(G740&lt;=2,"Short Stay", IF(G740&lt;=7,"Normal Stay", "Long Stay"))</f>
        <v>Long Stay</v>
      </c>
      <c r="AF740" t="str">
        <f>IF(F740&gt;60000,"Expensive",IF(F740&gt;30000,"Moderate","Affordable"))</f>
        <v>Affordable</v>
      </c>
      <c r="AG740" t="str">
        <f>IF(J740&gt;=4.5,"Excellent",IF(J740&gt;=3.5,"Good",IF(J740&gt;=2.5,"Average","Poor")))</f>
        <v>Good</v>
      </c>
      <c r="AH740" t="str">
        <f>IF(OR(TEXT(N740,"dddd")="Saturday",TEXT(N740,"dddd")="Sunday"),"Weekend","Weekday")</f>
        <v>Weekend</v>
      </c>
    </row>
    <row r="741" spans="1:34" x14ac:dyDescent="0.3">
      <c r="A741">
        <v>752</v>
      </c>
      <c r="B741">
        <v>65</v>
      </c>
      <c r="C741" t="s">
        <v>35</v>
      </c>
      <c r="D741" t="s">
        <v>36</v>
      </c>
      <c r="E741" t="s">
        <v>37</v>
      </c>
      <c r="F741">
        <v>2000</v>
      </c>
      <c r="G741">
        <v>53</v>
      </c>
      <c r="H741" t="s">
        <v>24</v>
      </c>
      <c r="I741" t="s">
        <v>39</v>
      </c>
      <c r="J741">
        <v>3</v>
      </c>
      <c r="K741" t="s">
        <v>218</v>
      </c>
      <c r="L741" t="s">
        <v>1605</v>
      </c>
      <c r="M741" t="s">
        <v>1606</v>
      </c>
      <c r="N741" s="2">
        <v>46397</v>
      </c>
      <c r="O741" s="2">
        <v>46450</v>
      </c>
      <c r="P741" t="s">
        <v>43</v>
      </c>
      <c r="Q741" t="s">
        <v>44</v>
      </c>
      <c r="R741" t="s">
        <v>45</v>
      </c>
      <c r="S741" t="s">
        <v>32</v>
      </c>
      <c r="T741" t="s">
        <v>33</v>
      </c>
      <c r="U741" t="s">
        <v>34</v>
      </c>
      <c r="V741" t="str">
        <f>IF(B741&lt;=18,"Children",IF(B741&lt;=35,"Young adult",IF(B741&lt;=60,"Adult", "Senior Citizen")))</f>
        <v>Senior Citizen</v>
      </c>
      <c r="W741" t="str">
        <f t="shared" si="77"/>
        <v>Jan</v>
      </c>
      <c r="X741">
        <f t="shared" si="78"/>
        <v>1</v>
      </c>
      <c r="Y741" t="str">
        <f t="shared" si="79"/>
        <v>Q1</v>
      </c>
      <c r="Z741">
        <f t="shared" si="80"/>
        <v>2027</v>
      </c>
      <c r="AA741" t="str">
        <f t="shared" si="81"/>
        <v>Sunday</v>
      </c>
      <c r="AB741">
        <f t="shared" si="82"/>
        <v>-53</v>
      </c>
      <c r="AC741" t="str">
        <f>IF(OR(D741="Heart Disease",D741="Cancer",D741="Stroke"),"High",IF(OR(D741="Diabetes",D741="Asthma"),"Medium","Low"))</f>
        <v>Medium</v>
      </c>
      <c r="AD741" t="str">
        <f t="shared" si="83"/>
        <v>No</v>
      </c>
      <c r="AE741" t="str">
        <f>IF(G741&lt;=2,"Short Stay", IF(G741&lt;=7,"Normal Stay", "Long Stay"))</f>
        <v>Long Stay</v>
      </c>
      <c r="AF741" t="str">
        <f>IF(F741&gt;60000,"Expensive",IF(F741&gt;30000,"Moderate","Affordable"))</f>
        <v>Affordable</v>
      </c>
      <c r="AG741" t="str">
        <f>IF(J741&gt;=4.5,"Excellent",IF(J741&gt;=3.5,"Good",IF(J741&gt;=2.5,"Average","Poor")))</f>
        <v>Average</v>
      </c>
      <c r="AH741" t="str">
        <f>IF(OR(TEXT(N741,"dddd")="Saturday",TEXT(N741,"dddd")="Sunday"),"Weekend","Weekday")</f>
        <v>Weekend</v>
      </c>
    </row>
    <row r="742" spans="1:34" x14ac:dyDescent="0.3">
      <c r="A742">
        <v>753</v>
      </c>
      <c r="B742">
        <v>30</v>
      </c>
      <c r="C742" t="s">
        <v>21</v>
      </c>
      <c r="D742" t="s">
        <v>47</v>
      </c>
      <c r="E742" t="s">
        <v>48</v>
      </c>
      <c r="F742">
        <v>500</v>
      </c>
      <c r="G742">
        <v>51</v>
      </c>
      <c r="H742" t="s">
        <v>24</v>
      </c>
      <c r="I742" t="s">
        <v>25</v>
      </c>
      <c r="J742">
        <v>5</v>
      </c>
      <c r="K742" t="s">
        <v>149</v>
      </c>
      <c r="L742" t="s">
        <v>1607</v>
      </c>
      <c r="M742" t="s">
        <v>1608</v>
      </c>
      <c r="N742" s="2">
        <v>46398</v>
      </c>
      <c r="O742" s="2">
        <v>46449</v>
      </c>
      <c r="P742" t="s">
        <v>29</v>
      </c>
      <c r="Q742" t="s">
        <v>139</v>
      </c>
      <c r="R742" t="s">
        <v>45</v>
      </c>
      <c r="S742" t="s">
        <v>110</v>
      </c>
      <c r="T742" t="s">
        <v>33</v>
      </c>
      <c r="U742" t="s">
        <v>104</v>
      </c>
      <c r="V742" t="str">
        <f>IF(B742&lt;=18,"Children",IF(B742&lt;=35,"Young adult",IF(B742&lt;=60,"Adult", "Senior Citizen")))</f>
        <v>Young adult</v>
      </c>
      <c r="W742" t="str">
        <f t="shared" si="77"/>
        <v>Jan</v>
      </c>
      <c r="X742">
        <f t="shared" si="78"/>
        <v>1</v>
      </c>
      <c r="Y742" t="str">
        <f t="shared" si="79"/>
        <v>Q1</v>
      </c>
      <c r="Z742">
        <f t="shared" si="80"/>
        <v>2027</v>
      </c>
      <c r="AA742" t="str">
        <f t="shared" si="81"/>
        <v>Monday</v>
      </c>
      <c r="AB742">
        <f t="shared" si="82"/>
        <v>-51</v>
      </c>
      <c r="AC742" t="str">
        <f>IF(OR(D742="Heart Disease",D742="Cancer",D742="Stroke"),"High",IF(OR(D742="Diabetes",D742="Asthma"),"Medium","Low"))</f>
        <v>Low</v>
      </c>
      <c r="AD742" t="str">
        <f t="shared" si="83"/>
        <v>No</v>
      </c>
      <c r="AE742" t="str">
        <f>IF(G742&lt;=2,"Short Stay", IF(G742&lt;=7,"Normal Stay", "Long Stay"))</f>
        <v>Long Stay</v>
      </c>
      <c r="AF742" t="str">
        <f>IF(F742&gt;60000,"Expensive",IF(F742&gt;30000,"Moderate","Affordable"))</f>
        <v>Affordable</v>
      </c>
      <c r="AG742" t="str">
        <f>IF(J742&gt;=4.5,"Excellent",IF(J742&gt;=3.5,"Good",IF(J742&gt;=2.5,"Average","Poor")))</f>
        <v>Excellent</v>
      </c>
      <c r="AH742" t="str">
        <f>IF(OR(TEXT(N742,"dddd")="Saturday",TEXT(N742,"dddd")="Sunday"),"Weekend","Weekday")</f>
        <v>Weekday</v>
      </c>
    </row>
    <row r="743" spans="1:34" x14ac:dyDescent="0.3">
      <c r="A743">
        <v>754</v>
      </c>
      <c r="B743">
        <v>70</v>
      </c>
      <c r="C743" t="s">
        <v>35</v>
      </c>
      <c r="D743" t="s">
        <v>54</v>
      </c>
      <c r="E743" t="s">
        <v>55</v>
      </c>
      <c r="F743">
        <v>10000</v>
      </c>
      <c r="G743">
        <v>58</v>
      </c>
      <c r="H743" t="s">
        <v>38</v>
      </c>
      <c r="I743" t="s">
        <v>39</v>
      </c>
      <c r="J743">
        <v>2</v>
      </c>
      <c r="K743" t="s">
        <v>160</v>
      </c>
      <c r="L743" t="s">
        <v>1609</v>
      </c>
      <c r="M743" t="s">
        <v>1610</v>
      </c>
      <c r="N743" s="2">
        <v>46399</v>
      </c>
      <c r="O743" s="2">
        <v>46457</v>
      </c>
      <c r="P743" t="s">
        <v>29</v>
      </c>
      <c r="Q743" t="s">
        <v>52</v>
      </c>
      <c r="R743" t="s">
        <v>59</v>
      </c>
      <c r="S743" t="s">
        <v>53</v>
      </c>
      <c r="T743" t="s">
        <v>33</v>
      </c>
      <c r="U743" t="s">
        <v>104</v>
      </c>
      <c r="V743" t="str">
        <f>IF(B743&lt;=18,"Children",IF(B743&lt;=35,"Young adult",IF(B743&lt;=60,"Adult", "Senior Citizen")))</f>
        <v>Senior Citizen</v>
      </c>
      <c r="W743" t="str">
        <f t="shared" si="77"/>
        <v>Jan</v>
      </c>
      <c r="X743">
        <f t="shared" si="78"/>
        <v>1</v>
      </c>
      <c r="Y743" t="str">
        <f t="shared" si="79"/>
        <v>Q1</v>
      </c>
      <c r="Z743">
        <f t="shared" si="80"/>
        <v>2027</v>
      </c>
      <c r="AA743" t="str">
        <f t="shared" si="81"/>
        <v>Tuesday</v>
      </c>
      <c r="AB743">
        <f t="shared" si="82"/>
        <v>-58</v>
      </c>
      <c r="AC743" t="str">
        <f>IF(OR(D743="Heart Disease",D743="Cancer",D743="Stroke"),"High",IF(OR(D743="Diabetes",D743="Asthma"),"Medium","Low"))</f>
        <v>High</v>
      </c>
      <c r="AD743" t="str">
        <f t="shared" si="83"/>
        <v>Yes</v>
      </c>
      <c r="AE743" t="str">
        <f>IF(G743&lt;=2,"Short Stay", IF(G743&lt;=7,"Normal Stay", "Long Stay"))</f>
        <v>Long Stay</v>
      </c>
      <c r="AF743" t="str">
        <f>IF(F743&gt;60000,"Expensive",IF(F743&gt;30000,"Moderate","Affordable"))</f>
        <v>Affordable</v>
      </c>
      <c r="AG743" t="str">
        <f>IF(J743&gt;=4.5,"Excellent",IF(J743&gt;=3.5,"Good",IF(J743&gt;=2.5,"Average","Poor")))</f>
        <v>Poor</v>
      </c>
      <c r="AH743" t="str">
        <f>IF(OR(TEXT(N743,"dddd")="Saturday",TEXT(N743,"dddd")="Sunday"),"Weekend","Weekday")</f>
        <v>Weekday</v>
      </c>
    </row>
    <row r="744" spans="1:34" x14ac:dyDescent="0.3">
      <c r="A744">
        <v>755</v>
      </c>
      <c r="B744">
        <v>55</v>
      </c>
      <c r="C744" t="s">
        <v>21</v>
      </c>
      <c r="D744" t="s">
        <v>60</v>
      </c>
      <c r="E744" t="s">
        <v>61</v>
      </c>
      <c r="F744">
        <v>25000</v>
      </c>
      <c r="G744">
        <v>60</v>
      </c>
      <c r="H744" t="s">
        <v>24</v>
      </c>
      <c r="I744" t="s">
        <v>25</v>
      </c>
      <c r="J744">
        <v>4</v>
      </c>
      <c r="K744" t="s">
        <v>133</v>
      </c>
      <c r="L744" t="s">
        <v>1611</v>
      </c>
      <c r="M744" t="s">
        <v>1612</v>
      </c>
      <c r="N744" s="2">
        <v>46400</v>
      </c>
      <c r="O744" s="2">
        <v>46460</v>
      </c>
      <c r="P744" t="s">
        <v>43</v>
      </c>
      <c r="Q744" t="s">
        <v>139</v>
      </c>
      <c r="R744" t="s">
        <v>65</v>
      </c>
      <c r="S744" t="s">
        <v>32</v>
      </c>
      <c r="T744" t="s">
        <v>33</v>
      </c>
      <c r="U744" t="s">
        <v>34</v>
      </c>
      <c r="V744" t="str">
        <f>IF(B744&lt;=18,"Children",IF(B744&lt;=35,"Young adult",IF(B744&lt;=60,"Adult", "Senior Citizen")))</f>
        <v>Adult</v>
      </c>
      <c r="W744" t="str">
        <f t="shared" si="77"/>
        <v>Jan</v>
      </c>
      <c r="X744">
        <f t="shared" si="78"/>
        <v>1</v>
      </c>
      <c r="Y744" t="str">
        <f t="shared" si="79"/>
        <v>Q1</v>
      </c>
      <c r="Z744">
        <f t="shared" si="80"/>
        <v>2027</v>
      </c>
      <c r="AA744" t="str">
        <f t="shared" si="81"/>
        <v>Wednesday</v>
      </c>
      <c r="AB744">
        <f t="shared" si="82"/>
        <v>-60</v>
      </c>
      <c r="AC744" t="str">
        <f>IF(OR(D744="Heart Disease",D744="Cancer",D744="Stroke"),"High",IF(OR(D744="Diabetes",D744="Asthma"),"Medium","Low"))</f>
        <v>High</v>
      </c>
      <c r="AD744" t="str">
        <f t="shared" si="83"/>
        <v>Yes</v>
      </c>
      <c r="AE744" t="str">
        <f>IF(G744&lt;=2,"Short Stay", IF(G744&lt;=7,"Normal Stay", "Long Stay"))</f>
        <v>Long Stay</v>
      </c>
      <c r="AF744" t="str">
        <f>IF(F744&gt;60000,"Expensive",IF(F744&gt;30000,"Moderate","Affordable"))</f>
        <v>Affordable</v>
      </c>
      <c r="AG744" t="str">
        <f>IF(J744&gt;=4.5,"Excellent",IF(J744&gt;=3.5,"Good",IF(J744&gt;=2.5,"Average","Poor")))</f>
        <v>Good</v>
      </c>
      <c r="AH744" t="str">
        <f>IF(OR(TEXT(N744,"dddd")="Saturday",TEXT(N744,"dddd")="Sunday"),"Weekend","Weekday")</f>
        <v>Weekday</v>
      </c>
    </row>
    <row r="745" spans="1:34" x14ac:dyDescent="0.3">
      <c r="A745">
        <v>756</v>
      </c>
      <c r="B745">
        <v>68</v>
      </c>
      <c r="C745" t="s">
        <v>35</v>
      </c>
      <c r="D745" t="s">
        <v>66</v>
      </c>
      <c r="E745" t="s">
        <v>67</v>
      </c>
      <c r="F745">
        <v>1000</v>
      </c>
      <c r="G745">
        <v>54</v>
      </c>
      <c r="H745" t="s">
        <v>24</v>
      </c>
      <c r="I745" t="s">
        <v>39</v>
      </c>
      <c r="J745">
        <v>4</v>
      </c>
      <c r="K745" t="s">
        <v>215</v>
      </c>
      <c r="L745" t="s">
        <v>1613</v>
      </c>
      <c r="M745" t="s">
        <v>1614</v>
      </c>
      <c r="N745" s="2">
        <v>46401</v>
      </c>
      <c r="O745" s="2">
        <v>46455</v>
      </c>
      <c r="P745" t="s">
        <v>29</v>
      </c>
      <c r="Q745" t="s">
        <v>44</v>
      </c>
      <c r="R745" t="s">
        <v>45</v>
      </c>
      <c r="S745" t="s">
        <v>72</v>
      </c>
      <c r="T745" t="s">
        <v>33</v>
      </c>
      <c r="U745" t="s">
        <v>104</v>
      </c>
      <c r="V745" t="str">
        <f>IF(B745&lt;=18,"Children",IF(B745&lt;=35,"Young adult",IF(B745&lt;=60,"Adult", "Senior Citizen")))</f>
        <v>Senior Citizen</v>
      </c>
      <c r="W745" t="str">
        <f t="shared" si="77"/>
        <v>Jan</v>
      </c>
      <c r="X745">
        <f t="shared" si="78"/>
        <v>1</v>
      </c>
      <c r="Y745" t="str">
        <f t="shared" si="79"/>
        <v>Q1</v>
      </c>
      <c r="Z745">
        <f t="shared" si="80"/>
        <v>2027</v>
      </c>
      <c r="AA745" t="str">
        <f t="shared" si="81"/>
        <v>Thursday</v>
      </c>
      <c r="AB745">
        <f t="shared" si="82"/>
        <v>-54</v>
      </c>
      <c r="AC745" t="str">
        <f>IF(OR(D745="Heart Disease",D745="Cancer",D745="Stroke"),"High",IF(OR(D745="Diabetes",D745="Asthma"),"Medium","Low"))</f>
        <v>Low</v>
      </c>
      <c r="AD745" t="str">
        <f t="shared" si="83"/>
        <v>No</v>
      </c>
      <c r="AE745" t="str">
        <f>IF(G745&lt;=2,"Short Stay", IF(G745&lt;=7,"Normal Stay", "Long Stay"))</f>
        <v>Long Stay</v>
      </c>
      <c r="AF745" t="str">
        <f>IF(F745&gt;60000,"Expensive",IF(F745&gt;30000,"Moderate","Affordable"))</f>
        <v>Affordable</v>
      </c>
      <c r="AG745" t="str">
        <f>IF(J745&gt;=4.5,"Excellent",IF(J745&gt;=3.5,"Good",IF(J745&gt;=2.5,"Average","Poor")))</f>
        <v>Good</v>
      </c>
      <c r="AH745" t="str">
        <f>IF(OR(TEXT(N745,"dddd")="Saturday",TEXT(N745,"dddd")="Sunday"),"Weekend","Weekday")</f>
        <v>Weekday</v>
      </c>
    </row>
    <row r="746" spans="1:34" x14ac:dyDescent="0.3">
      <c r="A746">
        <v>757</v>
      </c>
      <c r="B746">
        <v>45</v>
      </c>
      <c r="C746" t="s">
        <v>21</v>
      </c>
      <c r="D746" t="s">
        <v>73</v>
      </c>
      <c r="E746" t="s">
        <v>74</v>
      </c>
      <c r="F746">
        <v>8000</v>
      </c>
      <c r="G746">
        <v>56</v>
      </c>
      <c r="H746" t="s">
        <v>24</v>
      </c>
      <c r="I746" t="s">
        <v>25</v>
      </c>
      <c r="J746">
        <v>3</v>
      </c>
      <c r="K746" t="s">
        <v>125</v>
      </c>
      <c r="L746" t="s">
        <v>1615</v>
      </c>
      <c r="M746" t="s">
        <v>1616</v>
      </c>
      <c r="N746" s="2">
        <v>46402</v>
      </c>
      <c r="O746" s="2">
        <v>46458</v>
      </c>
      <c r="P746" t="s">
        <v>29</v>
      </c>
      <c r="Q746" t="s">
        <v>44</v>
      </c>
      <c r="R746" t="s">
        <v>45</v>
      </c>
      <c r="S746" t="s">
        <v>72</v>
      </c>
      <c r="T746" t="s">
        <v>33</v>
      </c>
      <c r="U746" t="s">
        <v>34</v>
      </c>
      <c r="V746" t="str">
        <f>IF(B746&lt;=18,"Children",IF(B746&lt;=35,"Young adult",IF(B746&lt;=60,"Adult", "Senior Citizen")))</f>
        <v>Adult</v>
      </c>
      <c r="W746" t="str">
        <f t="shared" si="77"/>
        <v>Jan</v>
      </c>
      <c r="X746">
        <f t="shared" si="78"/>
        <v>1</v>
      </c>
      <c r="Y746" t="str">
        <f t="shared" si="79"/>
        <v>Q1</v>
      </c>
      <c r="Z746">
        <f t="shared" si="80"/>
        <v>2027</v>
      </c>
      <c r="AA746" t="str">
        <f t="shared" si="81"/>
        <v>Friday</v>
      </c>
      <c r="AB746">
        <f t="shared" si="82"/>
        <v>-56</v>
      </c>
      <c r="AC746" t="str">
        <f>IF(OR(D746="Heart Disease",D746="Cancer",D746="Stroke"),"High",IF(OR(D746="Diabetes",D746="Asthma"),"Medium","Low"))</f>
        <v>Low</v>
      </c>
      <c r="AD746" t="str">
        <f t="shared" si="83"/>
        <v>No</v>
      </c>
      <c r="AE746" t="str">
        <f>IF(G746&lt;=2,"Short Stay", IF(G746&lt;=7,"Normal Stay", "Long Stay"))</f>
        <v>Long Stay</v>
      </c>
      <c r="AF746" t="str">
        <f>IF(F746&gt;60000,"Expensive",IF(F746&gt;30000,"Moderate","Affordable"))</f>
        <v>Affordable</v>
      </c>
      <c r="AG746" t="str">
        <f>IF(J746&gt;=4.5,"Excellent",IF(J746&gt;=3.5,"Good",IF(J746&gt;=2.5,"Average","Poor")))</f>
        <v>Average</v>
      </c>
      <c r="AH746" t="str">
        <f>IF(OR(TEXT(N746,"dddd")="Saturday",TEXT(N746,"dddd")="Sunday"),"Weekend","Weekday")</f>
        <v>Weekday</v>
      </c>
    </row>
    <row r="747" spans="1:34" x14ac:dyDescent="0.3">
      <c r="A747">
        <v>758</v>
      </c>
      <c r="B747">
        <v>40</v>
      </c>
      <c r="C747" t="s">
        <v>35</v>
      </c>
      <c r="D747" t="s">
        <v>79</v>
      </c>
      <c r="E747" t="s">
        <v>80</v>
      </c>
      <c r="F747">
        <v>3000</v>
      </c>
      <c r="G747">
        <v>56</v>
      </c>
      <c r="H747" t="s">
        <v>24</v>
      </c>
      <c r="I747" t="s">
        <v>25</v>
      </c>
      <c r="J747">
        <v>4</v>
      </c>
      <c r="K747" t="s">
        <v>101</v>
      </c>
      <c r="L747" t="s">
        <v>1617</v>
      </c>
      <c r="M747" t="s">
        <v>1618</v>
      </c>
      <c r="N747" s="2">
        <v>46403</v>
      </c>
      <c r="O747" s="2">
        <v>46459</v>
      </c>
      <c r="P747" t="s">
        <v>29</v>
      </c>
      <c r="Q747" t="s">
        <v>30</v>
      </c>
      <c r="R747" t="s">
        <v>45</v>
      </c>
      <c r="S747" t="s">
        <v>53</v>
      </c>
      <c r="T747" t="s">
        <v>33</v>
      </c>
      <c r="U747" t="s">
        <v>46</v>
      </c>
      <c r="V747" t="str">
        <f>IF(B747&lt;=18,"Children",IF(B747&lt;=35,"Young adult",IF(B747&lt;=60,"Adult", "Senior Citizen")))</f>
        <v>Adult</v>
      </c>
      <c r="W747" t="str">
        <f t="shared" si="77"/>
        <v>Jan</v>
      </c>
      <c r="X747">
        <f t="shared" si="78"/>
        <v>1</v>
      </c>
      <c r="Y747" t="str">
        <f t="shared" si="79"/>
        <v>Q1</v>
      </c>
      <c r="Z747">
        <f t="shared" si="80"/>
        <v>2027</v>
      </c>
      <c r="AA747" t="str">
        <f t="shared" si="81"/>
        <v>Saturday</v>
      </c>
      <c r="AB747">
        <f t="shared" si="82"/>
        <v>-56</v>
      </c>
      <c r="AC747" t="str">
        <f>IF(OR(D747="Heart Disease",D747="Cancer",D747="Stroke"),"High",IF(OR(D747="Diabetes",D747="Asthma"),"Medium","Low"))</f>
        <v>Low</v>
      </c>
      <c r="AD747" t="str">
        <f t="shared" si="83"/>
        <v>No</v>
      </c>
      <c r="AE747" t="str">
        <f>IF(G747&lt;=2,"Short Stay", IF(G747&lt;=7,"Normal Stay", "Long Stay"))</f>
        <v>Long Stay</v>
      </c>
      <c r="AF747" t="str">
        <f>IF(F747&gt;60000,"Expensive",IF(F747&gt;30000,"Moderate","Affordable"))</f>
        <v>Affordable</v>
      </c>
      <c r="AG747" t="str">
        <f>IF(J747&gt;=4.5,"Excellent",IF(J747&gt;=3.5,"Good",IF(J747&gt;=2.5,"Average","Poor")))</f>
        <v>Good</v>
      </c>
      <c r="AH747" t="str">
        <f>IF(OR(TEXT(N747,"dddd")="Saturday",TEXT(N747,"dddd")="Sunday"),"Weekend","Weekday")</f>
        <v>Weekend</v>
      </c>
    </row>
    <row r="748" spans="1:34" x14ac:dyDescent="0.3">
      <c r="A748">
        <v>759</v>
      </c>
      <c r="B748">
        <v>78</v>
      </c>
      <c r="C748" t="s">
        <v>21</v>
      </c>
      <c r="D748" t="s">
        <v>85</v>
      </c>
      <c r="E748" t="s">
        <v>86</v>
      </c>
      <c r="F748">
        <v>18000</v>
      </c>
      <c r="G748">
        <v>58</v>
      </c>
      <c r="H748" t="s">
        <v>38</v>
      </c>
      <c r="I748" t="s">
        <v>39</v>
      </c>
      <c r="J748">
        <v>2</v>
      </c>
      <c r="K748" t="s">
        <v>215</v>
      </c>
      <c r="L748" t="s">
        <v>1619</v>
      </c>
      <c r="M748" t="s">
        <v>1620</v>
      </c>
      <c r="N748" s="2">
        <v>46404</v>
      </c>
      <c r="O748" s="2">
        <v>46462</v>
      </c>
      <c r="P748" t="s">
        <v>43</v>
      </c>
      <c r="Q748" t="s">
        <v>139</v>
      </c>
      <c r="R748" t="s">
        <v>45</v>
      </c>
      <c r="S748" t="s">
        <v>77</v>
      </c>
      <c r="T748" t="s">
        <v>33</v>
      </c>
      <c r="U748" t="s">
        <v>34</v>
      </c>
      <c r="V748" t="str">
        <f>IF(B748&lt;=18,"Children",IF(B748&lt;=35,"Young adult",IF(B748&lt;=60,"Adult", "Senior Citizen")))</f>
        <v>Senior Citizen</v>
      </c>
      <c r="W748" t="str">
        <f t="shared" si="77"/>
        <v>Jan</v>
      </c>
      <c r="X748">
        <f t="shared" si="78"/>
        <v>1</v>
      </c>
      <c r="Y748" t="str">
        <f t="shared" si="79"/>
        <v>Q1</v>
      </c>
      <c r="Z748">
        <f t="shared" si="80"/>
        <v>2027</v>
      </c>
      <c r="AA748" t="str">
        <f t="shared" si="81"/>
        <v>Sunday</v>
      </c>
      <c r="AB748">
        <f t="shared" si="82"/>
        <v>-58</v>
      </c>
      <c r="AC748" t="str">
        <f>IF(OR(D748="Heart Disease",D748="Cancer",D748="Stroke"),"High",IF(OR(D748="Diabetes",D748="Asthma"),"Medium","Low"))</f>
        <v>Low</v>
      </c>
      <c r="AD748" t="str">
        <f t="shared" si="83"/>
        <v>No</v>
      </c>
      <c r="AE748" t="str">
        <f>IF(G748&lt;=2,"Short Stay", IF(G748&lt;=7,"Normal Stay", "Long Stay"))</f>
        <v>Long Stay</v>
      </c>
      <c r="AF748" t="str">
        <f>IF(F748&gt;60000,"Expensive",IF(F748&gt;30000,"Moderate","Affordable"))</f>
        <v>Affordable</v>
      </c>
      <c r="AG748" t="str">
        <f>IF(J748&gt;=4.5,"Excellent",IF(J748&gt;=3.5,"Good",IF(J748&gt;=2.5,"Average","Poor")))</f>
        <v>Poor</v>
      </c>
      <c r="AH748" t="str">
        <f>IF(OR(TEXT(N748,"dddd")="Saturday",TEXT(N748,"dddd")="Sunday"),"Weekend","Weekday")</f>
        <v>Weekend</v>
      </c>
    </row>
    <row r="749" spans="1:34" x14ac:dyDescent="0.3">
      <c r="A749">
        <v>760</v>
      </c>
      <c r="B749">
        <v>25</v>
      </c>
      <c r="C749" t="s">
        <v>35</v>
      </c>
      <c r="D749" t="s">
        <v>89</v>
      </c>
      <c r="E749" t="s">
        <v>90</v>
      </c>
      <c r="F749">
        <v>100</v>
      </c>
      <c r="G749">
        <v>51</v>
      </c>
      <c r="H749" t="s">
        <v>24</v>
      </c>
      <c r="I749" t="s">
        <v>25</v>
      </c>
      <c r="J749">
        <v>5</v>
      </c>
      <c r="K749" t="s">
        <v>172</v>
      </c>
      <c r="L749" t="s">
        <v>1621</v>
      </c>
      <c r="M749" t="s">
        <v>1622</v>
      </c>
      <c r="N749" s="2">
        <v>46405</v>
      </c>
      <c r="O749" s="2">
        <v>46456</v>
      </c>
      <c r="P749" t="s">
        <v>43</v>
      </c>
      <c r="Q749" t="s">
        <v>30</v>
      </c>
      <c r="R749" t="s">
        <v>45</v>
      </c>
      <c r="S749" t="s">
        <v>32</v>
      </c>
      <c r="T749" t="s">
        <v>33</v>
      </c>
      <c r="U749" t="s">
        <v>104</v>
      </c>
      <c r="V749" t="str">
        <f>IF(B749&lt;=18,"Children",IF(B749&lt;=35,"Young adult",IF(B749&lt;=60,"Adult", "Senior Citizen")))</f>
        <v>Young adult</v>
      </c>
      <c r="W749" t="str">
        <f t="shared" si="77"/>
        <v>Jan</v>
      </c>
      <c r="X749">
        <f t="shared" si="78"/>
        <v>1</v>
      </c>
      <c r="Y749" t="str">
        <f t="shared" si="79"/>
        <v>Q1</v>
      </c>
      <c r="Z749">
        <f t="shared" si="80"/>
        <v>2027</v>
      </c>
      <c r="AA749" t="str">
        <f t="shared" si="81"/>
        <v>Monday</v>
      </c>
      <c r="AB749">
        <f t="shared" si="82"/>
        <v>-51</v>
      </c>
      <c r="AC749" t="str">
        <f>IF(OR(D749="Heart Disease",D749="Cancer",D749="Stroke"),"High",IF(OR(D749="Diabetes",D749="Asthma"),"Medium","Low"))</f>
        <v>Low</v>
      </c>
      <c r="AD749" t="str">
        <f t="shared" si="83"/>
        <v>No</v>
      </c>
      <c r="AE749" t="str">
        <f>IF(G749&lt;=2,"Short Stay", IF(G749&lt;=7,"Normal Stay", "Long Stay"))</f>
        <v>Long Stay</v>
      </c>
      <c r="AF749" t="str">
        <f>IF(F749&gt;60000,"Expensive",IF(F749&gt;30000,"Moderate","Affordable"))</f>
        <v>Affordable</v>
      </c>
      <c r="AG749" t="str">
        <f>IF(J749&gt;=4.5,"Excellent",IF(J749&gt;=3.5,"Good",IF(J749&gt;=2.5,"Average","Poor")))</f>
        <v>Excellent</v>
      </c>
      <c r="AH749" t="str">
        <f>IF(OR(TEXT(N749,"dddd")="Saturday",TEXT(N749,"dddd")="Sunday"),"Weekend","Weekday")</f>
        <v>Weekday</v>
      </c>
    </row>
    <row r="750" spans="1:34" x14ac:dyDescent="0.3">
      <c r="A750">
        <v>761</v>
      </c>
      <c r="B750">
        <v>52</v>
      </c>
      <c r="C750" t="s">
        <v>21</v>
      </c>
      <c r="D750" t="s">
        <v>94</v>
      </c>
      <c r="E750" t="s">
        <v>95</v>
      </c>
      <c r="F750">
        <v>800</v>
      </c>
      <c r="G750">
        <v>52</v>
      </c>
      <c r="H750" t="s">
        <v>24</v>
      </c>
      <c r="I750" t="s">
        <v>39</v>
      </c>
      <c r="J750">
        <v>4</v>
      </c>
      <c r="K750" t="s">
        <v>154</v>
      </c>
      <c r="L750" t="s">
        <v>1623</v>
      </c>
      <c r="M750" t="s">
        <v>1624</v>
      </c>
      <c r="N750" s="2">
        <v>46406</v>
      </c>
      <c r="O750" s="2">
        <v>46458</v>
      </c>
      <c r="P750" t="s">
        <v>43</v>
      </c>
      <c r="Q750" t="s">
        <v>71</v>
      </c>
      <c r="R750" t="s">
        <v>45</v>
      </c>
      <c r="S750" t="s">
        <v>72</v>
      </c>
      <c r="T750" t="s">
        <v>33</v>
      </c>
      <c r="U750" t="s">
        <v>46</v>
      </c>
      <c r="V750" t="str">
        <f>IF(B750&lt;=18,"Children",IF(B750&lt;=35,"Young adult",IF(B750&lt;=60,"Adult", "Senior Citizen")))</f>
        <v>Adult</v>
      </c>
      <c r="W750" t="str">
        <f t="shared" si="77"/>
        <v>Jan</v>
      </c>
      <c r="X750">
        <f t="shared" si="78"/>
        <v>1</v>
      </c>
      <c r="Y750" t="str">
        <f t="shared" si="79"/>
        <v>Q1</v>
      </c>
      <c r="Z750">
        <f t="shared" si="80"/>
        <v>2027</v>
      </c>
      <c r="AA750" t="str">
        <f t="shared" si="81"/>
        <v>Tuesday</v>
      </c>
      <c r="AB750">
        <f t="shared" si="82"/>
        <v>-52</v>
      </c>
      <c r="AC750" t="str">
        <f>IF(OR(D750="Heart Disease",D750="Cancer",D750="Stroke"),"High",IF(OR(D750="Diabetes",D750="Asthma"),"Medium","Low"))</f>
        <v>Low</v>
      </c>
      <c r="AD750" t="str">
        <f t="shared" si="83"/>
        <v>No</v>
      </c>
      <c r="AE750" t="str">
        <f>IF(G750&lt;=2,"Short Stay", IF(G750&lt;=7,"Normal Stay", "Long Stay"))</f>
        <v>Long Stay</v>
      </c>
      <c r="AF750" t="str">
        <f>IF(F750&gt;60000,"Expensive",IF(F750&gt;30000,"Moderate","Affordable"))</f>
        <v>Affordable</v>
      </c>
      <c r="AG750" t="str">
        <f>IF(J750&gt;=4.5,"Excellent",IF(J750&gt;=3.5,"Good",IF(J750&gt;=2.5,"Average","Poor")))</f>
        <v>Good</v>
      </c>
      <c r="AH750" t="str">
        <f>IF(OR(TEXT(N750,"dddd")="Saturday",TEXT(N750,"dddd")="Sunday"),"Weekend","Weekday")</f>
        <v>Weekday</v>
      </c>
    </row>
    <row r="751" spans="1:34" x14ac:dyDescent="0.3">
      <c r="A751">
        <v>762</v>
      </c>
      <c r="B751">
        <v>58</v>
      </c>
      <c r="C751" t="s">
        <v>35</v>
      </c>
      <c r="D751" t="s">
        <v>99</v>
      </c>
      <c r="E751" t="s">
        <v>100</v>
      </c>
      <c r="F751">
        <v>20000</v>
      </c>
      <c r="G751">
        <v>59</v>
      </c>
      <c r="H751" t="s">
        <v>24</v>
      </c>
      <c r="I751" t="s">
        <v>25</v>
      </c>
      <c r="J751">
        <v>3</v>
      </c>
      <c r="K751" t="s">
        <v>26</v>
      </c>
      <c r="L751" t="s">
        <v>1625</v>
      </c>
      <c r="M751" t="s">
        <v>1626</v>
      </c>
      <c r="N751" s="2">
        <v>46407</v>
      </c>
      <c r="O751" s="2">
        <v>46466</v>
      </c>
      <c r="P751" t="s">
        <v>29</v>
      </c>
      <c r="Q751" t="s">
        <v>139</v>
      </c>
      <c r="R751" t="s">
        <v>45</v>
      </c>
      <c r="S751" t="s">
        <v>110</v>
      </c>
      <c r="T751" t="s">
        <v>33</v>
      </c>
      <c r="U751" t="s">
        <v>104</v>
      </c>
      <c r="V751" t="str">
        <f>IF(B751&lt;=18,"Children",IF(B751&lt;=35,"Young adult",IF(B751&lt;=60,"Adult", "Senior Citizen")))</f>
        <v>Adult</v>
      </c>
      <c r="W751" t="str">
        <f t="shared" si="77"/>
        <v>Jan</v>
      </c>
      <c r="X751">
        <f t="shared" si="78"/>
        <v>1</v>
      </c>
      <c r="Y751" t="str">
        <f t="shared" si="79"/>
        <v>Q1</v>
      </c>
      <c r="Z751">
        <f t="shared" si="80"/>
        <v>2027</v>
      </c>
      <c r="AA751" t="str">
        <f t="shared" si="81"/>
        <v>Wednesday</v>
      </c>
      <c r="AB751">
        <f t="shared" si="82"/>
        <v>-59</v>
      </c>
      <c r="AC751" t="str">
        <f>IF(OR(D751="Heart Disease",D751="Cancer",D751="Stroke"),"High",IF(OR(D751="Diabetes",D751="Asthma"),"Medium","Low"))</f>
        <v>Low</v>
      </c>
      <c r="AD751" t="str">
        <f t="shared" si="83"/>
        <v>No</v>
      </c>
      <c r="AE751" t="str">
        <f>IF(G751&lt;=2,"Short Stay", IF(G751&lt;=7,"Normal Stay", "Long Stay"))</f>
        <v>Long Stay</v>
      </c>
      <c r="AF751" t="str">
        <f>IF(F751&gt;60000,"Expensive",IF(F751&gt;30000,"Moderate","Affordable"))</f>
        <v>Affordable</v>
      </c>
      <c r="AG751" t="str">
        <f>IF(J751&gt;=4.5,"Excellent",IF(J751&gt;=3.5,"Good",IF(J751&gt;=2.5,"Average","Poor")))</f>
        <v>Average</v>
      </c>
      <c r="AH751" t="str">
        <f>IF(OR(TEXT(N751,"dddd")="Saturday",TEXT(N751,"dddd")="Sunday"),"Weekend","Weekday")</f>
        <v>Weekday</v>
      </c>
    </row>
    <row r="752" spans="1:34" x14ac:dyDescent="0.3">
      <c r="A752">
        <v>763</v>
      </c>
      <c r="B752">
        <v>32</v>
      </c>
      <c r="C752" t="s">
        <v>21</v>
      </c>
      <c r="D752" t="s">
        <v>105</v>
      </c>
      <c r="E752" t="s">
        <v>106</v>
      </c>
      <c r="F752">
        <v>12000</v>
      </c>
      <c r="G752">
        <v>53</v>
      </c>
      <c r="H752" t="s">
        <v>24</v>
      </c>
      <c r="I752" t="s">
        <v>25</v>
      </c>
      <c r="J752">
        <v>4</v>
      </c>
      <c r="K752" t="s">
        <v>49</v>
      </c>
      <c r="L752" t="s">
        <v>1627</v>
      </c>
      <c r="M752" t="s">
        <v>1628</v>
      </c>
      <c r="N752" s="2">
        <v>46408</v>
      </c>
      <c r="O752" s="2">
        <v>46461</v>
      </c>
      <c r="P752" t="s">
        <v>29</v>
      </c>
      <c r="Q752" t="s">
        <v>44</v>
      </c>
      <c r="R752" t="s">
        <v>45</v>
      </c>
      <c r="S752" t="s">
        <v>110</v>
      </c>
      <c r="T752" t="s">
        <v>33</v>
      </c>
      <c r="U752" t="s">
        <v>34</v>
      </c>
      <c r="V752" t="str">
        <f>IF(B752&lt;=18,"Children",IF(B752&lt;=35,"Young adult",IF(B752&lt;=60,"Adult", "Senior Citizen")))</f>
        <v>Young adult</v>
      </c>
      <c r="W752" t="str">
        <f t="shared" si="77"/>
        <v>Jan</v>
      </c>
      <c r="X752">
        <f t="shared" si="78"/>
        <v>1</v>
      </c>
      <c r="Y752" t="str">
        <f t="shared" si="79"/>
        <v>Q1</v>
      </c>
      <c r="Z752">
        <f t="shared" si="80"/>
        <v>2027</v>
      </c>
      <c r="AA752" t="str">
        <f t="shared" si="81"/>
        <v>Thursday</v>
      </c>
      <c r="AB752">
        <f t="shared" si="82"/>
        <v>-53</v>
      </c>
      <c r="AC752" t="str">
        <f>IF(OR(D752="Heart Disease",D752="Cancer",D752="Stroke"),"High",IF(OR(D752="Diabetes",D752="Asthma"),"Medium","Low"))</f>
        <v>Low</v>
      </c>
      <c r="AD752" t="str">
        <f t="shared" si="83"/>
        <v>No</v>
      </c>
      <c r="AE752" t="str">
        <f>IF(G752&lt;=2,"Short Stay", IF(G752&lt;=7,"Normal Stay", "Long Stay"))</f>
        <v>Long Stay</v>
      </c>
      <c r="AF752" t="str">
        <f>IF(F752&gt;60000,"Expensive",IF(F752&gt;30000,"Moderate","Affordable"))</f>
        <v>Affordable</v>
      </c>
      <c r="AG752" t="str">
        <f>IF(J752&gt;=4.5,"Excellent",IF(J752&gt;=3.5,"Good",IF(J752&gt;=2.5,"Average","Poor")))</f>
        <v>Good</v>
      </c>
      <c r="AH752" t="str">
        <f>IF(OR(TEXT(N752,"dddd")="Saturday",TEXT(N752,"dddd")="Sunday"),"Weekend","Weekday")</f>
        <v>Weekday</v>
      </c>
    </row>
    <row r="753" spans="1:34" x14ac:dyDescent="0.3">
      <c r="A753">
        <v>764</v>
      </c>
      <c r="B753">
        <v>55</v>
      </c>
      <c r="C753" t="s">
        <v>35</v>
      </c>
      <c r="D753" t="s">
        <v>111</v>
      </c>
      <c r="E753" t="s">
        <v>112</v>
      </c>
      <c r="F753">
        <v>6000</v>
      </c>
      <c r="G753">
        <v>54</v>
      </c>
      <c r="H753" t="s">
        <v>24</v>
      </c>
      <c r="I753" t="s">
        <v>25</v>
      </c>
      <c r="J753">
        <v>3</v>
      </c>
      <c r="K753" t="s">
        <v>482</v>
      </c>
      <c r="L753" t="s">
        <v>1629</v>
      </c>
      <c r="M753" t="s">
        <v>1630</v>
      </c>
      <c r="N753" s="2">
        <v>46409</v>
      </c>
      <c r="O753" s="2">
        <v>46463</v>
      </c>
      <c r="P753" t="s">
        <v>29</v>
      </c>
      <c r="Q753" t="s">
        <v>30</v>
      </c>
      <c r="R753" t="s">
        <v>45</v>
      </c>
      <c r="S753" t="s">
        <v>77</v>
      </c>
      <c r="T753" t="s">
        <v>33</v>
      </c>
      <c r="U753" t="s">
        <v>78</v>
      </c>
      <c r="V753" t="str">
        <f>IF(B753&lt;=18,"Children",IF(B753&lt;=35,"Young adult",IF(B753&lt;=60,"Adult", "Senior Citizen")))</f>
        <v>Adult</v>
      </c>
      <c r="W753" t="str">
        <f t="shared" si="77"/>
        <v>Jan</v>
      </c>
      <c r="X753">
        <f t="shared" si="78"/>
        <v>1</v>
      </c>
      <c r="Y753" t="str">
        <f t="shared" si="79"/>
        <v>Q1</v>
      </c>
      <c r="Z753">
        <f t="shared" si="80"/>
        <v>2027</v>
      </c>
      <c r="AA753" t="str">
        <f t="shared" si="81"/>
        <v>Friday</v>
      </c>
      <c r="AB753">
        <f t="shared" si="82"/>
        <v>-54</v>
      </c>
      <c r="AC753" t="str">
        <f>IF(OR(D753="Heart Disease",D753="Cancer",D753="Stroke"),"High",IF(OR(D753="Diabetes",D753="Asthma"),"Medium","Low"))</f>
        <v>Low</v>
      </c>
      <c r="AD753" t="str">
        <f t="shared" si="83"/>
        <v>No</v>
      </c>
      <c r="AE753" t="str">
        <f>IF(G753&lt;=2,"Short Stay", IF(G753&lt;=7,"Normal Stay", "Long Stay"))</f>
        <v>Long Stay</v>
      </c>
      <c r="AF753" t="str">
        <f>IF(F753&gt;60000,"Expensive",IF(F753&gt;30000,"Moderate","Affordable"))</f>
        <v>Affordable</v>
      </c>
      <c r="AG753" t="str">
        <f>IF(J753&gt;=4.5,"Excellent",IF(J753&gt;=3.5,"Good",IF(J753&gt;=2.5,"Average","Poor")))</f>
        <v>Average</v>
      </c>
      <c r="AH753" t="str">
        <f>IF(OR(TEXT(N753,"dddd")="Saturday",TEXT(N753,"dddd")="Sunday"),"Weekend","Weekday")</f>
        <v>Weekday</v>
      </c>
    </row>
    <row r="754" spans="1:34" x14ac:dyDescent="0.3">
      <c r="A754">
        <v>765</v>
      </c>
      <c r="B754">
        <v>65</v>
      </c>
      <c r="C754" t="s">
        <v>21</v>
      </c>
      <c r="D754" t="s">
        <v>116</v>
      </c>
      <c r="E754" t="s">
        <v>117</v>
      </c>
      <c r="F754">
        <v>4000</v>
      </c>
      <c r="G754">
        <v>55</v>
      </c>
      <c r="H754" t="s">
        <v>24</v>
      </c>
      <c r="I754" t="s">
        <v>39</v>
      </c>
      <c r="J754">
        <v>4</v>
      </c>
      <c r="K754" t="s">
        <v>144</v>
      </c>
      <c r="L754" t="s">
        <v>1631</v>
      </c>
      <c r="M754" t="s">
        <v>1632</v>
      </c>
      <c r="N754" s="2">
        <v>46410</v>
      </c>
      <c r="O754" s="2">
        <v>46465</v>
      </c>
      <c r="P754" t="s">
        <v>43</v>
      </c>
      <c r="Q754" t="s">
        <v>30</v>
      </c>
      <c r="R754" t="s">
        <v>45</v>
      </c>
      <c r="S754" t="s">
        <v>110</v>
      </c>
      <c r="T754" t="s">
        <v>33</v>
      </c>
      <c r="U754" t="s">
        <v>104</v>
      </c>
      <c r="V754" t="str">
        <f>IF(B754&lt;=18,"Children",IF(B754&lt;=35,"Young adult",IF(B754&lt;=60,"Adult", "Senior Citizen")))</f>
        <v>Senior Citizen</v>
      </c>
      <c r="W754" t="str">
        <f t="shared" si="77"/>
        <v>Jan</v>
      </c>
      <c r="X754">
        <f t="shared" si="78"/>
        <v>1</v>
      </c>
      <c r="Y754" t="str">
        <f t="shared" si="79"/>
        <v>Q1</v>
      </c>
      <c r="Z754">
        <f t="shared" si="80"/>
        <v>2027</v>
      </c>
      <c r="AA754" t="str">
        <f t="shared" si="81"/>
        <v>Saturday</v>
      </c>
      <c r="AB754">
        <f t="shared" si="82"/>
        <v>-55</v>
      </c>
      <c r="AC754" t="str">
        <f>IF(OR(D754="Heart Disease",D754="Cancer",D754="Stroke"),"High",IF(OR(D754="Diabetes",D754="Asthma"),"Medium","Low"))</f>
        <v>Low</v>
      </c>
      <c r="AD754" t="str">
        <f t="shared" si="83"/>
        <v>No</v>
      </c>
      <c r="AE754" t="str">
        <f>IF(G754&lt;=2,"Short Stay", IF(G754&lt;=7,"Normal Stay", "Long Stay"))</f>
        <v>Long Stay</v>
      </c>
      <c r="AF754" t="str">
        <f>IF(F754&gt;60000,"Expensive",IF(F754&gt;30000,"Moderate","Affordable"))</f>
        <v>Affordable</v>
      </c>
      <c r="AG754" t="str">
        <f>IF(J754&gt;=4.5,"Excellent",IF(J754&gt;=3.5,"Good",IF(J754&gt;=2.5,"Average","Poor")))</f>
        <v>Good</v>
      </c>
      <c r="AH754" t="str">
        <f>IF(OR(TEXT(N754,"dddd")="Saturday",TEXT(N754,"dddd")="Sunday"),"Weekend","Weekday")</f>
        <v>Weekend</v>
      </c>
    </row>
    <row r="755" spans="1:34" x14ac:dyDescent="0.3">
      <c r="A755">
        <v>766</v>
      </c>
      <c r="B755">
        <v>55</v>
      </c>
      <c r="C755" t="s">
        <v>21</v>
      </c>
      <c r="D755" t="s">
        <v>22</v>
      </c>
      <c r="E755" t="s">
        <v>23</v>
      </c>
      <c r="F755">
        <v>15000</v>
      </c>
      <c r="G755">
        <v>56</v>
      </c>
      <c r="H755" t="s">
        <v>38</v>
      </c>
      <c r="I755" t="s">
        <v>25</v>
      </c>
      <c r="J755">
        <v>3</v>
      </c>
      <c r="K755" t="s">
        <v>245</v>
      </c>
      <c r="L755" t="s">
        <v>1633</v>
      </c>
      <c r="M755" t="s">
        <v>1634</v>
      </c>
      <c r="N755" s="2">
        <v>46411</v>
      </c>
      <c r="O755" s="2">
        <v>46467</v>
      </c>
      <c r="P755" t="s">
        <v>29</v>
      </c>
      <c r="Q755" t="s">
        <v>139</v>
      </c>
      <c r="R755" t="s">
        <v>31</v>
      </c>
      <c r="S755" t="s">
        <v>77</v>
      </c>
      <c r="T755" t="s">
        <v>33</v>
      </c>
      <c r="U755" t="s">
        <v>34</v>
      </c>
      <c r="V755" t="str">
        <f>IF(B755&lt;=18,"Children",IF(B755&lt;=35,"Young adult",IF(B755&lt;=60,"Adult", "Senior Citizen")))</f>
        <v>Adult</v>
      </c>
      <c r="W755" t="str">
        <f t="shared" si="77"/>
        <v>Jan</v>
      </c>
      <c r="X755">
        <f t="shared" si="78"/>
        <v>1</v>
      </c>
      <c r="Y755" t="str">
        <f t="shared" si="79"/>
        <v>Q1</v>
      </c>
      <c r="Z755">
        <f t="shared" si="80"/>
        <v>2027</v>
      </c>
      <c r="AA755" t="str">
        <f t="shared" si="81"/>
        <v>Sunday</v>
      </c>
      <c r="AB755">
        <f t="shared" si="82"/>
        <v>-56</v>
      </c>
      <c r="AC755" t="str">
        <f>IF(OR(D755="Heart Disease",D755="Cancer",D755="Stroke"),"High",IF(OR(D755="Diabetes",D755="Asthma"),"Medium","Low"))</f>
        <v>High</v>
      </c>
      <c r="AD755" t="str">
        <f t="shared" si="83"/>
        <v>Yes</v>
      </c>
      <c r="AE755" t="str">
        <f>IF(G755&lt;=2,"Short Stay", IF(G755&lt;=7,"Normal Stay", "Long Stay"))</f>
        <v>Long Stay</v>
      </c>
      <c r="AF755" t="str">
        <f>IF(F755&gt;60000,"Expensive",IF(F755&gt;30000,"Moderate","Affordable"))</f>
        <v>Affordable</v>
      </c>
      <c r="AG755" t="str">
        <f>IF(J755&gt;=4.5,"Excellent",IF(J755&gt;=3.5,"Good",IF(J755&gt;=2.5,"Average","Poor")))</f>
        <v>Average</v>
      </c>
      <c r="AH755" t="str">
        <f>IF(OR(TEXT(N755,"dddd")="Saturday",TEXT(N755,"dddd")="Sunday"),"Weekend","Weekday")</f>
        <v>Weekend</v>
      </c>
    </row>
    <row r="756" spans="1:34" x14ac:dyDescent="0.3">
      <c r="A756">
        <v>767</v>
      </c>
      <c r="B756">
        <v>62</v>
      </c>
      <c r="C756" t="s">
        <v>35</v>
      </c>
      <c r="D756" t="s">
        <v>36</v>
      </c>
      <c r="E756" t="s">
        <v>37</v>
      </c>
      <c r="F756">
        <v>2000</v>
      </c>
      <c r="G756">
        <v>54</v>
      </c>
      <c r="H756" t="s">
        <v>24</v>
      </c>
      <c r="I756" t="s">
        <v>39</v>
      </c>
      <c r="J756">
        <v>4</v>
      </c>
      <c r="K756" t="s">
        <v>172</v>
      </c>
      <c r="L756" t="s">
        <v>1635</v>
      </c>
      <c r="M756" t="s">
        <v>1636</v>
      </c>
      <c r="N756" s="2">
        <v>46412</v>
      </c>
      <c r="O756" s="2">
        <v>46466</v>
      </c>
      <c r="P756" t="s">
        <v>43</v>
      </c>
      <c r="Q756" t="s">
        <v>139</v>
      </c>
      <c r="R756" t="s">
        <v>45</v>
      </c>
      <c r="S756" t="s">
        <v>72</v>
      </c>
      <c r="T756" t="s">
        <v>33</v>
      </c>
      <c r="U756" t="s">
        <v>78</v>
      </c>
      <c r="V756" t="str">
        <f>IF(B756&lt;=18,"Children",IF(B756&lt;=35,"Young adult",IF(B756&lt;=60,"Adult", "Senior Citizen")))</f>
        <v>Senior Citizen</v>
      </c>
      <c r="W756" t="str">
        <f t="shared" si="77"/>
        <v>Jan</v>
      </c>
      <c r="X756">
        <f t="shared" si="78"/>
        <v>1</v>
      </c>
      <c r="Y756" t="str">
        <f t="shared" si="79"/>
        <v>Q1</v>
      </c>
      <c r="Z756">
        <f t="shared" si="80"/>
        <v>2027</v>
      </c>
      <c r="AA756" t="str">
        <f t="shared" si="81"/>
        <v>Monday</v>
      </c>
      <c r="AB756">
        <f t="shared" si="82"/>
        <v>-54</v>
      </c>
      <c r="AC756" t="str">
        <f>IF(OR(D756="Heart Disease",D756="Cancer",D756="Stroke"),"High",IF(OR(D756="Diabetes",D756="Asthma"),"Medium","Low"))</f>
        <v>Medium</v>
      </c>
      <c r="AD756" t="str">
        <f t="shared" si="83"/>
        <v>No</v>
      </c>
      <c r="AE756" t="str">
        <f>IF(G756&lt;=2,"Short Stay", IF(G756&lt;=7,"Normal Stay", "Long Stay"))</f>
        <v>Long Stay</v>
      </c>
      <c r="AF756" t="str">
        <f>IF(F756&gt;60000,"Expensive",IF(F756&gt;30000,"Moderate","Affordable"))</f>
        <v>Affordable</v>
      </c>
      <c r="AG756" t="str">
        <f>IF(J756&gt;=4.5,"Excellent",IF(J756&gt;=3.5,"Good",IF(J756&gt;=2.5,"Average","Poor")))</f>
        <v>Good</v>
      </c>
      <c r="AH756" t="str">
        <f>IF(OR(TEXT(N756,"dddd")="Saturday",TEXT(N756,"dddd")="Sunday"),"Weekend","Weekday")</f>
        <v>Weekday</v>
      </c>
    </row>
    <row r="757" spans="1:34" x14ac:dyDescent="0.3">
      <c r="A757">
        <v>768</v>
      </c>
      <c r="B757">
        <v>35</v>
      </c>
      <c r="C757" t="s">
        <v>21</v>
      </c>
      <c r="D757" t="s">
        <v>47</v>
      </c>
      <c r="E757" t="s">
        <v>48</v>
      </c>
      <c r="F757">
        <v>500</v>
      </c>
      <c r="G757">
        <v>52</v>
      </c>
      <c r="H757" t="s">
        <v>38</v>
      </c>
      <c r="I757" t="s">
        <v>25</v>
      </c>
      <c r="J757">
        <v>5</v>
      </c>
      <c r="K757" t="s">
        <v>160</v>
      </c>
      <c r="L757" t="s">
        <v>1637</v>
      </c>
      <c r="M757" t="s">
        <v>1638</v>
      </c>
      <c r="N757" s="2">
        <v>46413</v>
      </c>
      <c r="O757" s="2">
        <v>46465</v>
      </c>
      <c r="P757" t="s">
        <v>29</v>
      </c>
      <c r="Q757" t="s">
        <v>71</v>
      </c>
      <c r="R757" t="s">
        <v>45</v>
      </c>
      <c r="S757" t="s">
        <v>84</v>
      </c>
      <c r="T757" t="s">
        <v>33</v>
      </c>
      <c r="U757" t="s">
        <v>34</v>
      </c>
      <c r="V757" t="str">
        <f>IF(B757&lt;=18,"Children",IF(B757&lt;=35,"Young adult",IF(B757&lt;=60,"Adult", "Senior Citizen")))</f>
        <v>Young adult</v>
      </c>
      <c r="W757" t="str">
        <f t="shared" si="77"/>
        <v>Jan</v>
      </c>
      <c r="X757">
        <f t="shared" si="78"/>
        <v>1</v>
      </c>
      <c r="Y757" t="str">
        <f t="shared" si="79"/>
        <v>Q1</v>
      </c>
      <c r="Z757">
        <f t="shared" si="80"/>
        <v>2027</v>
      </c>
      <c r="AA757" t="str">
        <f t="shared" si="81"/>
        <v>Tuesday</v>
      </c>
      <c r="AB757">
        <f t="shared" si="82"/>
        <v>-52</v>
      </c>
      <c r="AC757" t="str">
        <f>IF(OR(D757="Heart Disease",D757="Cancer",D757="Stroke"),"High",IF(OR(D757="Diabetes",D757="Asthma"),"Medium","Low"))</f>
        <v>Low</v>
      </c>
      <c r="AD757" t="str">
        <f t="shared" si="83"/>
        <v>No</v>
      </c>
      <c r="AE757" t="str">
        <f>IF(G757&lt;=2,"Short Stay", IF(G757&lt;=7,"Normal Stay", "Long Stay"))</f>
        <v>Long Stay</v>
      </c>
      <c r="AF757" t="str">
        <f>IF(F757&gt;60000,"Expensive",IF(F757&gt;30000,"Moderate","Affordable"))</f>
        <v>Affordable</v>
      </c>
      <c r="AG757" t="str">
        <f>IF(J757&gt;=4.5,"Excellent",IF(J757&gt;=3.5,"Good",IF(J757&gt;=2.5,"Average","Poor")))</f>
        <v>Excellent</v>
      </c>
      <c r="AH757" t="str">
        <f>IF(OR(TEXT(N757,"dddd")="Saturday",TEXT(N757,"dddd")="Sunday"),"Weekend","Weekday")</f>
        <v>Weekday</v>
      </c>
    </row>
    <row r="758" spans="1:34" x14ac:dyDescent="0.3">
      <c r="A758">
        <v>769</v>
      </c>
      <c r="B758">
        <v>78</v>
      </c>
      <c r="C758" t="s">
        <v>35</v>
      </c>
      <c r="D758" t="s">
        <v>54</v>
      </c>
      <c r="E758" t="s">
        <v>55</v>
      </c>
      <c r="F758">
        <v>10000</v>
      </c>
      <c r="G758">
        <v>59</v>
      </c>
      <c r="H758" t="s">
        <v>24</v>
      </c>
      <c r="I758" t="s">
        <v>39</v>
      </c>
      <c r="J758">
        <v>2</v>
      </c>
      <c r="K758" t="s">
        <v>154</v>
      </c>
      <c r="L758" t="s">
        <v>1639</v>
      </c>
      <c r="M758" t="s">
        <v>1640</v>
      </c>
      <c r="N758" s="2">
        <v>46414</v>
      </c>
      <c r="O758" s="2">
        <v>46473</v>
      </c>
      <c r="P758" t="s">
        <v>29</v>
      </c>
      <c r="Q758" t="s">
        <v>30</v>
      </c>
      <c r="R758" t="s">
        <v>59</v>
      </c>
      <c r="S758" t="s">
        <v>32</v>
      </c>
      <c r="T758" t="s">
        <v>33</v>
      </c>
      <c r="U758" t="s">
        <v>34</v>
      </c>
      <c r="V758" t="str">
        <f>IF(B758&lt;=18,"Children",IF(B758&lt;=35,"Young adult",IF(B758&lt;=60,"Adult", "Senior Citizen")))</f>
        <v>Senior Citizen</v>
      </c>
      <c r="W758" t="str">
        <f t="shared" si="77"/>
        <v>Jan</v>
      </c>
      <c r="X758">
        <f t="shared" si="78"/>
        <v>1</v>
      </c>
      <c r="Y758" t="str">
        <f t="shared" si="79"/>
        <v>Q1</v>
      </c>
      <c r="Z758">
        <f t="shared" si="80"/>
        <v>2027</v>
      </c>
      <c r="AA758" t="str">
        <f t="shared" si="81"/>
        <v>Wednesday</v>
      </c>
      <c r="AB758">
        <f t="shared" si="82"/>
        <v>-59</v>
      </c>
      <c r="AC758" t="str">
        <f>IF(OR(D758="Heart Disease",D758="Cancer",D758="Stroke"),"High",IF(OR(D758="Diabetes",D758="Asthma"),"Medium","Low"))</f>
        <v>High</v>
      </c>
      <c r="AD758" t="str">
        <f t="shared" si="83"/>
        <v>Yes</v>
      </c>
      <c r="AE758" t="str">
        <f>IF(G758&lt;=2,"Short Stay", IF(G758&lt;=7,"Normal Stay", "Long Stay"))</f>
        <v>Long Stay</v>
      </c>
      <c r="AF758" t="str">
        <f>IF(F758&gt;60000,"Expensive",IF(F758&gt;30000,"Moderate","Affordable"))</f>
        <v>Affordable</v>
      </c>
      <c r="AG758" t="str">
        <f>IF(J758&gt;=4.5,"Excellent",IF(J758&gt;=3.5,"Good",IF(J758&gt;=2.5,"Average","Poor")))</f>
        <v>Poor</v>
      </c>
      <c r="AH758" t="str">
        <f>IF(OR(TEXT(N758,"dddd")="Saturday",TEXT(N758,"dddd")="Sunday"),"Weekend","Weekday")</f>
        <v>Weekday</v>
      </c>
    </row>
    <row r="759" spans="1:34" x14ac:dyDescent="0.3">
      <c r="A759">
        <v>770</v>
      </c>
      <c r="B759">
        <v>53</v>
      </c>
      <c r="C759" t="s">
        <v>21</v>
      </c>
      <c r="D759" t="s">
        <v>60</v>
      </c>
      <c r="E759" t="s">
        <v>61</v>
      </c>
      <c r="F759">
        <v>25000</v>
      </c>
      <c r="G759">
        <v>61</v>
      </c>
      <c r="H759" t="s">
        <v>38</v>
      </c>
      <c r="I759" t="s">
        <v>25</v>
      </c>
      <c r="J759">
        <v>4</v>
      </c>
      <c r="K759" t="s">
        <v>136</v>
      </c>
      <c r="L759" t="s">
        <v>1641</v>
      </c>
      <c r="M759" t="s">
        <v>1642</v>
      </c>
      <c r="N759" s="2">
        <v>46415</v>
      </c>
      <c r="O759" s="2">
        <v>46476</v>
      </c>
      <c r="P759" t="s">
        <v>29</v>
      </c>
      <c r="Q759" t="s">
        <v>139</v>
      </c>
      <c r="R759" t="s">
        <v>65</v>
      </c>
      <c r="S759" t="s">
        <v>72</v>
      </c>
      <c r="T759" t="s">
        <v>33</v>
      </c>
      <c r="U759" t="s">
        <v>104</v>
      </c>
      <c r="V759" t="str">
        <f>IF(B759&lt;=18,"Children",IF(B759&lt;=35,"Young adult",IF(B759&lt;=60,"Adult", "Senior Citizen")))</f>
        <v>Adult</v>
      </c>
      <c r="W759" t="str">
        <f t="shared" si="77"/>
        <v>Jan</v>
      </c>
      <c r="X759">
        <f t="shared" si="78"/>
        <v>1</v>
      </c>
      <c r="Y759" t="str">
        <f t="shared" si="79"/>
        <v>Q1</v>
      </c>
      <c r="Z759">
        <f t="shared" si="80"/>
        <v>2027</v>
      </c>
      <c r="AA759" t="str">
        <f t="shared" si="81"/>
        <v>Thursday</v>
      </c>
      <c r="AB759">
        <f t="shared" si="82"/>
        <v>-61</v>
      </c>
      <c r="AC759" t="str">
        <f>IF(OR(D759="Heart Disease",D759="Cancer",D759="Stroke"),"High",IF(OR(D759="Diabetes",D759="Asthma"),"Medium","Low"))</f>
        <v>High</v>
      </c>
      <c r="AD759" t="str">
        <f t="shared" si="83"/>
        <v>Yes</v>
      </c>
      <c r="AE759" t="str">
        <f>IF(G759&lt;=2,"Short Stay", IF(G759&lt;=7,"Normal Stay", "Long Stay"))</f>
        <v>Long Stay</v>
      </c>
      <c r="AF759" t="str">
        <f>IF(F759&gt;60000,"Expensive",IF(F759&gt;30000,"Moderate","Affordable"))</f>
        <v>Affordable</v>
      </c>
      <c r="AG759" t="str">
        <f>IF(J759&gt;=4.5,"Excellent",IF(J759&gt;=3.5,"Good",IF(J759&gt;=2.5,"Average","Poor")))</f>
        <v>Good</v>
      </c>
      <c r="AH759" t="str">
        <f>IF(OR(TEXT(N759,"dddd")="Saturday",TEXT(N759,"dddd")="Sunday"),"Weekend","Weekday")</f>
        <v>Weekday</v>
      </c>
    </row>
    <row r="760" spans="1:34" x14ac:dyDescent="0.3">
      <c r="A760">
        <v>771</v>
      </c>
      <c r="B760">
        <v>72</v>
      </c>
      <c r="C760" t="s">
        <v>35</v>
      </c>
      <c r="D760" t="s">
        <v>66</v>
      </c>
      <c r="E760" t="s">
        <v>67</v>
      </c>
      <c r="F760">
        <v>1000</v>
      </c>
      <c r="G760">
        <v>55</v>
      </c>
      <c r="H760" t="s">
        <v>24</v>
      </c>
      <c r="I760" t="s">
        <v>39</v>
      </c>
      <c r="J760">
        <v>4</v>
      </c>
      <c r="K760" t="s">
        <v>345</v>
      </c>
      <c r="L760" t="s">
        <v>1643</v>
      </c>
      <c r="M760" t="s">
        <v>1644</v>
      </c>
      <c r="N760" s="2">
        <v>46416</v>
      </c>
      <c r="O760" s="2">
        <v>46471</v>
      </c>
      <c r="P760" t="s">
        <v>43</v>
      </c>
      <c r="Q760" t="s">
        <v>30</v>
      </c>
      <c r="R760" t="s">
        <v>45</v>
      </c>
      <c r="S760" t="s">
        <v>53</v>
      </c>
      <c r="T760" t="s">
        <v>33</v>
      </c>
      <c r="U760" t="s">
        <v>104</v>
      </c>
      <c r="V760" t="str">
        <f>IF(B760&lt;=18,"Children",IF(B760&lt;=35,"Young adult",IF(B760&lt;=60,"Adult", "Senior Citizen")))</f>
        <v>Senior Citizen</v>
      </c>
      <c r="W760" t="str">
        <f t="shared" si="77"/>
        <v>Jan</v>
      </c>
      <c r="X760">
        <f t="shared" si="78"/>
        <v>1</v>
      </c>
      <c r="Y760" t="str">
        <f t="shared" si="79"/>
        <v>Q1</v>
      </c>
      <c r="Z760">
        <f t="shared" si="80"/>
        <v>2027</v>
      </c>
      <c r="AA760" t="str">
        <f t="shared" si="81"/>
        <v>Friday</v>
      </c>
      <c r="AB760">
        <f t="shared" si="82"/>
        <v>-55</v>
      </c>
      <c r="AC760" t="str">
        <f>IF(OR(D760="Heart Disease",D760="Cancer",D760="Stroke"),"High",IF(OR(D760="Diabetes",D760="Asthma"),"Medium","Low"))</f>
        <v>Low</v>
      </c>
      <c r="AD760" t="str">
        <f t="shared" si="83"/>
        <v>No</v>
      </c>
      <c r="AE760" t="str">
        <f>IF(G760&lt;=2,"Short Stay", IF(G760&lt;=7,"Normal Stay", "Long Stay"))</f>
        <v>Long Stay</v>
      </c>
      <c r="AF760" t="str">
        <f>IF(F760&gt;60000,"Expensive",IF(F760&gt;30000,"Moderate","Affordable"))</f>
        <v>Affordable</v>
      </c>
      <c r="AG760" t="str">
        <f>IF(J760&gt;=4.5,"Excellent",IF(J760&gt;=3.5,"Good",IF(J760&gt;=2.5,"Average","Poor")))</f>
        <v>Good</v>
      </c>
      <c r="AH760" t="str">
        <f>IF(OR(TEXT(N760,"dddd")="Saturday",TEXT(N760,"dddd")="Sunday"),"Weekend","Weekday")</f>
        <v>Weekday</v>
      </c>
    </row>
    <row r="761" spans="1:34" x14ac:dyDescent="0.3">
      <c r="A761">
        <v>772</v>
      </c>
      <c r="B761">
        <v>60</v>
      </c>
      <c r="C761" t="s">
        <v>21</v>
      </c>
      <c r="D761" t="s">
        <v>73</v>
      </c>
      <c r="E761" t="s">
        <v>74</v>
      </c>
      <c r="F761">
        <v>8000</v>
      </c>
      <c r="G761">
        <v>57</v>
      </c>
      <c r="H761" t="s">
        <v>38</v>
      </c>
      <c r="I761" t="s">
        <v>25</v>
      </c>
      <c r="J761">
        <v>3</v>
      </c>
      <c r="K761" t="s">
        <v>133</v>
      </c>
      <c r="L761" t="s">
        <v>1645</v>
      </c>
      <c r="M761" t="s">
        <v>1646</v>
      </c>
      <c r="N761" s="2">
        <v>46417</v>
      </c>
      <c r="O761" s="2">
        <v>46474</v>
      </c>
      <c r="P761" t="s">
        <v>43</v>
      </c>
      <c r="Q761" t="s">
        <v>139</v>
      </c>
      <c r="R761" t="s">
        <v>45</v>
      </c>
      <c r="S761" t="s">
        <v>32</v>
      </c>
      <c r="T761" t="s">
        <v>33</v>
      </c>
      <c r="U761" t="s">
        <v>104</v>
      </c>
      <c r="V761" t="str">
        <f>IF(B761&lt;=18,"Children",IF(B761&lt;=35,"Young adult",IF(B761&lt;=60,"Adult", "Senior Citizen")))</f>
        <v>Adult</v>
      </c>
      <c r="W761" t="str">
        <f t="shared" si="77"/>
        <v>Jan</v>
      </c>
      <c r="X761">
        <f t="shared" si="78"/>
        <v>1</v>
      </c>
      <c r="Y761" t="str">
        <f t="shared" si="79"/>
        <v>Q1</v>
      </c>
      <c r="Z761">
        <f t="shared" si="80"/>
        <v>2027</v>
      </c>
      <c r="AA761" t="str">
        <f t="shared" si="81"/>
        <v>Saturday</v>
      </c>
      <c r="AB761">
        <f t="shared" si="82"/>
        <v>-57</v>
      </c>
      <c r="AC761" t="str">
        <f>IF(OR(D761="Heart Disease",D761="Cancer",D761="Stroke"),"High",IF(OR(D761="Diabetes",D761="Asthma"),"Medium","Low"))</f>
        <v>Low</v>
      </c>
      <c r="AD761" t="str">
        <f t="shared" si="83"/>
        <v>No</v>
      </c>
      <c r="AE761" t="str">
        <f>IF(G761&lt;=2,"Short Stay", IF(G761&lt;=7,"Normal Stay", "Long Stay"))</f>
        <v>Long Stay</v>
      </c>
      <c r="AF761" t="str">
        <f>IF(F761&gt;60000,"Expensive",IF(F761&gt;30000,"Moderate","Affordable"))</f>
        <v>Affordable</v>
      </c>
      <c r="AG761" t="str">
        <f>IF(J761&gt;=4.5,"Excellent",IF(J761&gt;=3.5,"Good",IF(J761&gt;=2.5,"Average","Poor")))</f>
        <v>Average</v>
      </c>
      <c r="AH761" t="str">
        <f>IF(OR(TEXT(N761,"dddd")="Saturday",TEXT(N761,"dddd")="Sunday"),"Weekend","Weekday")</f>
        <v>Weekend</v>
      </c>
    </row>
    <row r="762" spans="1:34" x14ac:dyDescent="0.3">
      <c r="A762">
        <v>773</v>
      </c>
      <c r="B762">
        <v>45</v>
      </c>
      <c r="C762" t="s">
        <v>35</v>
      </c>
      <c r="D762" t="s">
        <v>79</v>
      </c>
      <c r="E762" t="s">
        <v>80</v>
      </c>
      <c r="F762">
        <v>3000</v>
      </c>
      <c r="G762">
        <v>57</v>
      </c>
      <c r="H762" t="s">
        <v>24</v>
      </c>
      <c r="I762" t="s">
        <v>25</v>
      </c>
      <c r="J762">
        <v>4</v>
      </c>
      <c r="K762" t="s">
        <v>178</v>
      </c>
      <c r="L762" t="s">
        <v>1647</v>
      </c>
      <c r="M762" t="s">
        <v>1648</v>
      </c>
      <c r="N762" s="2">
        <v>46418</v>
      </c>
      <c r="O762" s="2">
        <v>46475</v>
      </c>
      <c r="P762" t="s">
        <v>43</v>
      </c>
      <c r="Q762" t="s">
        <v>52</v>
      </c>
      <c r="R762" t="s">
        <v>45</v>
      </c>
      <c r="S762" t="s">
        <v>72</v>
      </c>
      <c r="T762" t="s">
        <v>33</v>
      </c>
      <c r="U762" t="s">
        <v>78</v>
      </c>
      <c r="V762" t="str">
        <f>IF(B762&lt;=18,"Children",IF(B762&lt;=35,"Young adult",IF(B762&lt;=60,"Adult", "Senior Citizen")))</f>
        <v>Adult</v>
      </c>
      <c r="W762" t="str">
        <f t="shared" si="77"/>
        <v>Jan</v>
      </c>
      <c r="X762">
        <f t="shared" si="78"/>
        <v>1</v>
      </c>
      <c r="Y762" t="str">
        <f t="shared" si="79"/>
        <v>Q1</v>
      </c>
      <c r="Z762">
        <f t="shared" si="80"/>
        <v>2027</v>
      </c>
      <c r="AA762" t="str">
        <f t="shared" si="81"/>
        <v>Sunday</v>
      </c>
      <c r="AB762">
        <f t="shared" si="82"/>
        <v>-57</v>
      </c>
      <c r="AC762" t="str">
        <f>IF(OR(D762="Heart Disease",D762="Cancer",D762="Stroke"),"High",IF(OR(D762="Diabetes",D762="Asthma"),"Medium","Low"))</f>
        <v>Low</v>
      </c>
      <c r="AD762" t="str">
        <f t="shared" si="83"/>
        <v>No</v>
      </c>
      <c r="AE762" t="str">
        <f>IF(G762&lt;=2,"Short Stay", IF(G762&lt;=7,"Normal Stay", "Long Stay"))</f>
        <v>Long Stay</v>
      </c>
      <c r="AF762" t="str">
        <f>IF(F762&gt;60000,"Expensive",IF(F762&gt;30000,"Moderate","Affordable"))</f>
        <v>Affordable</v>
      </c>
      <c r="AG762" t="str">
        <f>IF(J762&gt;=4.5,"Excellent",IF(J762&gt;=3.5,"Good",IF(J762&gt;=2.5,"Average","Poor")))</f>
        <v>Good</v>
      </c>
      <c r="AH762" t="str">
        <f>IF(OR(TEXT(N762,"dddd")="Saturday",TEXT(N762,"dddd")="Sunday"),"Weekend","Weekday")</f>
        <v>Weekend</v>
      </c>
    </row>
    <row r="763" spans="1:34" x14ac:dyDescent="0.3">
      <c r="A763">
        <v>774</v>
      </c>
      <c r="B763">
        <v>75</v>
      </c>
      <c r="C763" t="s">
        <v>21</v>
      </c>
      <c r="D763" t="s">
        <v>85</v>
      </c>
      <c r="E763" t="s">
        <v>86</v>
      </c>
      <c r="F763">
        <v>18000</v>
      </c>
      <c r="G763">
        <v>59</v>
      </c>
      <c r="H763" t="s">
        <v>38</v>
      </c>
      <c r="I763" t="s">
        <v>39</v>
      </c>
      <c r="J763">
        <v>2</v>
      </c>
      <c r="K763" t="s">
        <v>194</v>
      </c>
      <c r="L763" t="s">
        <v>1649</v>
      </c>
      <c r="M763" t="s">
        <v>1650</v>
      </c>
      <c r="N763" s="2">
        <v>46419</v>
      </c>
      <c r="O763" s="2">
        <v>46478</v>
      </c>
      <c r="P763" t="s">
        <v>29</v>
      </c>
      <c r="Q763" t="s">
        <v>52</v>
      </c>
      <c r="R763" t="s">
        <v>45</v>
      </c>
      <c r="S763" t="s">
        <v>84</v>
      </c>
      <c r="T763" t="s">
        <v>33</v>
      </c>
      <c r="U763" t="s">
        <v>78</v>
      </c>
      <c r="V763" t="str">
        <f>IF(B763&lt;=18,"Children",IF(B763&lt;=35,"Young adult",IF(B763&lt;=60,"Adult", "Senior Citizen")))</f>
        <v>Senior Citizen</v>
      </c>
      <c r="W763" t="str">
        <f t="shared" si="77"/>
        <v>Feb</v>
      </c>
      <c r="X763">
        <f t="shared" si="78"/>
        <v>2</v>
      </c>
      <c r="Y763" t="str">
        <f t="shared" si="79"/>
        <v>Q1</v>
      </c>
      <c r="Z763">
        <f t="shared" si="80"/>
        <v>2027</v>
      </c>
      <c r="AA763" t="str">
        <f t="shared" si="81"/>
        <v>Monday</v>
      </c>
      <c r="AB763">
        <f t="shared" si="82"/>
        <v>-59</v>
      </c>
      <c r="AC763" t="str">
        <f>IF(OR(D763="Heart Disease",D763="Cancer",D763="Stroke"),"High",IF(OR(D763="Diabetes",D763="Asthma"),"Medium","Low"))</f>
        <v>Low</v>
      </c>
      <c r="AD763" t="str">
        <f t="shared" si="83"/>
        <v>No</v>
      </c>
      <c r="AE763" t="str">
        <f>IF(G763&lt;=2,"Short Stay", IF(G763&lt;=7,"Normal Stay", "Long Stay"))</f>
        <v>Long Stay</v>
      </c>
      <c r="AF763" t="str">
        <f>IF(F763&gt;60000,"Expensive",IF(F763&gt;30000,"Moderate","Affordable"))</f>
        <v>Affordable</v>
      </c>
      <c r="AG763" t="str">
        <f>IF(J763&gt;=4.5,"Excellent",IF(J763&gt;=3.5,"Good",IF(J763&gt;=2.5,"Average","Poor")))</f>
        <v>Poor</v>
      </c>
      <c r="AH763" t="str">
        <f>IF(OR(TEXT(N763,"dddd")="Saturday",TEXT(N763,"dddd")="Sunday"),"Weekend","Weekday")</f>
        <v>Weekday</v>
      </c>
    </row>
    <row r="764" spans="1:34" x14ac:dyDescent="0.3">
      <c r="A764">
        <v>775</v>
      </c>
      <c r="B764">
        <v>28</v>
      </c>
      <c r="C764" t="s">
        <v>35</v>
      </c>
      <c r="D764" t="s">
        <v>89</v>
      </c>
      <c r="E764" t="s">
        <v>90</v>
      </c>
      <c r="F764">
        <v>100</v>
      </c>
      <c r="G764">
        <v>52</v>
      </c>
      <c r="H764" t="s">
        <v>24</v>
      </c>
      <c r="I764" t="s">
        <v>25</v>
      </c>
      <c r="J764">
        <v>5</v>
      </c>
      <c r="K764" t="s">
        <v>68</v>
      </c>
      <c r="L764" t="s">
        <v>1651</v>
      </c>
      <c r="M764" t="s">
        <v>1652</v>
      </c>
      <c r="N764" s="2">
        <v>46420</v>
      </c>
      <c r="O764" s="2">
        <v>46472</v>
      </c>
      <c r="P764" t="s">
        <v>43</v>
      </c>
      <c r="Q764" t="s">
        <v>71</v>
      </c>
      <c r="R764" t="s">
        <v>45</v>
      </c>
      <c r="S764" t="s">
        <v>77</v>
      </c>
      <c r="T764" t="s">
        <v>33</v>
      </c>
      <c r="U764" t="s">
        <v>104</v>
      </c>
      <c r="V764" t="str">
        <f>IF(B764&lt;=18,"Children",IF(B764&lt;=35,"Young adult",IF(B764&lt;=60,"Adult", "Senior Citizen")))</f>
        <v>Young adult</v>
      </c>
      <c r="W764" t="str">
        <f t="shared" si="77"/>
        <v>Feb</v>
      </c>
      <c r="X764">
        <f t="shared" si="78"/>
        <v>2</v>
      </c>
      <c r="Y764" t="str">
        <f t="shared" si="79"/>
        <v>Q1</v>
      </c>
      <c r="Z764">
        <f t="shared" si="80"/>
        <v>2027</v>
      </c>
      <c r="AA764" t="str">
        <f t="shared" si="81"/>
        <v>Tuesday</v>
      </c>
      <c r="AB764">
        <f t="shared" si="82"/>
        <v>-52</v>
      </c>
      <c r="AC764" t="str">
        <f>IF(OR(D764="Heart Disease",D764="Cancer",D764="Stroke"),"High",IF(OR(D764="Diabetes",D764="Asthma"),"Medium","Low"))</f>
        <v>Low</v>
      </c>
      <c r="AD764" t="str">
        <f t="shared" si="83"/>
        <v>No</v>
      </c>
      <c r="AE764" t="str">
        <f>IF(G764&lt;=2,"Short Stay", IF(G764&lt;=7,"Normal Stay", "Long Stay"))</f>
        <v>Long Stay</v>
      </c>
      <c r="AF764" t="str">
        <f>IF(F764&gt;60000,"Expensive",IF(F764&gt;30000,"Moderate","Affordable"))</f>
        <v>Affordable</v>
      </c>
      <c r="AG764" t="str">
        <f>IF(J764&gt;=4.5,"Excellent",IF(J764&gt;=3.5,"Good",IF(J764&gt;=2.5,"Average","Poor")))</f>
        <v>Excellent</v>
      </c>
      <c r="AH764" t="str">
        <f>IF(OR(TEXT(N764,"dddd")="Saturday",TEXT(N764,"dddd")="Sunday"),"Weekend","Weekday")</f>
        <v>Weekday</v>
      </c>
    </row>
    <row r="765" spans="1:34" x14ac:dyDescent="0.3">
      <c r="A765">
        <v>776</v>
      </c>
      <c r="B765">
        <v>52</v>
      </c>
      <c r="C765" t="s">
        <v>21</v>
      </c>
      <c r="D765" t="s">
        <v>94</v>
      </c>
      <c r="E765" t="s">
        <v>95</v>
      </c>
      <c r="F765">
        <v>800</v>
      </c>
      <c r="G765">
        <v>53</v>
      </c>
      <c r="H765" t="s">
        <v>24</v>
      </c>
      <c r="I765" t="s">
        <v>39</v>
      </c>
      <c r="J765">
        <v>4</v>
      </c>
      <c r="K765" t="s">
        <v>245</v>
      </c>
      <c r="L765" t="s">
        <v>1653</v>
      </c>
      <c r="M765" t="s">
        <v>1654</v>
      </c>
      <c r="N765" s="2">
        <v>46421</v>
      </c>
      <c r="O765" s="2">
        <v>46474</v>
      </c>
      <c r="P765" t="s">
        <v>43</v>
      </c>
      <c r="Q765" t="s">
        <v>139</v>
      </c>
      <c r="R765" t="s">
        <v>45</v>
      </c>
      <c r="S765" t="s">
        <v>77</v>
      </c>
      <c r="T765" t="s">
        <v>33</v>
      </c>
      <c r="U765" t="s">
        <v>46</v>
      </c>
      <c r="V765" t="str">
        <f>IF(B765&lt;=18,"Children",IF(B765&lt;=35,"Young adult",IF(B765&lt;=60,"Adult", "Senior Citizen")))</f>
        <v>Adult</v>
      </c>
      <c r="W765" t="str">
        <f t="shared" si="77"/>
        <v>Feb</v>
      </c>
      <c r="X765">
        <f t="shared" si="78"/>
        <v>2</v>
      </c>
      <c r="Y765" t="str">
        <f t="shared" si="79"/>
        <v>Q1</v>
      </c>
      <c r="Z765">
        <f t="shared" si="80"/>
        <v>2027</v>
      </c>
      <c r="AA765" t="str">
        <f t="shared" si="81"/>
        <v>Wednesday</v>
      </c>
      <c r="AB765">
        <f t="shared" si="82"/>
        <v>-53</v>
      </c>
      <c r="AC765" t="str">
        <f>IF(OR(D765="Heart Disease",D765="Cancer",D765="Stroke"),"High",IF(OR(D765="Diabetes",D765="Asthma"),"Medium","Low"))</f>
        <v>Low</v>
      </c>
      <c r="AD765" t="str">
        <f t="shared" si="83"/>
        <v>No</v>
      </c>
      <c r="AE765" t="str">
        <f>IF(G765&lt;=2,"Short Stay", IF(G765&lt;=7,"Normal Stay", "Long Stay"))</f>
        <v>Long Stay</v>
      </c>
      <c r="AF765" t="str">
        <f>IF(F765&gt;60000,"Expensive",IF(F765&gt;30000,"Moderate","Affordable"))</f>
        <v>Affordable</v>
      </c>
      <c r="AG765" t="str">
        <f>IF(J765&gt;=4.5,"Excellent",IF(J765&gt;=3.5,"Good",IF(J765&gt;=2.5,"Average","Poor")))</f>
        <v>Good</v>
      </c>
      <c r="AH765" t="str">
        <f>IF(OR(TEXT(N765,"dddd")="Saturday",TEXT(N765,"dddd")="Sunday"),"Weekend","Weekday")</f>
        <v>Weekday</v>
      </c>
    </row>
    <row r="766" spans="1:34" x14ac:dyDescent="0.3">
      <c r="A766">
        <v>777</v>
      </c>
      <c r="B766">
        <v>67</v>
      </c>
      <c r="C766" t="s">
        <v>35</v>
      </c>
      <c r="D766" t="s">
        <v>99</v>
      </c>
      <c r="E766" t="s">
        <v>100</v>
      </c>
      <c r="F766">
        <v>20000</v>
      </c>
      <c r="G766">
        <v>60</v>
      </c>
      <c r="H766" t="s">
        <v>24</v>
      </c>
      <c r="I766" t="s">
        <v>25</v>
      </c>
      <c r="J766">
        <v>3</v>
      </c>
      <c r="K766" t="s">
        <v>136</v>
      </c>
      <c r="L766" t="s">
        <v>1655</v>
      </c>
      <c r="M766" t="s">
        <v>1656</v>
      </c>
      <c r="N766" s="2">
        <v>46422</v>
      </c>
      <c r="O766" s="2">
        <v>46482</v>
      </c>
      <c r="P766" t="s">
        <v>29</v>
      </c>
      <c r="Q766" t="s">
        <v>71</v>
      </c>
      <c r="R766" t="s">
        <v>45</v>
      </c>
      <c r="S766" t="s">
        <v>77</v>
      </c>
      <c r="T766" t="s">
        <v>33</v>
      </c>
      <c r="U766" t="s">
        <v>34</v>
      </c>
      <c r="V766" t="str">
        <f>IF(B766&lt;=18,"Children",IF(B766&lt;=35,"Young adult",IF(B766&lt;=60,"Adult", "Senior Citizen")))</f>
        <v>Senior Citizen</v>
      </c>
      <c r="W766" t="str">
        <f t="shared" si="77"/>
        <v>Feb</v>
      </c>
      <c r="X766">
        <f t="shared" si="78"/>
        <v>2</v>
      </c>
      <c r="Y766" t="str">
        <f t="shared" si="79"/>
        <v>Q1</v>
      </c>
      <c r="Z766">
        <f t="shared" si="80"/>
        <v>2027</v>
      </c>
      <c r="AA766" t="str">
        <f t="shared" si="81"/>
        <v>Thursday</v>
      </c>
      <c r="AB766">
        <f t="shared" si="82"/>
        <v>-60</v>
      </c>
      <c r="AC766" t="str">
        <f>IF(OR(D766="Heart Disease",D766="Cancer",D766="Stroke"),"High",IF(OR(D766="Diabetes",D766="Asthma"),"Medium","Low"))</f>
        <v>Low</v>
      </c>
      <c r="AD766" t="str">
        <f t="shared" si="83"/>
        <v>No</v>
      </c>
      <c r="AE766" t="str">
        <f>IF(G766&lt;=2,"Short Stay", IF(G766&lt;=7,"Normal Stay", "Long Stay"))</f>
        <v>Long Stay</v>
      </c>
      <c r="AF766" t="str">
        <f>IF(F766&gt;60000,"Expensive",IF(F766&gt;30000,"Moderate","Affordable"))</f>
        <v>Affordable</v>
      </c>
      <c r="AG766" t="str">
        <f>IF(J766&gt;=4.5,"Excellent",IF(J766&gt;=3.5,"Good",IF(J766&gt;=2.5,"Average","Poor")))</f>
        <v>Average</v>
      </c>
      <c r="AH766" t="str">
        <f>IF(OR(TEXT(N766,"dddd")="Saturday",TEXT(N766,"dddd")="Sunday"),"Weekend","Weekday")</f>
        <v>Weekday</v>
      </c>
    </row>
    <row r="767" spans="1:34" x14ac:dyDescent="0.3">
      <c r="A767">
        <v>778</v>
      </c>
      <c r="B767">
        <v>35</v>
      </c>
      <c r="C767" t="s">
        <v>21</v>
      </c>
      <c r="D767" t="s">
        <v>105</v>
      </c>
      <c r="E767" t="s">
        <v>106</v>
      </c>
      <c r="F767">
        <v>12000</v>
      </c>
      <c r="G767">
        <v>54</v>
      </c>
      <c r="H767" t="s">
        <v>24</v>
      </c>
      <c r="I767" t="s">
        <v>25</v>
      </c>
      <c r="J767">
        <v>4</v>
      </c>
      <c r="K767" t="s">
        <v>294</v>
      </c>
      <c r="L767" t="s">
        <v>1657</v>
      </c>
      <c r="M767" t="s">
        <v>1658</v>
      </c>
      <c r="N767" s="2">
        <v>46423</v>
      </c>
      <c r="O767" s="2">
        <v>46477</v>
      </c>
      <c r="P767" t="s">
        <v>43</v>
      </c>
      <c r="Q767" t="s">
        <v>71</v>
      </c>
      <c r="R767" t="s">
        <v>45</v>
      </c>
      <c r="S767" t="s">
        <v>53</v>
      </c>
      <c r="T767" t="s">
        <v>33</v>
      </c>
      <c r="U767" t="s">
        <v>78</v>
      </c>
      <c r="V767" t="str">
        <f>IF(B767&lt;=18,"Children",IF(B767&lt;=35,"Young adult",IF(B767&lt;=60,"Adult", "Senior Citizen")))</f>
        <v>Young adult</v>
      </c>
      <c r="W767" t="str">
        <f t="shared" si="77"/>
        <v>Feb</v>
      </c>
      <c r="X767">
        <f t="shared" si="78"/>
        <v>2</v>
      </c>
      <c r="Y767" t="str">
        <f t="shared" si="79"/>
        <v>Q1</v>
      </c>
      <c r="Z767">
        <f t="shared" si="80"/>
        <v>2027</v>
      </c>
      <c r="AA767" t="str">
        <f t="shared" si="81"/>
        <v>Friday</v>
      </c>
      <c r="AB767">
        <f t="shared" si="82"/>
        <v>-54</v>
      </c>
      <c r="AC767" t="str">
        <f>IF(OR(D767="Heart Disease",D767="Cancer",D767="Stroke"),"High",IF(OR(D767="Diabetes",D767="Asthma"),"Medium","Low"))</f>
        <v>Low</v>
      </c>
      <c r="AD767" t="str">
        <f t="shared" si="83"/>
        <v>No</v>
      </c>
      <c r="AE767" t="str">
        <f>IF(G767&lt;=2,"Short Stay", IF(G767&lt;=7,"Normal Stay", "Long Stay"))</f>
        <v>Long Stay</v>
      </c>
      <c r="AF767" t="str">
        <f>IF(F767&gt;60000,"Expensive",IF(F767&gt;30000,"Moderate","Affordable"))</f>
        <v>Affordable</v>
      </c>
      <c r="AG767" t="str">
        <f>IF(J767&gt;=4.5,"Excellent",IF(J767&gt;=3.5,"Good",IF(J767&gt;=2.5,"Average","Poor")))</f>
        <v>Good</v>
      </c>
      <c r="AH767" t="str">
        <f>IF(OR(TEXT(N767,"dddd")="Saturday",TEXT(N767,"dddd")="Sunday"),"Weekend","Weekday")</f>
        <v>Weekday</v>
      </c>
    </row>
    <row r="768" spans="1:34" x14ac:dyDescent="0.3">
      <c r="A768">
        <v>779</v>
      </c>
      <c r="B768">
        <v>50</v>
      </c>
      <c r="C768" t="s">
        <v>35</v>
      </c>
      <c r="D768" t="s">
        <v>111</v>
      </c>
      <c r="E768" t="s">
        <v>112</v>
      </c>
      <c r="F768">
        <v>6000</v>
      </c>
      <c r="G768">
        <v>55</v>
      </c>
      <c r="H768" t="s">
        <v>24</v>
      </c>
      <c r="I768" t="s">
        <v>25</v>
      </c>
      <c r="J768">
        <v>3</v>
      </c>
      <c r="K768" t="s">
        <v>101</v>
      </c>
      <c r="L768" t="s">
        <v>1659</v>
      </c>
      <c r="M768" t="s">
        <v>1660</v>
      </c>
      <c r="N768" s="2">
        <v>46424</v>
      </c>
      <c r="O768" s="2">
        <v>46479</v>
      </c>
      <c r="P768" t="s">
        <v>29</v>
      </c>
      <c r="Q768" t="s">
        <v>44</v>
      </c>
      <c r="R768" t="s">
        <v>45</v>
      </c>
      <c r="S768" t="s">
        <v>110</v>
      </c>
      <c r="T768" t="s">
        <v>33</v>
      </c>
      <c r="U768" t="s">
        <v>104</v>
      </c>
      <c r="V768" t="str">
        <f>IF(B768&lt;=18,"Children",IF(B768&lt;=35,"Young adult",IF(B768&lt;=60,"Adult", "Senior Citizen")))</f>
        <v>Adult</v>
      </c>
      <c r="W768" t="str">
        <f t="shared" si="77"/>
        <v>Feb</v>
      </c>
      <c r="X768">
        <f t="shared" si="78"/>
        <v>2</v>
      </c>
      <c r="Y768" t="str">
        <f t="shared" si="79"/>
        <v>Q1</v>
      </c>
      <c r="Z768">
        <f t="shared" si="80"/>
        <v>2027</v>
      </c>
      <c r="AA768" t="str">
        <f t="shared" si="81"/>
        <v>Saturday</v>
      </c>
      <c r="AB768">
        <f t="shared" si="82"/>
        <v>-55</v>
      </c>
      <c r="AC768" t="str">
        <f>IF(OR(D768="Heart Disease",D768="Cancer",D768="Stroke"),"High",IF(OR(D768="Diabetes",D768="Asthma"),"Medium","Low"))</f>
        <v>Low</v>
      </c>
      <c r="AD768" t="str">
        <f t="shared" si="83"/>
        <v>No</v>
      </c>
      <c r="AE768" t="str">
        <f>IF(G768&lt;=2,"Short Stay", IF(G768&lt;=7,"Normal Stay", "Long Stay"))</f>
        <v>Long Stay</v>
      </c>
      <c r="AF768" t="str">
        <f>IF(F768&gt;60000,"Expensive",IF(F768&gt;30000,"Moderate","Affordable"))</f>
        <v>Affordable</v>
      </c>
      <c r="AG768" t="str">
        <f>IF(J768&gt;=4.5,"Excellent",IF(J768&gt;=3.5,"Good",IF(J768&gt;=2.5,"Average","Poor")))</f>
        <v>Average</v>
      </c>
      <c r="AH768" t="str">
        <f>IF(OR(TEXT(N768,"dddd")="Saturday",TEXT(N768,"dddd")="Sunday"),"Weekend","Weekday")</f>
        <v>Weekend</v>
      </c>
    </row>
    <row r="769" spans="1:34" x14ac:dyDescent="0.3">
      <c r="A769">
        <v>780</v>
      </c>
      <c r="B769">
        <v>60</v>
      </c>
      <c r="C769" t="s">
        <v>21</v>
      </c>
      <c r="D769" t="s">
        <v>116</v>
      </c>
      <c r="E769" t="s">
        <v>117</v>
      </c>
      <c r="F769">
        <v>4000</v>
      </c>
      <c r="G769">
        <v>56</v>
      </c>
      <c r="H769" t="s">
        <v>24</v>
      </c>
      <c r="I769" t="s">
        <v>39</v>
      </c>
      <c r="J769">
        <v>4</v>
      </c>
      <c r="K769" t="s">
        <v>128</v>
      </c>
      <c r="L769" t="s">
        <v>1661</v>
      </c>
      <c r="M769" t="s">
        <v>1662</v>
      </c>
      <c r="N769" s="2">
        <v>46425</v>
      </c>
      <c r="O769" s="2">
        <v>46481</v>
      </c>
      <c r="P769" t="s">
        <v>43</v>
      </c>
      <c r="Q769" t="s">
        <v>52</v>
      </c>
      <c r="R769" t="s">
        <v>45</v>
      </c>
      <c r="S769" t="s">
        <v>53</v>
      </c>
      <c r="T769" t="s">
        <v>33</v>
      </c>
      <c r="U769" t="s">
        <v>46</v>
      </c>
      <c r="V769" t="str">
        <f>IF(B769&lt;=18,"Children",IF(B769&lt;=35,"Young adult",IF(B769&lt;=60,"Adult", "Senior Citizen")))</f>
        <v>Adult</v>
      </c>
      <c r="W769" t="str">
        <f t="shared" si="77"/>
        <v>Feb</v>
      </c>
      <c r="X769">
        <f t="shared" si="78"/>
        <v>2</v>
      </c>
      <c r="Y769" t="str">
        <f t="shared" si="79"/>
        <v>Q1</v>
      </c>
      <c r="Z769">
        <f t="shared" si="80"/>
        <v>2027</v>
      </c>
      <c r="AA769" t="str">
        <f t="shared" si="81"/>
        <v>Sunday</v>
      </c>
      <c r="AB769">
        <f t="shared" si="82"/>
        <v>-56</v>
      </c>
      <c r="AC769" t="str">
        <f>IF(OR(D769="Heart Disease",D769="Cancer",D769="Stroke"),"High",IF(OR(D769="Diabetes",D769="Asthma"),"Medium","Low"))</f>
        <v>Low</v>
      </c>
      <c r="AD769" t="str">
        <f t="shared" si="83"/>
        <v>No</v>
      </c>
      <c r="AE769" t="str">
        <f>IF(G769&lt;=2,"Short Stay", IF(G769&lt;=7,"Normal Stay", "Long Stay"))</f>
        <v>Long Stay</v>
      </c>
      <c r="AF769" t="str">
        <f>IF(F769&gt;60000,"Expensive",IF(F769&gt;30000,"Moderate","Affordable"))</f>
        <v>Affordable</v>
      </c>
      <c r="AG769" t="str">
        <f>IF(J769&gt;=4.5,"Excellent",IF(J769&gt;=3.5,"Good",IF(J769&gt;=2.5,"Average","Poor")))</f>
        <v>Good</v>
      </c>
      <c r="AH769" t="str">
        <f>IF(OR(TEXT(N769,"dddd")="Saturday",TEXT(N769,"dddd")="Sunday"),"Weekend","Weekday")</f>
        <v>Weekend</v>
      </c>
    </row>
    <row r="770" spans="1:34" x14ac:dyDescent="0.3">
      <c r="A770">
        <v>781</v>
      </c>
      <c r="B770">
        <v>48</v>
      </c>
      <c r="C770" t="s">
        <v>21</v>
      </c>
      <c r="D770" t="s">
        <v>22</v>
      </c>
      <c r="E770" t="s">
        <v>23</v>
      </c>
      <c r="F770">
        <v>15000</v>
      </c>
      <c r="G770">
        <v>57</v>
      </c>
      <c r="H770" t="s">
        <v>38</v>
      </c>
      <c r="I770" t="s">
        <v>25</v>
      </c>
      <c r="J770">
        <v>4</v>
      </c>
      <c r="K770" t="s">
        <v>175</v>
      </c>
      <c r="L770" t="s">
        <v>1663</v>
      </c>
      <c r="M770" t="s">
        <v>1664</v>
      </c>
      <c r="N770" s="2">
        <v>46426</v>
      </c>
      <c r="O770" s="2">
        <v>46483</v>
      </c>
      <c r="P770" t="s">
        <v>29</v>
      </c>
      <c r="Q770" t="s">
        <v>139</v>
      </c>
      <c r="R770" t="s">
        <v>31</v>
      </c>
      <c r="S770" t="s">
        <v>110</v>
      </c>
      <c r="T770" t="s">
        <v>33</v>
      </c>
      <c r="U770" t="s">
        <v>104</v>
      </c>
      <c r="V770" t="str">
        <f>IF(B770&lt;=18,"Children",IF(B770&lt;=35,"Young adult",IF(B770&lt;=60,"Adult", "Senior Citizen")))</f>
        <v>Adult</v>
      </c>
      <c r="W770" t="str">
        <f t="shared" si="77"/>
        <v>Feb</v>
      </c>
      <c r="X770">
        <f t="shared" si="78"/>
        <v>2</v>
      </c>
      <c r="Y770" t="str">
        <f t="shared" si="79"/>
        <v>Q1</v>
      </c>
      <c r="Z770">
        <f t="shared" si="80"/>
        <v>2027</v>
      </c>
      <c r="AA770" t="str">
        <f t="shared" si="81"/>
        <v>Monday</v>
      </c>
      <c r="AB770">
        <f t="shared" si="82"/>
        <v>-57</v>
      </c>
      <c r="AC770" t="str">
        <f>IF(OR(D770="Heart Disease",D770="Cancer",D770="Stroke"),"High",IF(OR(D770="Diabetes",D770="Asthma"),"Medium","Low"))</f>
        <v>High</v>
      </c>
      <c r="AD770" t="str">
        <f t="shared" si="83"/>
        <v>Yes</v>
      </c>
      <c r="AE770" t="str">
        <f>IF(G770&lt;=2,"Short Stay", IF(G770&lt;=7,"Normal Stay", "Long Stay"))</f>
        <v>Long Stay</v>
      </c>
      <c r="AF770" t="str">
        <f>IF(F770&gt;60000,"Expensive",IF(F770&gt;30000,"Moderate","Affordable"))</f>
        <v>Affordable</v>
      </c>
      <c r="AG770" t="str">
        <f>IF(J770&gt;=4.5,"Excellent",IF(J770&gt;=3.5,"Good",IF(J770&gt;=2.5,"Average","Poor")))</f>
        <v>Good</v>
      </c>
      <c r="AH770" t="str">
        <f>IF(OR(TEXT(N770,"dddd")="Saturday",TEXT(N770,"dddd")="Sunday"),"Weekend","Weekday")</f>
        <v>Weekday</v>
      </c>
    </row>
    <row r="771" spans="1:34" x14ac:dyDescent="0.3">
      <c r="A771">
        <v>782</v>
      </c>
      <c r="B771">
        <v>65</v>
      </c>
      <c r="C771" t="s">
        <v>35</v>
      </c>
      <c r="D771" t="s">
        <v>36</v>
      </c>
      <c r="E771" t="s">
        <v>37</v>
      </c>
      <c r="F771">
        <v>2000</v>
      </c>
      <c r="G771">
        <v>55</v>
      </c>
      <c r="H771" t="s">
        <v>24</v>
      </c>
      <c r="I771" t="s">
        <v>39</v>
      </c>
      <c r="J771">
        <v>3</v>
      </c>
      <c r="K771" t="s">
        <v>91</v>
      </c>
      <c r="L771" t="s">
        <v>1665</v>
      </c>
      <c r="M771" t="s">
        <v>1666</v>
      </c>
      <c r="N771" s="2">
        <v>46427</v>
      </c>
      <c r="O771" s="2">
        <v>46482</v>
      </c>
      <c r="P771" t="s">
        <v>29</v>
      </c>
      <c r="Q771" t="s">
        <v>52</v>
      </c>
      <c r="R771" t="s">
        <v>45</v>
      </c>
      <c r="S771" t="s">
        <v>72</v>
      </c>
      <c r="T771" t="s">
        <v>33</v>
      </c>
      <c r="U771" t="s">
        <v>104</v>
      </c>
      <c r="V771" t="str">
        <f>IF(B771&lt;=18,"Children",IF(B771&lt;=35,"Young adult",IF(B771&lt;=60,"Adult", "Senior Citizen")))</f>
        <v>Senior Citizen</v>
      </c>
      <c r="W771" t="str">
        <f t="shared" ref="W771:W834" si="84">TEXT(N771,"MMM")</f>
        <v>Feb</v>
      </c>
      <c r="X771">
        <f t="shared" ref="X771:X834" si="85">MONTH(N771)</f>
        <v>2</v>
      </c>
      <c r="Y771" t="str">
        <f t="shared" ref="Y771:Y834" si="86">"Q"&amp;ROUNDUP(MONTH(N771)/3,0)</f>
        <v>Q1</v>
      </c>
      <c r="Z771">
        <f t="shared" ref="Z771:Z834" si="87">YEAR(N771)</f>
        <v>2027</v>
      </c>
      <c r="AA771" t="str">
        <f t="shared" ref="AA771:AA834" si="88">TEXT(N771, "dddd")</f>
        <v>Tuesday</v>
      </c>
      <c r="AB771">
        <f t="shared" ref="AB771:AB834" si="89">N771-O771</f>
        <v>-55</v>
      </c>
      <c r="AC771" t="str">
        <f>IF(OR(D771="Heart Disease",D771="Cancer",D771="Stroke"),"High",IF(OR(D771="Diabetes",D771="Asthma"),"Medium","Low"))</f>
        <v>Medium</v>
      </c>
      <c r="AD771" t="str">
        <f t="shared" ref="AD771:AD834" si="90">IF(AC771="High","Yes","No")</f>
        <v>No</v>
      </c>
      <c r="AE771" t="str">
        <f>IF(G771&lt;=2,"Short Stay", IF(G771&lt;=7,"Normal Stay", "Long Stay"))</f>
        <v>Long Stay</v>
      </c>
      <c r="AF771" t="str">
        <f>IF(F771&gt;60000,"Expensive",IF(F771&gt;30000,"Moderate","Affordable"))</f>
        <v>Affordable</v>
      </c>
      <c r="AG771" t="str">
        <f>IF(J771&gt;=4.5,"Excellent",IF(J771&gt;=3.5,"Good",IF(J771&gt;=2.5,"Average","Poor")))</f>
        <v>Average</v>
      </c>
      <c r="AH771" t="str">
        <f>IF(OR(TEXT(N771,"dddd")="Saturday",TEXT(N771,"dddd")="Sunday"),"Weekend","Weekday")</f>
        <v>Weekday</v>
      </c>
    </row>
    <row r="772" spans="1:34" x14ac:dyDescent="0.3">
      <c r="A772">
        <v>783</v>
      </c>
      <c r="B772">
        <v>30</v>
      </c>
      <c r="C772" t="s">
        <v>21</v>
      </c>
      <c r="D772" t="s">
        <v>47</v>
      </c>
      <c r="E772" t="s">
        <v>48</v>
      </c>
      <c r="F772">
        <v>500</v>
      </c>
      <c r="G772">
        <v>53</v>
      </c>
      <c r="H772" t="s">
        <v>24</v>
      </c>
      <c r="I772" t="s">
        <v>25</v>
      </c>
      <c r="J772">
        <v>5</v>
      </c>
      <c r="K772" t="s">
        <v>91</v>
      </c>
      <c r="L772" t="s">
        <v>1667</v>
      </c>
      <c r="M772" t="s">
        <v>1668</v>
      </c>
      <c r="N772" s="2">
        <v>46428</v>
      </c>
      <c r="O772" s="2">
        <v>46481</v>
      </c>
      <c r="P772" t="s">
        <v>29</v>
      </c>
      <c r="Q772" t="s">
        <v>44</v>
      </c>
      <c r="R772" t="s">
        <v>45</v>
      </c>
      <c r="S772" t="s">
        <v>110</v>
      </c>
      <c r="T772" t="s">
        <v>33</v>
      </c>
      <c r="U772" t="s">
        <v>46</v>
      </c>
      <c r="V772" t="str">
        <f>IF(B772&lt;=18,"Children",IF(B772&lt;=35,"Young adult",IF(B772&lt;=60,"Adult", "Senior Citizen")))</f>
        <v>Young adult</v>
      </c>
      <c r="W772" t="str">
        <f t="shared" si="84"/>
        <v>Feb</v>
      </c>
      <c r="X772">
        <f t="shared" si="85"/>
        <v>2</v>
      </c>
      <c r="Y772" t="str">
        <f t="shared" si="86"/>
        <v>Q1</v>
      </c>
      <c r="Z772">
        <f t="shared" si="87"/>
        <v>2027</v>
      </c>
      <c r="AA772" t="str">
        <f t="shared" si="88"/>
        <v>Wednesday</v>
      </c>
      <c r="AB772">
        <f t="shared" si="89"/>
        <v>-53</v>
      </c>
      <c r="AC772" t="str">
        <f>IF(OR(D772="Heart Disease",D772="Cancer",D772="Stroke"),"High",IF(OR(D772="Diabetes",D772="Asthma"),"Medium","Low"))</f>
        <v>Low</v>
      </c>
      <c r="AD772" t="str">
        <f t="shared" si="90"/>
        <v>No</v>
      </c>
      <c r="AE772" t="str">
        <f>IF(G772&lt;=2,"Short Stay", IF(G772&lt;=7,"Normal Stay", "Long Stay"))</f>
        <v>Long Stay</v>
      </c>
      <c r="AF772" t="str">
        <f>IF(F772&gt;60000,"Expensive",IF(F772&gt;30000,"Moderate","Affordable"))</f>
        <v>Affordable</v>
      </c>
      <c r="AG772" t="str">
        <f>IF(J772&gt;=4.5,"Excellent",IF(J772&gt;=3.5,"Good",IF(J772&gt;=2.5,"Average","Poor")))</f>
        <v>Excellent</v>
      </c>
      <c r="AH772" t="str">
        <f>IF(OR(TEXT(N772,"dddd")="Saturday",TEXT(N772,"dddd")="Sunday"),"Weekend","Weekday")</f>
        <v>Weekday</v>
      </c>
    </row>
    <row r="773" spans="1:34" x14ac:dyDescent="0.3">
      <c r="A773">
        <v>785</v>
      </c>
      <c r="B773">
        <v>55</v>
      </c>
      <c r="C773" t="s">
        <v>21</v>
      </c>
      <c r="D773" t="s">
        <v>60</v>
      </c>
      <c r="E773" t="s">
        <v>61</v>
      </c>
      <c r="F773">
        <v>25000</v>
      </c>
      <c r="G773">
        <v>62</v>
      </c>
      <c r="H773" t="s">
        <v>24</v>
      </c>
      <c r="I773" t="s">
        <v>25</v>
      </c>
      <c r="J773">
        <v>4</v>
      </c>
      <c r="K773" t="s">
        <v>336</v>
      </c>
      <c r="L773" t="s">
        <v>1669</v>
      </c>
      <c r="M773" t="s">
        <v>1670</v>
      </c>
      <c r="N773" s="2">
        <v>46429</v>
      </c>
      <c r="O773" s="2">
        <v>46491</v>
      </c>
      <c r="P773" t="s">
        <v>29</v>
      </c>
      <c r="Q773" t="s">
        <v>71</v>
      </c>
      <c r="R773" t="s">
        <v>65</v>
      </c>
      <c r="S773" t="s">
        <v>77</v>
      </c>
      <c r="T773" t="s">
        <v>33</v>
      </c>
      <c r="U773" t="s">
        <v>104</v>
      </c>
      <c r="V773" t="str">
        <f>IF(B773&lt;=18,"Children",IF(B773&lt;=35,"Young adult",IF(B773&lt;=60,"Adult", "Senior Citizen")))</f>
        <v>Adult</v>
      </c>
      <c r="W773" t="str">
        <f t="shared" si="84"/>
        <v>Feb</v>
      </c>
      <c r="X773">
        <f t="shared" si="85"/>
        <v>2</v>
      </c>
      <c r="Y773" t="str">
        <f t="shared" si="86"/>
        <v>Q1</v>
      </c>
      <c r="Z773">
        <f t="shared" si="87"/>
        <v>2027</v>
      </c>
      <c r="AA773" t="str">
        <f t="shared" si="88"/>
        <v>Thursday</v>
      </c>
      <c r="AB773">
        <f t="shared" si="89"/>
        <v>-62</v>
      </c>
      <c r="AC773" t="str">
        <f>IF(OR(D773="Heart Disease",D773="Cancer",D773="Stroke"),"High",IF(OR(D773="Diabetes",D773="Asthma"),"Medium","Low"))</f>
        <v>High</v>
      </c>
      <c r="AD773" t="str">
        <f t="shared" si="90"/>
        <v>Yes</v>
      </c>
      <c r="AE773" t="str">
        <f>IF(G773&lt;=2,"Short Stay", IF(G773&lt;=7,"Normal Stay", "Long Stay"))</f>
        <v>Long Stay</v>
      </c>
      <c r="AF773" t="str">
        <f>IF(F773&gt;60000,"Expensive",IF(F773&gt;30000,"Moderate","Affordable"))</f>
        <v>Affordable</v>
      </c>
      <c r="AG773" t="str">
        <f>IF(J773&gt;=4.5,"Excellent",IF(J773&gt;=3.5,"Good",IF(J773&gt;=2.5,"Average","Poor")))</f>
        <v>Good</v>
      </c>
      <c r="AH773" t="str">
        <f>IF(OR(TEXT(N773,"dddd")="Saturday",TEXT(N773,"dddd")="Sunday"),"Weekend","Weekday")</f>
        <v>Weekday</v>
      </c>
    </row>
    <row r="774" spans="1:34" x14ac:dyDescent="0.3">
      <c r="A774">
        <v>786</v>
      </c>
      <c r="B774">
        <v>68</v>
      </c>
      <c r="C774" t="s">
        <v>35</v>
      </c>
      <c r="D774" t="s">
        <v>66</v>
      </c>
      <c r="E774" t="s">
        <v>67</v>
      </c>
      <c r="F774">
        <v>1000</v>
      </c>
      <c r="G774">
        <v>56</v>
      </c>
      <c r="H774" t="s">
        <v>24</v>
      </c>
      <c r="I774" t="s">
        <v>39</v>
      </c>
      <c r="J774">
        <v>4</v>
      </c>
      <c r="K774" t="s">
        <v>107</v>
      </c>
      <c r="L774" t="s">
        <v>1671</v>
      </c>
      <c r="M774" t="s">
        <v>1672</v>
      </c>
      <c r="N774" s="2">
        <v>46430</v>
      </c>
      <c r="O774" s="2">
        <v>46486</v>
      </c>
      <c r="P774" t="s">
        <v>43</v>
      </c>
      <c r="Q774" t="s">
        <v>30</v>
      </c>
      <c r="R774" t="s">
        <v>45</v>
      </c>
      <c r="S774" t="s">
        <v>72</v>
      </c>
      <c r="T774" t="s">
        <v>33</v>
      </c>
      <c r="U774" t="s">
        <v>104</v>
      </c>
      <c r="V774" t="str">
        <f>IF(B774&lt;=18,"Children",IF(B774&lt;=35,"Young adult",IF(B774&lt;=60,"Adult", "Senior Citizen")))</f>
        <v>Senior Citizen</v>
      </c>
      <c r="W774" t="str">
        <f t="shared" si="84"/>
        <v>Feb</v>
      </c>
      <c r="X774">
        <f t="shared" si="85"/>
        <v>2</v>
      </c>
      <c r="Y774" t="str">
        <f t="shared" si="86"/>
        <v>Q1</v>
      </c>
      <c r="Z774">
        <f t="shared" si="87"/>
        <v>2027</v>
      </c>
      <c r="AA774" t="str">
        <f t="shared" si="88"/>
        <v>Friday</v>
      </c>
      <c r="AB774">
        <f t="shared" si="89"/>
        <v>-56</v>
      </c>
      <c r="AC774" t="str">
        <f>IF(OR(D774="Heart Disease",D774="Cancer",D774="Stroke"),"High",IF(OR(D774="Diabetes",D774="Asthma"),"Medium","Low"))</f>
        <v>Low</v>
      </c>
      <c r="AD774" t="str">
        <f t="shared" si="90"/>
        <v>No</v>
      </c>
      <c r="AE774" t="str">
        <f>IF(G774&lt;=2,"Short Stay", IF(G774&lt;=7,"Normal Stay", "Long Stay"))</f>
        <v>Long Stay</v>
      </c>
      <c r="AF774" t="str">
        <f>IF(F774&gt;60000,"Expensive",IF(F774&gt;30000,"Moderate","Affordable"))</f>
        <v>Affordable</v>
      </c>
      <c r="AG774" t="str">
        <f>IF(J774&gt;=4.5,"Excellent",IF(J774&gt;=3.5,"Good",IF(J774&gt;=2.5,"Average","Poor")))</f>
        <v>Good</v>
      </c>
      <c r="AH774" t="str">
        <f>IF(OR(TEXT(N774,"dddd")="Saturday",TEXT(N774,"dddd")="Sunday"),"Weekend","Weekday")</f>
        <v>Weekday</v>
      </c>
    </row>
    <row r="775" spans="1:34" x14ac:dyDescent="0.3">
      <c r="A775">
        <v>787</v>
      </c>
      <c r="B775">
        <v>45</v>
      </c>
      <c r="C775" t="s">
        <v>21</v>
      </c>
      <c r="D775" t="s">
        <v>73</v>
      </c>
      <c r="E775" t="s">
        <v>74</v>
      </c>
      <c r="F775">
        <v>8000</v>
      </c>
      <c r="G775">
        <v>58</v>
      </c>
      <c r="H775" t="s">
        <v>24</v>
      </c>
      <c r="I775" t="s">
        <v>25</v>
      </c>
      <c r="J775">
        <v>3</v>
      </c>
      <c r="K775" t="s">
        <v>242</v>
      </c>
      <c r="L775" t="s">
        <v>1673</v>
      </c>
      <c r="M775" t="s">
        <v>1674</v>
      </c>
      <c r="N775" s="2">
        <v>46431</v>
      </c>
      <c r="O775" s="2">
        <v>46489</v>
      </c>
      <c r="P775" t="s">
        <v>29</v>
      </c>
      <c r="Q775" t="s">
        <v>71</v>
      </c>
      <c r="R775" t="s">
        <v>45</v>
      </c>
      <c r="S775" t="s">
        <v>84</v>
      </c>
      <c r="T775" t="s">
        <v>33</v>
      </c>
      <c r="U775" t="s">
        <v>104</v>
      </c>
      <c r="V775" t="str">
        <f>IF(B775&lt;=18,"Children",IF(B775&lt;=35,"Young adult",IF(B775&lt;=60,"Adult", "Senior Citizen")))</f>
        <v>Adult</v>
      </c>
      <c r="W775" t="str">
        <f t="shared" si="84"/>
        <v>Feb</v>
      </c>
      <c r="X775">
        <f t="shared" si="85"/>
        <v>2</v>
      </c>
      <c r="Y775" t="str">
        <f t="shared" si="86"/>
        <v>Q1</v>
      </c>
      <c r="Z775">
        <f t="shared" si="87"/>
        <v>2027</v>
      </c>
      <c r="AA775" t="str">
        <f t="shared" si="88"/>
        <v>Saturday</v>
      </c>
      <c r="AB775">
        <f t="shared" si="89"/>
        <v>-58</v>
      </c>
      <c r="AC775" t="str">
        <f>IF(OR(D775="Heart Disease",D775="Cancer",D775="Stroke"),"High",IF(OR(D775="Diabetes",D775="Asthma"),"Medium","Low"))</f>
        <v>Low</v>
      </c>
      <c r="AD775" t="str">
        <f t="shared" si="90"/>
        <v>No</v>
      </c>
      <c r="AE775" t="str">
        <f>IF(G775&lt;=2,"Short Stay", IF(G775&lt;=7,"Normal Stay", "Long Stay"))</f>
        <v>Long Stay</v>
      </c>
      <c r="AF775" t="str">
        <f>IF(F775&gt;60000,"Expensive",IF(F775&gt;30000,"Moderate","Affordable"))</f>
        <v>Affordable</v>
      </c>
      <c r="AG775" t="str">
        <f>IF(J775&gt;=4.5,"Excellent",IF(J775&gt;=3.5,"Good",IF(J775&gt;=2.5,"Average","Poor")))</f>
        <v>Average</v>
      </c>
      <c r="AH775" t="str">
        <f>IF(OR(TEXT(N775,"dddd")="Saturday",TEXT(N775,"dddd")="Sunday"),"Weekend","Weekday")</f>
        <v>Weekend</v>
      </c>
    </row>
    <row r="776" spans="1:34" x14ac:dyDescent="0.3">
      <c r="A776">
        <v>788</v>
      </c>
      <c r="B776">
        <v>40</v>
      </c>
      <c r="C776" t="s">
        <v>35</v>
      </c>
      <c r="D776" t="s">
        <v>79</v>
      </c>
      <c r="E776" t="s">
        <v>80</v>
      </c>
      <c r="F776">
        <v>3000</v>
      </c>
      <c r="G776">
        <v>58</v>
      </c>
      <c r="H776" t="s">
        <v>24</v>
      </c>
      <c r="I776" t="s">
        <v>25</v>
      </c>
      <c r="J776">
        <v>4</v>
      </c>
      <c r="K776" t="s">
        <v>120</v>
      </c>
      <c r="L776" t="s">
        <v>1675</v>
      </c>
      <c r="M776" t="s">
        <v>1676</v>
      </c>
      <c r="N776" s="2">
        <v>46432</v>
      </c>
      <c r="O776" s="2">
        <v>46490</v>
      </c>
      <c r="P776" t="s">
        <v>43</v>
      </c>
      <c r="Q776" t="s">
        <v>139</v>
      </c>
      <c r="R776" t="s">
        <v>45</v>
      </c>
      <c r="S776" t="s">
        <v>77</v>
      </c>
      <c r="T776" t="s">
        <v>33</v>
      </c>
      <c r="U776" t="s">
        <v>46</v>
      </c>
      <c r="V776" t="str">
        <f>IF(B776&lt;=18,"Children",IF(B776&lt;=35,"Young adult",IF(B776&lt;=60,"Adult", "Senior Citizen")))</f>
        <v>Adult</v>
      </c>
      <c r="W776" t="str">
        <f t="shared" si="84"/>
        <v>Feb</v>
      </c>
      <c r="X776">
        <f t="shared" si="85"/>
        <v>2</v>
      </c>
      <c r="Y776" t="str">
        <f t="shared" si="86"/>
        <v>Q1</v>
      </c>
      <c r="Z776">
        <f t="shared" si="87"/>
        <v>2027</v>
      </c>
      <c r="AA776" t="str">
        <f t="shared" si="88"/>
        <v>Sunday</v>
      </c>
      <c r="AB776">
        <f t="shared" si="89"/>
        <v>-58</v>
      </c>
      <c r="AC776" t="str">
        <f>IF(OR(D776="Heart Disease",D776="Cancer",D776="Stroke"),"High",IF(OR(D776="Diabetes",D776="Asthma"),"Medium","Low"))</f>
        <v>Low</v>
      </c>
      <c r="AD776" t="str">
        <f t="shared" si="90"/>
        <v>No</v>
      </c>
      <c r="AE776" t="str">
        <f>IF(G776&lt;=2,"Short Stay", IF(G776&lt;=7,"Normal Stay", "Long Stay"))</f>
        <v>Long Stay</v>
      </c>
      <c r="AF776" t="str">
        <f>IF(F776&gt;60000,"Expensive",IF(F776&gt;30000,"Moderate","Affordable"))</f>
        <v>Affordable</v>
      </c>
      <c r="AG776" t="str">
        <f>IF(J776&gt;=4.5,"Excellent",IF(J776&gt;=3.5,"Good",IF(J776&gt;=2.5,"Average","Poor")))</f>
        <v>Good</v>
      </c>
      <c r="AH776" t="str">
        <f>IF(OR(TEXT(N776,"dddd")="Saturday",TEXT(N776,"dddd")="Sunday"),"Weekend","Weekday")</f>
        <v>Weekend</v>
      </c>
    </row>
    <row r="777" spans="1:34" x14ac:dyDescent="0.3">
      <c r="A777">
        <v>789</v>
      </c>
      <c r="B777">
        <v>78</v>
      </c>
      <c r="C777" t="s">
        <v>21</v>
      </c>
      <c r="D777" t="s">
        <v>85</v>
      </c>
      <c r="E777" t="s">
        <v>86</v>
      </c>
      <c r="F777">
        <v>18000</v>
      </c>
      <c r="G777">
        <v>60</v>
      </c>
      <c r="H777" t="s">
        <v>38</v>
      </c>
      <c r="I777" t="s">
        <v>39</v>
      </c>
      <c r="J777">
        <v>2</v>
      </c>
      <c r="K777" t="s">
        <v>157</v>
      </c>
      <c r="L777" t="s">
        <v>1677</v>
      </c>
      <c r="M777" t="s">
        <v>1678</v>
      </c>
      <c r="N777" s="2">
        <v>46433</v>
      </c>
      <c r="O777" s="2">
        <v>46493</v>
      </c>
      <c r="P777" t="s">
        <v>43</v>
      </c>
      <c r="Q777" t="s">
        <v>52</v>
      </c>
      <c r="R777" t="s">
        <v>45</v>
      </c>
      <c r="S777" t="s">
        <v>84</v>
      </c>
      <c r="T777" t="s">
        <v>33</v>
      </c>
      <c r="U777" t="s">
        <v>104</v>
      </c>
      <c r="V777" t="str">
        <f>IF(B777&lt;=18,"Children",IF(B777&lt;=35,"Young adult",IF(B777&lt;=60,"Adult", "Senior Citizen")))</f>
        <v>Senior Citizen</v>
      </c>
      <c r="W777" t="str">
        <f t="shared" si="84"/>
        <v>Feb</v>
      </c>
      <c r="X777">
        <f t="shared" si="85"/>
        <v>2</v>
      </c>
      <c r="Y777" t="str">
        <f t="shared" si="86"/>
        <v>Q1</v>
      </c>
      <c r="Z777">
        <f t="shared" si="87"/>
        <v>2027</v>
      </c>
      <c r="AA777" t="str">
        <f t="shared" si="88"/>
        <v>Monday</v>
      </c>
      <c r="AB777">
        <f t="shared" si="89"/>
        <v>-60</v>
      </c>
      <c r="AC777" t="str">
        <f>IF(OR(D777="Heart Disease",D777="Cancer",D777="Stroke"),"High",IF(OR(D777="Diabetes",D777="Asthma"),"Medium","Low"))</f>
        <v>Low</v>
      </c>
      <c r="AD777" t="str">
        <f t="shared" si="90"/>
        <v>No</v>
      </c>
      <c r="AE777" t="str">
        <f>IF(G777&lt;=2,"Short Stay", IF(G777&lt;=7,"Normal Stay", "Long Stay"))</f>
        <v>Long Stay</v>
      </c>
      <c r="AF777" t="str">
        <f>IF(F777&gt;60000,"Expensive",IF(F777&gt;30000,"Moderate","Affordable"))</f>
        <v>Affordable</v>
      </c>
      <c r="AG777" t="str">
        <f>IF(J777&gt;=4.5,"Excellent",IF(J777&gt;=3.5,"Good",IF(J777&gt;=2.5,"Average","Poor")))</f>
        <v>Poor</v>
      </c>
      <c r="AH777" t="str">
        <f>IF(OR(TEXT(N777,"dddd")="Saturday",TEXT(N777,"dddd")="Sunday"),"Weekend","Weekday")</f>
        <v>Weekday</v>
      </c>
    </row>
    <row r="778" spans="1:34" x14ac:dyDescent="0.3">
      <c r="A778">
        <v>790</v>
      </c>
      <c r="B778">
        <v>25</v>
      </c>
      <c r="C778" t="s">
        <v>35</v>
      </c>
      <c r="D778" t="s">
        <v>89</v>
      </c>
      <c r="E778" t="s">
        <v>90</v>
      </c>
      <c r="F778">
        <v>100</v>
      </c>
      <c r="G778">
        <v>53</v>
      </c>
      <c r="H778" t="s">
        <v>24</v>
      </c>
      <c r="I778" t="s">
        <v>25</v>
      </c>
      <c r="J778">
        <v>5</v>
      </c>
      <c r="K778" t="s">
        <v>203</v>
      </c>
      <c r="L778" t="s">
        <v>1679</v>
      </c>
      <c r="M778" t="s">
        <v>1680</v>
      </c>
      <c r="N778" s="2">
        <v>46434</v>
      </c>
      <c r="O778" s="2">
        <v>46487</v>
      </c>
      <c r="P778" t="s">
        <v>43</v>
      </c>
      <c r="Q778" t="s">
        <v>44</v>
      </c>
      <c r="R778" t="s">
        <v>45</v>
      </c>
      <c r="S778" t="s">
        <v>72</v>
      </c>
      <c r="T778" t="s">
        <v>33</v>
      </c>
      <c r="U778" t="s">
        <v>104</v>
      </c>
      <c r="V778" t="str">
        <f>IF(B778&lt;=18,"Children",IF(B778&lt;=35,"Young adult",IF(B778&lt;=60,"Adult", "Senior Citizen")))</f>
        <v>Young adult</v>
      </c>
      <c r="W778" t="str">
        <f t="shared" si="84"/>
        <v>Feb</v>
      </c>
      <c r="X778">
        <f t="shared" si="85"/>
        <v>2</v>
      </c>
      <c r="Y778" t="str">
        <f t="shared" si="86"/>
        <v>Q1</v>
      </c>
      <c r="Z778">
        <f t="shared" si="87"/>
        <v>2027</v>
      </c>
      <c r="AA778" t="str">
        <f t="shared" si="88"/>
        <v>Tuesday</v>
      </c>
      <c r="AB778">
        <f t="shared" si="89"/>
        <v>-53</v>
      </c>
      <c r="AC778" t="str">
        <f>IF(OR(D778="Heart Disease",D778="Cancer",D778="Stroke"),"High",IF(OR(D778="Diabetes",D778="Asthma"),"Medium","Low"))</f>
        <v>Low</v>
      </c>
      <c r="AD778" t="str">
        <f t="shared" si="90"/>
        <v>No</v>
      </c>
      <c r="AE778" t="str">
        <f>IF(G778&lt;=2,"Short Stay", IF(G778&lt;=7,"Normal Stay", "Long Stay"))</f>
        <v>Long Stay</v>
      </c>
      <c r="AF778" t="str">
        <f>IF(F778&gt;60000,"Expensive",IF(F778&gt;30000,"Moderate","Affordable"))</f>
        <v>Affordable</v>
      </c>
      <c r="AG778" t="str">
        <f>IF(J778&gt;=4.5,"Excellent",IF(J778&gt;=3.5,"Good",IF(J778&gt;=2.5,"Average","Poor")))</f>
        <v>Excellent</v>
      </c>
      <c r="AH778" t="str">
        <f>IF(OR(TEXT(N778,"dddd")="Saturday",TEXT(N778,"dddd")="Sunday"),"Weekend","Weekday")</f>
        <v>Weekday</v>
      </c>
    </row>
    <row r="779" spans="1:34" x14ac:dyDescent="0.3">
      <c r="A779">
        <v>791</v>
      </c>
      <c r="B779">
        <v>52</v>
      </c>
      <c r="C779" t="s">
        <v>21</v>
      </c>
      <c r="D779" t="s">
        <v>94</v>
      </c>
      <c r="E779" t="s">
        <v>95</v>
      </c>
      <c r="F779">
        <v>800</v>
      </c>
      <c r="G779">
        <v>54</v>
      </c>
      <c r="H779" t="s">
        <v>24</v>
      </c>
      <c r="I779" t="s">
        <v>39</v>
      </c>
      <c r="J779">
        <v>4</v>
      </c>
      <c r="K779" t="s">
        <v>56</v>
      </c>
      <c r="L779" t="s">
        <v>1681</v>
      </c>
      <c r="M779" t="s">
        <v>1682</v>
      </c>
      <c r="N779" s="2">
        <v>46435</v>
      </c>
      <c r="O779" s="2">
        <v>46489</v>
      </c>
      <c r="P779" t="s">
        <v>29</v>
      </c>
      <c r="Q779" t="s">
        <v>30</v>
      </c>
      <c r="R779" t="s">
        <v>45</v>
      </c>
      <c r="S779" t="s">
        <v>32</v>
      </c>
      <c r="T779" t="s">
        <v>33</v>
      </c>
      <c r="U779" t="s">
        <v>34</v>
      </c>
      <c r="V779" t="str">
        <f>IF(B779&lt;=18,"Children",IF(B779&lt;=35,"Young adult",IF(B779&lt;=60,"Adult", "Senior Citizen")))</f>
        <v>Adult</v>
      </c>
      <c r="W779" t="str">
        <f t="shared" si="84"/>
        <v>Feb</v>
      </c>
      <c r="X779">
        <f t="shared" si="85"/>
        <v>2</v>
      </c>
      <c r="Y779" t="str">
        <f t="shared" si="86"/>
        <v>Q1</v>
      </c>
      <c r="Z779">
        <f t="shared" si="87"/>
        <v>2027</v>
      </c>
      <c r="AA779" t="str">
        <f t="shared" si="88"/>
        <v>Wednesday</v>
      </c>
      <c r="AB779">
        <f t="shared" si="89"/>
        <v>-54</v>
      </c>
      <c r="AC779" t="str">
        <f>IF(OR(D779="Heart Disease",D779="Cancer",D779="Stroke"),"High",IF(OR(D779="Diabetes",D779="Asthma"),"Medium","Low"))</f>
        <v>Low</v>
      </c>
      <c r="AD779" t="str">
        <f t="shared" si="90"/>
        <v>No</v>
      </c>
      <c r="AE779" t="str">
        <f>IF(G779&lt;=2,"Short Stay", IF(G779&lt;=7,"Normal Stay", "Long Stay"))</f>
        <v>Long Stay</v>
      </c>
      <c r="AF779" t="str">
        <f>IF(F779&gt;60000,"Expensive",IF(F779&gt;30000,"Moderate","Affordable"))</f>
        <v>Affordable</v>
      </c>
      <c r="AG779" t="str">
        <f>IF(J779&gt;=4.5,"Excellent",IF(J779&gt;=3.5,"Good",IF(J779&gt;=2.5,"Average","Poor")))</f>
        <v>Good</v>
      </c>
      <c r="AH779" t="str">
        <f>IF(OR(TEXT(N779,"dddd")="Saturday",TEXT(N779,"dddd")="Sunday"),"Weekend","Weekday")</f>
        <v>Weekday</v>
      </c>
    </row>
    <row r="780" spans="1:34" x14ac:dyDescent="0.3">
      <c r="A780">
        <v>792</v>
      </c>
      <c r="B780">
        <v>58</v>
      </c>
      <c r="C780" t="s">
        <v>35</v>
      </c>
      <c r="D780" t="s">
        <v>99</v>
      </c>
      <c r="E780" t="s">
        <v>100</v>
      </c>
      <c r="F780">
        <v>20000</v>
      </c>
      <c r="G780">
        <v>61</v>
      </c>
      <c r="H780" t="s">
        <v>24</v>
      </c>
      <c r="I780" t="s">
        <v>25</v>
      </c>
      <c r="J780">
        <v>3</v>
      </c>
      <c r="K780" t="s">
        <v>210</v>
      </c>
      <c r="L780" t="s">
        <v>1683</v>
      </c>
      <c r="M780" t="s">
        <v>1684</v>
      </c>
      <c r="N780" s="2">
        <v>46436</v>
      </c>
      <c r="O780" s="2">
        <v>46497</v>
      </c>
      <c r="P780" t="s">
        <v>29</v>
      </c>
      <c r="Q780" t="s">
        <v>139</v>
      </c>
      <c r="R780" t="s">
        <v>45</v>
      </c>
      <c r="S780" t="s">
        <v>32</v>
      </c>
      <c r="T780" t="s">
        <v>33</v>
      </c>
      <c r="U780" t="s">
        <v>78</v>
      </c>
      <c r="V780" t="str">
        <f>IF(B780&lt;=18,"Children",IF(B780&lt;=35,"Young adult",IF(B780&lt;=60,"Adult", "Senior Citizen")))</f>
        <v>Adult</v>
      </c>
      <c r="W780" t="str">
        <f t="shared" si="84"/>
        <v>Feb</v>
      </c>
      <c r="X780">
        <f t="shared" si="85"/>
        <v>2</v>
      </c>
      <c r="Y780" t="str">
        <f t="shared" si="86"/>
        <v>Q1</v>
      </c>
      <c r="Z780">
        <f t="shared" si="87"/>
        <v>2027</v>
      </c>
      <c r="AA780" t="str">
        <f t="shared" si="88"/>
        <v>Thursday</v>
      </c>
      <c r="AB780">
        <f t="shared" si="89"/>
        <v>-61</v>
      </c>
      <c r="AC780" t="str">
        <f>IF(OR(D780="Heart Disease",D780="Cancer",D780="Stroke"),"High",IF(OR(D780="Diabetes",D780="Asthma"),"Medium","Low"))</f>
        <v>Low</v>
      </c>
      <c r="AD780" t="str">
        <f t="shared" si="90"/>
        <v>No</v>
      </c>
      <c r="AE780" t="str">
        <f>IF(G780&lt;=2,"Short Stay", IF(G780&lt;=7,"Normal Stay", "Long Stay"))</f>
        <v>Long Stay</v>
      </c>
      <c r="AF780" t="str">
        <f>IF(F780&gt;60000,"Expensive",IF(F780&gt;30000,"Moderate","Affordable"))</f>
        <v>Affordable</v>
      </c>
      <c r="AG780" t="str">
        <f>IF(J780&gt;=4.5,"Excellent",IF(J780&gt;=3.5,"Good",IF(J780&gt;=2.5,"Average","Poor")))</f>
        <v>Average</v>
      </c>
      <c r="AH780" t="str">
        <f>IF(OR(TEXT(N780,"dddd")="Saturday",TEXT(N780,"dddd")="Sunday"),"Weekend","Weekday")</f>
        <v>Weekday</v>
      </c>
    </row>
    <row r="781" spans="1:34" x14ac:dyDescent="0.3">
      <c r="A781">
        <v>793</v>
      </c>
      <c r="B781">
        <v>32</v>
      </c>
      <c r="C781" t="s">
        <v>21</v>
      </c>
      <c r="D781" t="s">
        <v>105</v>
      </c>
      <c r="E781" t="s">
        <v>106</v>
      </c>
      <c r="F781">
        <v>12000</v>
      </c>
      <c r="G781">
        <v>55</v>
      </c>
      <c r="H781" t="s">
        <v>24</v>
      </c>
      <c r="I781" t="s">
        <v>25</v>
      </c>
      <c r="J781">
        <v>4</v>
      </c>
      <c r="K781" t="s">
        <v>68</v>
      </c>
      <c r="L781" t="s">
        <v>1685</v>
      </c>
      <c r="M781" t="s">
        <v>1686</v>
      </c>
      <c r="N781" s="2">
        <v>46437</v>
      </c>
      <c r="O781" s="2">
        <v>46492</v>
      </c>
      <c r="P781" t="s">
        <v>43</v>
      </c>
      <c r="Q781" t="s">
        <v>44</v>
      </c>
      <c r="R781" t="s">
        <v>45</v>
      </c>
      <c r="S781" t="s">
        <v>110</v>
      </c>
      <c r="T781" t="s">
        <v>33</v>
      </c>
      <c r="U781" t="s">
        <v>78</v>
      </c>
      <c r="V781" t="str">
        <f>IF(B781&lt;=18,"Children",IF(B781&lt;=35,"Young adult",IF(B781&lt;=60,"Adult", "Senior Citizen")))</f>
        <v>Young adult</v>
      </c>
      <c r="W781" t="str">
        <f t="shared" si="84"/>
        <v>Feb</v>
      </c>
      <c r="X781">
        <f t="shared" si="85"/>
        <v>2</v>
      </c>
      <c r="Y781" t="str">
        <f t="shared" si="86"/>
        <v>Q1</v>
      </c>
      <c r="Z781">
        <f t="shared" si="87"/>
        <v>2027</v>
      </c>
      <c r="AA781" t="str">
        <f t="shared" si="88"/>
        <v>Friday</v>
      </c>
      <c r="AB781">
        <f t="shared" si="89"/>
        <v>-55</v>
      </c>
      <c r="AC781" t="str">
        <f>IF(OR(D781="Heart Disease",D781="Cancer",D781="Stroke"),"High",IF(OR(D781="Diabetes",D781="Asthma"),"Medium","Low"))</f>
        <v>Low</v>
      </c>
      <c r="AD781" t="str">
        <f t="shared" si="90"/>
        <v>No</v>
      </c>
      <c r="AE781" t="str">
        <f>IF(G781&lt;=2,"Short Stay", IF(G781&lt;=7,"Normal Stay", "Long Stay"))</f>
        <v>Long Stay</v>
      </c>
      <c r="AF781" t="str">
        <f>IF(F781&gt;60000,"Expensive",IF(F781&gt;30000,"Moderate","Affordable"))</f>
        <v>Affordable</v>
      </c>
      <c r="AG781" t="str">
        <f>IF(J781&gt;=4.5,"Excellent",IF(J781&gt;=3.5,"Good",IF(J781&gt;=2.5,"Average","Poor")))</f>
        <v>Good</v>
      </c>
      <c r="AH781" t="str">
        <f>IF(OR(TEXT(N781,"dddd")="Saturday",TEXT(N781,"dddd")="Sunday"),"Weekend","Weekday")</f>
        <v>Weekday</v>
      </c>
    </row>
    <row r="782" spans="1:34" x14ac:dyDescent="0.3">
      <c r="A782">
        <v>794</v>
      </c>
      <c r="B782">
        <v>55</v>
      </c>
      <c r="C782" t="s">
        <v>35</v>
      </c>
      <c r="D782" t="s">
        <v>111</v>
      </c>
      <c r="E782" t="s">
        <v>112</v>
      </c>
      <c r="F782">
        <v>6000</v>
      </c>
      <c r="G782">
        <v>56</v>
      </c>
      <c r="H782" t="s">
        <v>24</v>
      </c>
      <c r="I782" t="s">
        <v>25</v>
      </c>
      <c r="J782">
        <v>3</v>
      </c>
      <c r="K782" t="s">
        <v>380</v>
      </c>
      <c r="L782" t="s">
        <v>1687</v>
      </c>
      <c r="M782" t="s">
        <v>1688</v>
      </c>
      <c r="N782" s="2">
        <v>46438</v>
      </c>
      <c r="O782" s="2">
        <v>46494</v>
      </c>
      <c r="P782" t="s">
        <v>43</v>
      </c>
      <c r="Q782" t="s">
        <v>30</v>
      </c>
      <c r="R782" t="s">
        <v>45</v>
      </c>
      <c r="S782" t="s">
        <v>110</v>
      </c>
      <c r="T782" t="s">
        <v>33</v>
      </c>
      <c r="U782" t="s">
        <v>46</v>
      </c>
      <c r="V782" t="str">
        <f>IF(B782&lt;=18,"Children",IF(B782&lt;=35,"Young adult",IF(B782&lt;=60,"Adult", "Senior Citizen")))</f>
        <v>Adult</v>
      </c>
      <c r="W782" t="str">
        <f t="shared" si="84"/>
        <v>Feb</v>
      </c>
      <c r="X782">
        <f t="shared" si="85"/>
        <v>2</v>
      </c>
      <c r="Y782" t="str">
        <f t="shared" si="86"/>
        <v>Q1</v>
      </c>
      <c r="Z782">
        <f t="shared" si="87"/>
        <v>2027</v>
      </c>
      <c r="AA782" t="str">
        <f t="shared" si="88"/>
        <v>Saturday</v>
      </c>
      <c r="AB782">
        <f t="shared" si="89"/>
        <v>-56</v>
      </c>
      <c r="AC782" t="str">
        <f>IF(OR(D782="Heart Disease",D782="Cancer",D782="Stroke"),"High",IF(OR(D782="Diabetes",D782="Asthma"),"Medium","Low"))</f>
        <v>Low</v>
      </c>
      <c r="AD782" t="str">
        <f t="shared" si="90"/>
        <v>No</v>
      </c>
      <c r="AE782" t="str">
        <f>IF(G782&lt;=2,"Short Stay", IF(G782&lt;=7,"Normal Stay", "Long Stay"))</f>
        <v>Long Stay</v>
      </c>
      <c r="AF782" t="str">
        <f>IF(F782&gt;60000,"Expensive",IF(F782&gt;30000,"Moderate","Affordable"))</f>
        <v>Affordable</v>
      </c>
      <c r="AG782" t="str">
        <f>IF(J782&gt;=4.5,"Excellent",IF(J782&gt;=3.5,"Good",IF(J782&gt;=2.5,"Average","Poor")))</f>
        <v>Average</v>
      </c>
      <c r="AH782" t="str">
        <f>IF(OR(TEXT(N782,"dddd")="Saturday",TEXT(N782,"dddd")="Sunday"),"Weekend","Weekday")</f>
        <v>Weekend</v>
      </c>
    </row>
    <row r="783" spans="1:34" x14ac:dyDescent="0.3">
      <c r="A783">
        <v>795</v>
      </c>
      <c r="B783">
        <v>65</v>
      </c>
      <c r="C783" t="s">
        <v>21</v>
      </c>
      <c r="D783" t="s">
        <v>116</v>
      </c>
      <c r="E783" t="s">
        <v>117</v>
      </c>
      <c r="F783">
        <v>4000</v>
      </c>
      <c r="G783">
        <v>57</v>
      </c>
      <c r="H783" t="s">
        <v>24</v>
      </c>
      <c r="I783" t="s">
        <v>39</v>
      </c>
      <c r="J783">
        <v>4</v>
      </c>
      <c r="K783" t="s">
        <v>317</v>
      </c>
      <c r="L783" t="s">
        <v>1689</v>
      </c>
      <c r="M783" t="s">
        <v>1690</v>
      </c>
      <c r="N783" s="2">
        <v>46439</v>
      </c>
      <c r="O783" s="2">
        <v>46496</v>
      </c>
      <c r="P783" t="s">
        <v>29</v>
      </c>
      <c r="Q783" t="s">
        <v>71</v>
      </c>
      <c r="R783" t="s">
        <v>45</v>
      </c>
      <c r="S783" t="s">
        <v>72</v>
      </c>
      <c r="T783" t="s">
        <v>33</v>
      </c>
      <c r="U783" t="s">
        <v>46</v>
      </c>
      <c r="V783" t="str">
        <f>IF(B783&lt;=18,"Children",IF(B783&lt;=35,"Young adult",IF(B783&lt;=60,"Adult", "Senior Citizen")))</f>
        <v>Senior Citizen</v>
      </c>
      <c r="W783" t="str">
        <f t="shared" si="84"/>
        <v>Feb</v>
      </c>
      <c r="X783">
        <f t="shared" si="85"/>
        <v>2</v>
      </c>
      <c r="Y783" t="str">
        <f t="shared" si="86"/>
        <v>Q1</v>
      </c>
      <c r="Z783">
        <f t="shared" si="87"/>
        <v>2027</v>
      </c>
      <c r="AA783" t="str">
        <f t="shared" si="88"/>
        <v>Sunday</v>
      </c>
      <c r="AB783">
        <f t="shared" si="89"/>
        <v>-57</v>
      </c>
      <c r="AC783" t="str">
        <f>IF(OR(D783="Heart Disease",D783="Cancer",D783="Stroke"),"High",IF(OR(D783="Diabetes",D783="Asthma"),"Medium","Low"))</f>
        <v>Low</v>
      </c>
      <c r="AD783" t="str">
        <f t="shared" si="90"/>
        <v>No</v>
      </c>
      <c r="AE783" t="str">
        <f>IF(G783&lt;=2,"Short Stay", IF(G783&lt;=7,"Normal Stay", "Long Stay"))</f>
        <v>Long Stay</v>
      </c>
      <c r="AF783" t="str">
        <f>IF(F783&gt;60000,"Expensive",IF(F783&gt;30000,"Moderate","Affordable"))</f>
        <v>Affordable</v>
      </c>
      <c r="AG783" t="str">
        <f>IF(J783&gt;=4.5,"Excellent",IF(J783&gt;=3.5,"Good",IF(J783&gt;=2.5,"Average","Poor")))</f>
        <v>Good</v>
      </c>
      <c r="AH783" t="str">
        <f>IF(OR(TEXT(N783,"dddd")="Saturday",TEXT(N783,"dddd")="Sunday"),"Weekend","Weekday")</f>
        <v>Weekend</v>
      </c>
    </row>
    <row r="784" spans="1:34" x14ac:dyDescent="0.3">
      <c r="A784">
        <v>796</v>
      </c>
      <c r="B784">
        <v>55</v>
      </c>
      <c r="C784" t="s">
        <v>21</v>
      </c>
      <c r="D784" t="s">
        <v>22</v>
      </c>
      <c r="E784" t="s">
        <v>23</v>
      </c>
      <c r="F784">
        <v>15000</v>
      </c>
      <c r="G784">
        <v>58</v>
      </c>
      <c r="H784" t="s">
        <v>38</v>
      </c>
      <c r="I784" t="s">
        <v>25</v>
      </c>
      <c r="J784">
        <v>3</v>
      </c>
      <c r="K784" t="s">
        <v>68</v>
      </c>
      <c r="L784" t="s">
        <v>1691</v>
      </c>
      <c r="M784" t="s">
        <v>1692</v>
      </c>
      <c r="N784" s="2">
        <v>46440</v>
      </c>
      <c r="O784" s="2">
        <v>46498</v>
      </c>
      <c r="P784" t="s">
        <v>29</v>
      </c>
      <c r="Q784" t="s">
        <v>71</v>
      </c>
      <c r="R784" t="s">
        <v>31</v>
      </c>
      <c r="S784" t="s">
        <v>110</v>
      </c>
      <c r="T784" t="s">
        <v>33</v>
      </c>
      <c r="U784" t="s">
        <v>34</v>
      </c>
      <c r="V784" t="str">
        <f>IF(B784&lt;=18,"Children",IF(B784&lt;=35,"Young adult",IF(B784&lt;=60,"Adult", "Senior Citizen")))</f>
        <v>Adult</v>
      </c>
      <c r="W784" t="str">
        <f t="shared" si="84"/>
        <v>Feb</v>
      </c>
      <c r="X784">
        <f t="shared" si="85"/>
        <v>2</v>
      </c>
      <c r="Y784" t="str">
        <f t="shared" si="86"/>
        <v>Q1</v>
      </c>
      <c r="Z784">
        <f t="shared" si="87"/>
        <v>2027</v>
      </c>
      <c r="AA784" t="str">
        <f t="shared" si="88"/>
        <v>Monday</v>
      </c>
      <c r="AB784">
        <f t="shared" si="89"/>
        <v>-58</v>
      </c>
      <c r="AC784" t="str">
        <f>IF(OR(D784="Heart Disease",D784="Cancer",D784="Stroke"),"High",IF(OR(D784="Diabetes",D784="Asthma"),"Medium","Low"))</f>
        <v>High</v>
      </c>
      <c r="AD784" t="str">
        <f t="shared" si="90"/>
        <v>Yes</v>
      </c>
      <c r="AE784" t="str">
        <f>IF(G784&lt;=2,"Short Stay", IF(G784&lt;=7,"Normal Stay", "Long Stay"))</f>
        <v>Long Stay</v>
      </c>
      <c r="AF784" t="str">
        <f>IF(F784&gt;60000,"Expensive",IF(F784&gt;30000,"Moderate","Affordable"))</f>
        <v>Affordable</v>
      </c>
      <c r="AG784" t="str">
        <f>IF(J784&gt;=4.5,"Excellent",IF(J784&gt;=3.5,"Good",IF(J784&gt;=2.5,"Average","Poor")))</f>
        <v>Average</v>
      </c>
      <c r="AH784" t="str">
        <f>IF(OR(TEXT(N784,"dddd")="Saturday",TEXT(N784,"dddd")="Sunday"),"Weekend","Weekday")</f>
        <v>Weekday</v>
      </c>
    </row>
    <row r="785" spans="1:34" x14ac:dyDescent="0.3">
      <c r="A785">
        <v>797</v>
      </c>
      <c r="B785">
        <v>62</v>
      </c>
      <c r="C785" t="s">
        <v>35</v>
      </c>
      <c r="D785" t="s">
        <v>36</v>
      </c>
      <c r="E785" t="s">
        <v>37</v>
      </c>
      <c r="F785">
        <v>2000</v>
      </c>
      <c r="G785">
        <v>56</v>
      </c>
      <c r="H785" t="s">
        <v>24</v>
      </c>
      <c r="I785" t="s">
        <v>39</v>
      </c>
      <c r="J785">
        <v>4</v>
      </c>
      <c r="K785" t="s">
        <v>26</v>
      </c>
      <c r="L785" t="s">
        <v>1693</v>
      </c>
      <c r="M785" t="s">
        <v>1694</v>
      </c>
      <c r="N785" s="2">
        <v>46441</v>
      </c>
      <c r="O785" s="2">
        <v>46497</v>
      </c>
      <c r="P785" t="s">
        <v>43</v>
      </c>
      <c r="Q785" t="s">
        <v>139</v>
      </c>
      <c r="R785" t="s">
        <v>45</v>
      </c>
      <c r="S785" t="s">
        <v>32</v>
      </c>
      <c r="T785" t="s">
        <v>33</v>
      </c>
      <c r="U785" t="s">
        <v>46</v>
      </c>
      <c r="V785" t="str">
        <f>IF(B785&lt;=18,"Children",IF(B785&lt;=35,"Young adult",IF(B785&lt;=60,"Adult", "Senior Citizen")))</f>
        <v>Senior Citizen</v>
      </c>
      <c r="W785" t="str">
        <f t="shared" si="84"/>
        <v>Feb</v>
      </c>
      <c r="X785">
        <f t="shared" si="85"/>
        <v>2</v>
      </c>
      <c r="Y785" t="str">
        <f t="shared" si="86"/>
        <v>Q1</v>
      </c>
      <c r="Z785">
        <f t="shared" si="87"/>
        <v>2027</v>
      </c>
      <c r="AA785" t="str">
        <f t="shared" si="88"/>
        <v>Tuesday</v>
      </c>
      <c r="AB785">
        <f t="shared" si="89"/>
        <v>-56</v>
      </c>
      <c r="AC785" t="str">
        <f>IF(OR(D785="Heart Disease",D785="Cancer",D785="Stroke"),"High",IF(OR(D785="Diabetes",D785="Asthma"),"Medium","Low"))</f>
        <v>Medium</v>
      </c>
      <c r="AD785" t="str">
        <f t="shared" si="90"/>
        <v>No</v>
      </c>
      <c r="AE785" t="str">
        <f>IF(G785&lt;=2,"Short Stay", IF(G785&lt;=7,"Normal Stay", "Long Stay"))</f>
        <v>Long Stay</v>
      </c>
      <c r="AF785" t="str">
        <f>IF(F785&gt;60000,"Expensive",IF(F785&gt;30000,"Moderate","Affordable"))</f>
        <v>Affordable</v>
      </c>
      <c r="AG785" t="str">
        <f>IF(J785&gt;=4.5,"Excellent",IF(J785&gt;=3.5,"Good",IF(J785&gt;=2.5,"Average","Poor")))</f>
        <v>Good</v>
      </c>
      <c r="AH785" t="str">
        <f>IF(OR(TEXT(N785,"dddd")="Saturday",TEXT(N785,"dddd")="Sunday"),"Weekend","Weekday")</f>
        <v>Weekday</v>
      </c>
    </row>
    <row r="786" spans="1:34" x14ac:dyDescent="0.3">
      <c r="A786">
        <v>798</v>
      </c>
      <c r="B786">
        <v>35</v>
      </c>
      <c r="C786" t="s">
        <v>21</v>
      </c>
      <c r="D786" t="s">
        <v>47</v>
      </c>
      <c r="E786" t="s">
        <v>48</v>
      </c>
      <c r="F786">
        <v>500</v>
      </c>
      <c r="G786">
        <v>54</v>
      </c>
      <c r="H786" t="s">
        <v>38</v>
      </c>
      <c r="I786" t="s">
        <v>25</v>
      </c>
      <c r="J786">
        <v>5</v>
      </c>
      <c r="K786" t="s">
        <v>40</v>
      </c>
      <c r="L786" t="s">
        <v>1695</v>
      </c>
      <c r="M786" t="s">
        <v>1696</v>
      </c>
      <c r="N786" s="2">
        <v>46442</v>
      </c>
      <c r="O786" s="2">
        <v>46496</v>
      </c>
      <c r="P786" t="s">
        <v>29</v>
      </c>
      <c r="Q786" t="s">
        <v>52</v>
      </c>
      <c r="R786" t="s">
        <v>45</v>
      </c>
      <c r="S786" t="s">
        <v>110</v>
      </c>
      <c r="T786" t="s">
        <v>33</v>
      </c>
      <c r="U786" t="s">
        <v>46</v>
      </c>
      <c r="V786" t="str">
        <f>IF(B786&lt;=18,"Children",IF(B786&lt;=35,"Young adult",IF(B786&lt;=60,"Adult", "Senior Citizen")))</f>
        <v>Young adult</v>
      </c>
      <c r="W786" t="str">
        <f t="shared" si="84"/>
        <v>Feb</v>
      </c>
      <c r="X786">
        <f t="shared" si="85"/>
        <v>2</v>
      </c>
      <c r="Y786" t="str">
        <f t="shared" si="86"/>
        <v>Q1</v>
      </c>
      <c r="Z786">
        <f t="shared" si="87"/>
        <v>2027</v>
      </c>
      <c r="AA786" t="str">
        <f t="shared" si="88"/>
        <v>Wednesday</v>
      </c>
      <c r="AB786">
        <f t="shared" si="89"/>
        <v>-54</v>
      </c>
      <c r="AC786" t="str">
        <f>IF(OR(D786="Heart Disease",D786="Cancer",D786="Stroke"),"High",IF(OR(D786="Diabetes",D786="Asthma"),"Medium","Low"))</f>
        <v>Low</v>
      </c>
      <c r="AD786" t="str">
        <f t="shared" si="90"/>
        <v>No</v>
      </c>
      <c r="AE786" t="str">
        <f>IF(G786&lt;=2,"Short Stay", IF(G786&lt;=7,"Normal Stay", "Long Stay"))</f>
        <v>Long Stay</v>
      </c>
      <c r="AF786" t="str">
        <f>IF(F786&gt;60000,"Expensive",IF(F786&gt;30000,"Moderate","Affordable"))</f>
        <v>Affordable</v>
      </c>
      <c r="AG786" t="str">
        <f>IF(J786&gt;=4.5,"Excellent",IF(J786&gt;=3.5,"Good",IF(J786&gt;=2.5,"Average","Poor")))</f>
        <v>Excellent</v>
      </c>
      <c r="AH786" t="str">
        <f>IF(OR(TEXT(N786,"dddd")="Saturday",TEXT(N786,"dddd")="Sunday"),"Weekend","Weekday")</f>
        <v>Weekday</v>
      </c>
    </row>
    <row r="787" spans="1:34" x14ac:dyDescent="0.3">
      <c r="A787">
        <v>799</v>
      </c>
      <c r="B787">
        <v>78</v>
      </c>
      <c r="C787" t="s">
        <v>35</v>
      </c>
      <c r="D787" t="s">
        <v>54</v>
      </c>
      <c r="E787" t="s">
        <v>55</v>
      </c>
      <c r="F787">
        <v>10000</v>
      </c>
      <c r="G787">
        <v>61</v>
      </c>
      <c r="H787" t="s">
        <v>24</v>
      </c>
      <c r="I787" t="s">
        <v>39</v>
      </c>
      <c r="J787">
        <v>2</v>
      </c>
      <c r="K787" t="s">
        <v>62</v>
      </c>
      <c r="L787" t="s">
        <v>1697</v>
      </c>
      <c r="M787" t="s">
        <v>1698</v>
      </c>
      <c r="N787" s="2">
        <v>46443</v>
      </c>
      <c r="O787" s="2">
        <v>46504</v>
      </c>
      <c r="P787" t="s">
        <v>29</v>
      </c>
      <c r="Q787" t="s">
        <v>71</v>
      </c>
      <c r="R787" t="s">
        <v>59</v>
      </c>
      <c r="S787" t="s">
        <v>32</v>
      </c>
      <c r="T787" t="s">
        <v>33</v>
      </c>
      <c r="U787" t="s">
        <v>78</v>
      </c>
      <c r="V787" t="str">
        <f>IF(B787&lt;=18,"Children",IF(B787&lt;=35,"Young adult",IF(B787&lt;=60,"Adult", "Senior Citizen")))</f>
        <v>Senior Citizen</v>
      </c>
      <c r="W787" t="str">
        <f t="shared" si="84"/>
        <v>Feb</v>
      </c>
      <c r="X787">
        <f t="shared" si="85"/>
        <v>2</v>
      </c>
      <c r="Y787" t="str">
        <f t="shared" si="86"/>
        <v>Q1</v>
      </c>
      <c r="Z787">
        <f t="shared" si="87"/>
        <v>2027</v>
      </c>
      <c r="AA787" t="str">
        <f t="shared" si="88"/>
        <v>Thursday</v>
      </c>
      <c r="AB787">
        <f t="shared" si="89"/>
        <v>-61</v>
      </c>
      <c r="AC787" t="str">
        <f>IF(OR(D787="Heart Disease",D787="Cancer",D787="Stroke"),"High",IF(OR(D787="Diabetes",D787="Asthma"),"Medium","Low"))</f>
        <v>High</v>
      </c>
      <c r="AD787" t="str">
        <f t="shared" si="90"/>
        <v>Yes</v>
      </c>
      <c r="AE787" t="str">
        <f>IF(G787&lt;=2,"Short Stay", IF(G787&lt;=7,"Normal Stay", "Long Stay"))</f>
        <v>Long Stay</v>
      </c>
      <c r="AF787" t="str">
        <f>IF(F787&gt;60000,"Expensive",IF(F787&gt;30000,"Moderate","Affordable"))</f>
        <v>Affordable</v>
      </c>
      <c r="AG787" t="str">
        <f>IF(J787&gt;=4.5,"Excellent",IF(J787&gt;=3.5,"Good",IF(J787&gt;=2.5,"Average","Poor")))</f>
        <v>Poor</v>
      </c>
      <c r="AH787" t="str">
        <f>IF(OR(TEXT(N787,"dddd")="Saturday",TEXT(N787,"dddd")="Sunday"),"Weekend","Weekday")</f>
        <v>Weekday</v>
      </c>
    </row>
    <row r="788" spans="1:34" x14ac:dyDescent="0.3">
      <c r="A788">
        <v>800</v>
      </c>
      <c r="B788">
        <v>53</v>
      </c>
      <c r="C788" t="s">
        <v>21</v>
      </c>
      <c r="D788" t="s">
        <v>60</v>
      </c>
      <c r="E788" t="s">
        <v>61</v>
      </c>
      <c r="F788">
        <v>25000</v>
      </c>
      <c r="G788">
        <v>63</v>
      </c>
      <c r="H788" t="s">
        <v>38</v>
      </c>
      <c r="I788" t="s">
        <v>25</v>
      </c>
      <c r="J788">
        <v>4</v>
      </c>
      <c r="K788" t="s">
        <v>144</v>
      </c>
      <c r="L788" t="s">
        <v>1699</v>
      </c>
      <c r="M788" t="s">
        <v>1700</v>
      </c>
      <c r="N788" s="2">
        <v>46444</v>
      </c>
      <c r="O788" s="2">
        <v>46507</v>
      </c>
      <c r="P788" t="s">
        <v>29</v>
      </c>
      <c r="Q788" t="s">
        <v>139</v>
      </c>
      <c r="R788" t="s">
        <v>65</v>
      </c>
      <c r="S788" t="s">
        <v>110</v>
      </c>
      <c r="T788" t="s">
        <v>33</v>
      </c>
      <c r="U788" t="s">
        <v>104</v>
      </c>
      <c r="V788" t="str">
        <f>IF(B788&lt;=18,"Children",IF(B788&lt;=35,"Young adult",IF(B788&lt;=60,"Adult", "Senior Citizen")))</f>
        <v>Adult</v>
      </c>
      <c r="W788" t="str">
        <f t="shared" si="84"/>
        <v>Feb</v>
      </c>
      <c r="X788">
        <f t="shared" si="85"/>
        <v>2</v>
      </c>
      <c r="Y788" t="str">
        <f t="shared" si="86"/>
        <v>Q1</v>
      </c>
      <c r="Z788">
        <f t="shared" si="87"/>
        <v>2027</v>
      </c>
      <c r="AA788" t="str">
        <f t="shared" si="88"/>
        <v>Friday</v>
      </c>
      <c r="AB788">
        <f t="shared" si="89"/>
        <v>-63</v>
      </c>
      <c r="AC788" t="str">
        <f>IF(OR(D788="Heart Disease",D788="Cancer",D788="Stroke"),"High",IF(OR(D788="Diabetes",D788="Asthma"),"Medium","Low"))</f>
        <v>High</v>
      </c>
      <c r="AD788" t="str">
        <f t="shared" si="90"/>
        <v>Yes</v>
      </c>
      <c r="AE788" t="str">
        <f>IF(G788&lt;=2,"Short Stay", IF(G788&lt;=7,"Normal Stay", "Long Stay"))</f>
        <v>Long Stay</v>
      </c>
      <c r="AF788" t="str">
        <f>IF(F788&gt;60000,"Expensive",IF(F788&gt;30000,"Moderate","Affordable"))</f>
        <v>Affordable</v>
      </c>
      <c r="AG788" t="str">
        <f>IF(J788&gt;=4.5,"Excellent",IF(J788&gt;=3.5,"Good",IF(J788&gt;=2.5,"Average","Poor")))</f>
        <v>Good</v>
      </c>
      <c r="AH788" t="str">
        <f>IF(OR(TEXT(N788,"dddd")="Saturday",TEXT(N788,"dddd")="Sunday"),"Weekend","Weekday")</f>
        <v>Weekday</v>
      </c>
    </row>
    <row r="789" spans="1:34" x14ac:dyDescent="0.3">
      <c r="A789">
        <v>801</v>
      </c>
      <c r="B789">
        <v>72</v>
      </c>
      <c r="C789" t="s">
        <v>35</v>
      </c>
      <c r="D789" t="s">
        <v>66</v>
      </c>
      <c r="E789" t="s">
        <v>67</v>
      </c>
      <c r="F789">
        <v>1000</v>
      </c>
      <c r="G789">
        <v>57</v>
      </c>
      <c r="H789" t="s">
        <v>24</v>
      </c>
      <c r="I789" t="s">
        <v>39</v>
      </c>
      <c r="J789">
        <v>4</v>
      </c>
      <c r="K789" t="s">
        <v>281</v>
      </c>
      <c r="L789" t="s">
        <v>1701</v>
      </c>
      <c r="M789" t="s">
        <v>1702</v>
      </c>
      <c r="N789" s="2">
        <v>46445</v>
      </c>
      <c r="O789" s="2">
        <v>46502</v>
      </c>
      <c r="P789" t="s">
        <v>29</v>
      </c>
      <c r="Q789" t="s">
        <v>30</v>
      </c>
      <c r="R789" t="s">
        <v>45</v>
      </c>
      <c r="S789" t="s">
        <v>72</v>
      </c>
      <c r="T789" t="s">
        <v>33</v>
      </c>
      <c r="U789" t="s">
        <v>46</v>
      </c>
      <c r="V789" t="str">
        <f>IF(B789&lt;=18,"Children",IF(B789&lt;=35,"Young adult",IF(B789&lt;=60,"Adult", "Senior Citizen")))</f>
        <v>Senior Citizen</v>
      </c>
      <c r="W789" t="str">
        <f t="shared" si="84"/>
        <v>Feb</v>
      </c>
      <c r="X789">
        <f t="shared" si="85"/>
        <v>2</v>
      </c>
      <c r="Y789" t="str">
        <f t="shared" si="86"/>
        <v>Q1</v>
      </c>
      <c r="Z789">
        <f t="shared" si="87"/>
        <v>2027</v>
      </c>
      <c r="AA789" t="str">
        <f t="shared" si="88"/>
        <v>Saturday</v>
      </c>
      <c r="AB789">
        <f t="shared" si="89"/>
        <v>-57</v>
      </c>
      <c r="AC789" t="str">
        <f>IF(OR(D789="Heart Disease",D789="Cancer",D789="Stroke"),"High",IF(OR(D789="Diabetes",D789="Asthma"),"Medium","Low"))</f>
        <v>Low</v>
      </c>
      <c r="AD789" t="str">
        <f t="shared" si="90"/>
        <v>No</v>
      </c>
      <c r="AE789" t="str">
        <f>IF(G789&lt;=2,"Short Stay", IF(G789&lt;=7,"Normal Stay", "Long Stay"))</f>
        <v>Long Stay</v>
      </c>
      <c r="AF789" t="str">
        <f>IF(F789&gt;60000,"Expensive",IF(F789&gt;30000,"Moderate","Affordable"))</f>
        <v>Affordable</v>
      </c>
      <c r="AG789" t="str">
        <f>IF(J789&gt;=4.5,"Excellent",IF(J789&gt;=3.5,"Good",IF(J789&gt;=2.5,"Average","Poor")))</f>
        <v>Good</v>
      </c>
      <c r="AH789" t="str">
        <f>IF(OR(TEXT(N789,"dddd")="Saturday",TEXT(N789,"dddd")="Sunday"),"Weekend","Weekday")</f>
        <v>Weekend</v>
      </c>
    </row>
    <row r="790" spans="1:34" x14ac:dyDescent="0.3">
      <c r="A790">
        <v>802</v>
      </c>
      <c r="B790">
        <v>60</v>
      </c>
      <c r="C790" t="s">
        <v>21</v>
      </c>
      <c r="D790" t="s">
        <v>73</v>
      </c>
      <c r="E790" t="s">
        <v>74</v>
      </c>
      <c r="F790">
        <v>8000</v>
      </c>
      <c r="G790">
        <v>59</v>
      </c>
      <c r="H790" t="s">
        <v>38</v>
      </c>
      <c r="I790" t="s">
        <v>25</v>
      </c>
      <c r="J790">
        <v>3</v>
      </c>
      <c r="K790" t="s">
        <v>178</v>
      </c>
      <c r="L790" t="s">
        <v>1703</v>
      </c>
      <c r="M790" t="s">
        <v>1704</v>
      </c>
      <c r="N790" s="2">
        <v>46446</v>
      </c>
      <c r="O790" s="2">
        <v>46505</v>
      </c>
      <c r="P790" t="s">
        <v>43</v>
      </c>
      <c r="Q790" t="s">
        <v>71</v>
      </c>
      <c r="R790" t="s">
        <v>45</v>
      </c>
      <c r="S790" t="s">
        <v>77</v>
      </c>
      <c r="T790" t="s">
        <v>33</v>
      </c>
      <c r="U790" t="s">
        <v>78</v>
      </c>
      <c r="V790" t="str">
        <f>IF(B790&lt;=18,"Children",IF(B790&lt;=35,"Young adult",IF(B790&lt;=60,"Adult", "Senior Citizen")))</f>
        <v>Adult</v>
      </c>
      <c r="W790" t="str">
        <f t="shared" si="84"/>
        <v>Feb</v>
      </c>
      <c r="X790">
        <f t="shared" si="85"/>
        <v>2</v>
      </c>
      <c r="Y790" t="str">
        <f t="shared" si="86"/>
        <v>Q1</v>
      </c>
      <c r="Z790">
        <f t="shared" si="87"/>
        <v>2027</v>
      </c>
      <c r="AA790" t="str">
        <f t="shared" si="88"/>
        <v>Sunday</v>
      </c>
      <c r="AB790">
        <f t="shared" si="89"/>
        <v>-59</v>
      </c>
      <c r="AC790" t="str">
        <f>IF(OR(D790="Heart Disease",D790="Cancer",D790="Stroke"),"High",IF(OR(D790="Diabetes",D790="Asthma"),"Medium","Low"))</f>
        <v>Low</v>
      </c>
      <c r="AD790" t="str">
        <f t="shared" si="90"/>
        <v>No</v>
      </c>
      <c r="AE790" t="str">
        <f>IF(G790&lt;=2,"Short Stay", IF(G790&lt;=7,"Normal Stay", "Long Stay"))</f>
        <v>Long Stay</v>
      </c>
      <c r="AF790" t="str">
        <f>IF(F790&gt;60000,"Expensive",IF(F790&gt;30000,"Moderate","Affordable"))</f>
        <v>Affordable</v>
      </c>
      <c r="AG790" t="str">
        <f>IF(J790&gt;=4.5,"Excellent",IF(J790&gt;=3.5,"Good",IF(J790&gt;=2.5,"Average","Poor")))</f>
        <v>Average</v>
      </c>
      <c r="AH790" t="str">
        <f>IF(OR(TEXT(N790,"dddd")="Saturday",TEXT(N790,"dddd")="Sunday"),"Weekend","Weekday")</f>
        <v>Weekend</v>
      </c>
    </row>
    <row r="791" spans="1:34" x14ac:dyDescent="0.3">
      <c r="A791">
        <v>803</v>
      </c>
      <c r="B791">
        <v>45</v>
      </c>
      <c r="C791" t="s">
        <v>35</v>
      </c>
      <c r="D791" t="s">
        <v>79</v>
      </c>
      <c r="E791" t="s">
        <v>80</v>
      </c>
      <c r="F791">
        <v>3000</v>
      </c>
      <c r="G791">
        <v>59</v>
      </c>
      <c r="H791" t="s">
        <v>24</v>
      </c>
      <c r="I791" t="s">
        <v>25</v>
      </c>
      <c r="J791">
        <v>4</v>
      </c>
      <c r="K791" t="s">
        <v>120</v>
      </c>
      <c r="L791" t="s">
        <v>1705</v>
      </c>
      <c r="M791" t="s">
        <v>1706</v>
      </c>
      <c r="N791" s="2">
        <v>46447</v>
      </c>
      <c r="O791" s="2">
        <v>46506</v>
      </c>
      <c r="P791" t="s">
        <v>43</v>
      </c>
      <c r="Q791" t="s">
        <v>139</v>
      </c>
      <c r="R791" t="s">
        <v>45</v>
      </c>
      <c r="S791" t="s">
        <v>53</v>
      </c>
      <c r="T791" t="s">
        <v>33</v>
      </c>
      <c r="U791" t="s">
        <v>34</v>
      </c>
      <c r="V791" t="str">
        <f>IF(B791&lt;=18,"Children",IF(B791&lt;=35,"Young adult",IF(B791&lt;=60,"Adult", "Senior Citizen")))</f>
        <v>Adult</v>
      </c>
      <c r="W791" t="str">
        <f t="shared" si="84"/>
        <v>Mar</v>
      </c>
      <c r="X791">
        <f t="shared" si="85"/>
        <v>3</v>
      </c>
      <c r="Y791" t="str">
        <f t="shared" si="86"/>
        <v>Q1</v>
      </c>
      <c r="Z791">
        <f t="shared" si="87"/>
        <v>2027</v>
      </c>
      <c r="AA791" t="str">
        <f t="shared" si="88"/>
        <v>Monday</v>
      </c>
      <c r="AB791">
        <f t="shared" si="89"/>
        <v>-59</v>
      </c>
      <c r="AC791" t="str">
        <f>IF(OR(D791="Heart Disease",D791="Cancer",D791="Stroke"),"High",IF(OR(D791="Diabetes",D791="Asthma"),"Medium","Low"))</f>
        <v>Low</v>
      </c>
      <c r="AD791" t="str">
        <f t="shared" si="90"/>
        <v>No</v>
      </c>
      <c r="AE791" t="str">
        <f>IF(G791&lt;=2,"Short Stay", IF(G791&lt;=7,"Normal Stay", "Long Stay"))</f>
        <v>Long Stay</v>
      </c>
      <c r="AF791" t="str">
        <f>IF(F791&gt;60000,"Expensive",IF(F791&gt;30000,"Moderate","Affordable"))</f>
        <v>Affordable</v>
      </c>
      <c r="AG791" t="str">
        <f>IF(J791&gt;=4.5,"Excellent",IF(J791&gt;=3.5,"Good",IF(J791&gt;=2.5,"Average","Poor")))</f>
        <v>Good</v>
      </c>
      <c r="AH791" t="str">
        <f>IF(OR(TEXT(N791,"dddd")="Saturday",TEXT(N791,"dddd")="Sunday"),"Weekend","Weekday")</f>
        <v>Weekday</v>
      </c>
    </row>
    <row r="792" spans="1:34" x14ac:dyDescent="0.3">
      <c r="A792">
        <v>804</v>
      </c>
      <c r="B792">
        <v>75</v>
      </c>
      <c r="C792" t="s">
        <v>21</v>
      </c>
      <c r="D792" t="s">
        <v>85</v>
      </c>
      <c r="E792" t="s">
        <v>86</v>
      </c>
      <c r="F792">
        <v>18000</v>
      </c>
      <c r="G792">
        <v>61</v>
      </c>
      <c r="H792" t="s">
        <v>38</v>
      </c>
      <c r="I792" t="s">
        <v>39</v>
      </c>
      <c r="J792">
        <v>2</v>
      </c>
      <c r="K792" t="s">
        <v>200</v>
      </c>
      <c r="L792" t="s">
        <v>1707</v>
      </c>
      <c r="M792" t="s">
        <v>1708</v>
      </c>
      <c r="N792" s="2">
        <v>46448</v>
      </c>
      <c r="O792" s="2">
        <v>46509</v>
      </c>
      <c r="P792" t="s">
        <v>43</v>
      </c>
      <c r="Q792" t="s">
        <v>139</v>
      </c>
      <c r="R792" t="s">
        <v>45</v>
      </c>
      <c r="S792" t="s">
        <v>110</v>
      </c>
      <c r="T792" t="s">
        <v>33</v>
      </c>
      <c r="U792" t="s">
        <v>46</v>
      </c>
      <c r="V792" t="str">
        <f>IF(B792&lt;=18,"Children",IF(B792&lt;=35,"Young adult",IF(B792&lt;=60,"Adult", "Senior Citizen")))</f>
        <v>Senior Citizen</v>
      </c>
      <c r="W792" t="str">
        <f t="shared" si="84"/>
        <v>Mar</v>
      </c>
      <c r="X792">
        <f t="shared" si="85"/>
        <v>3</v>
      </c>
      <c r="Y792" t="str">
        <f t="shared" si="86"/>
        <v>Q1</v>
      </c>
      <c r="Z792">
        <f t="shared" si="87"/>
        <v>2027</v>
      </c>
      <c r="AA792" t="str">
        <f t="shared" si="88"/>
        <v>Tuesday</v>
      </c>
      <c r="AB792">
        <f t="shared" si="89"/>
        <v>-61</v>
      </c>
      <c r="AC792" t="str">
        <f>IF(OR(D792="Heart Disease",D792="Cancer",D792="Stroke"),"High",IF(OR(D792="Diabetes",D792="Asthma"),"Medium","Low"))</f>
        <v>Low</v>
      </c>
      <c r="AD792" t="str">
        <f t="shared" si="90"/>
        <v>No</v>
      </c>
      <c r="AE792" t="str">
        <f>IF(G792&lt;=2,"Short Stay", IF(G792&lt;=7,"Normal Stay", "Long Stay"))</f>
        <v>Long Stay</v>
      </c>
      <c r="AF792" t="str">
        <f>IF(F792&gt;60000,"Expensive",IF(F792&gt;30000,"Moderate","Affordable"))</f>
        <v>Affordable</v>
      </c>
      <c r="AG792" t="str">
        <f>IF(J792&gt;=4.5,"Excellent",IF(J792&gt;=3.5,"Good",IF(J792&gt;=2.5,"Average","Poor")))</f>
        <v>Poor</v>
      </c>
      <c r="AH792" t="str">
        <f>IF(OR(TEXT(N792,"dddd")="Saturday",TEXT(N792,"dddd")="Sunday"),"Weekend","Weekday")</f>
        <v>Weekday</v>
      </c>
    </row>
    <row r="793" spans="1:34" x14ac:dyDescent="0.3">
      <c r="A793">
        <v>805</v>
      </c>
      <c r="B793">
        <v>28</v>
      </c>
      <c r="C793" t="s">
        <v>35</v>
      </c>
      <c r="D793" t="s">
        <v>89</v>
      </c>
      <c r="E793" t="s">
        <v>90</v>
      </c>
      <c r="F793">
        <v>100</v>
      </c>
      <c r="G793">
        <v>54</v>
      </c>
      <c r="H793" t="s">
        <v>24</v>
      </c>
      <c r="I793" t="s">
        <v>25</v>
      </c>
      <c r="J793">
        <v>5</v>
      </c>
      <c r="K793" t="s">
        <v>120</v>
      </c>
      <c r="L793" t="s">
        <v>1709</v>
      </c>
      <c r="M793" t="s">
        <v>1710</v>
      </c>
      <c r="N793" s="2">
        <v>46449</v>
      </c>
      <c r="O793" s="2">
        <v>46503</v>
      </c>
      <c r="P793" t="s">
        <v>29</v>
      </c>
      <c r="Q793" t="s">
        <v>139</v>
      </c>
      <c r="R793" t="s">
        <v>45</v>
      </c>
      <c r="S793" t="s">
        <v>77</v>
      </c>
      <c r="T793" t="s">
        <v>33</v>
      </c>
      <c r="U793" t="s">
        <v>104</v>
      </c>
      <c r="V793" t="str">
        <f>IF(B793&lt;=18,"Children",IF(B793&lt;=35,"Young adult",IF(B793&lt;=60,"Adult", "Senior Citizen")))</f>
        <v>Young adult</v>
      </c>
      <c r="W793" t="str">
        <f t="shared" si="84"/>
        <v>Mar</v>
      </c>
      <c r="X793">
        <f t="shared" si="85"/>
        <v>3</v>
      </c>
      <c r="Y793" t="str">
        <f t="shared" si="86"/>
        <v>Q1</v>
      </c>
      <c r="Z793">
        <f t="shared" si="87"/>
        <v>2027</v>
      </c>
      <c r="AA793" t="str">
        <f t="shared" si="88"/>
        <v>Wednesday</v>
      </c>
      <c r="AB793">
        <f t="shared" si="89"/>
        <v>-54</v>
      </c>
      <c r="AC793" t="str">
        <f>IF(OR(D793="Heart Disease",D793="Cancer",D793="Stroke"),"High",IF(OR(D793="Diabetes",D793="Asthma"),"Medium","Low"))</f>
        <v>Low</v>
      </c>
      <c r="AD793" t="str">
        <f t="shared" si="90"/>
        <v>No</v>
      </c>
      <c r="AE793" t="str">
        <f>IF(G793&lt;=2,"Short Stay", IF(G793&lt;=7,"Normal Stay", "Long Stay"))</f>
        <v>Long Stay</v>
      </c>
      <c r="AF793" t="str">
        <f>IF(F793&gt;60000,"Expensive",IF(F793&gt;30000,"Moderate","Affordable"))</f>
        <v>Affordable</v>
      </c>
      <c r="AG793" t="str">
        <f>IF(J793&gt;=4.5,"Excellent",IF(J793&gt;=3.5,"Good",IF(J793&gt;=2.5,"Average","Poor")))</f>
        <v>Excellent</v>
      </c>
      <c r="AH793" t="str">
        <f>IF(OR(TEXT(N793,"dddd")="Saturday",TEXT(N793,"dddd")="Sunday"),"Weekend","Weekday")</f>
        <v>Weekday</v>
      </c>
    </row>
    <row r="794" spans="1:34" x14ac:dyDescent="0.3">
      <c r="A794">
        <v>806</v>
      </c>
      <c r="B794">
        <v>52</v>
      </c>
      <c r="C794" t="s">
        <v>21</v>
      </c>
      <c r="D794" t="s">
        <v>94</v>
      </c>
      <c r="E794" t="s">
        <v>95</v>
      </c>
      <c r="F794">
        <v>800</v>
      </c>
      <c r="G794">
        <v>55</v>
      </c>
      <c r="H794" t="s">
        <v>24</v>
      </c>
      <c r="I794" t="s">
        <v>39</v>
      </c>
      <c r="J794">
        <v>4</v>
      </c>
      <c r="K794" t="s">
        <v>107</v>
      </c>
      <c r="L794" t="s">
        <v>1711</v>
      </c>
      <c r="M794" t="s">
        <v>1712</v>
      </c>
      <c r="N794" s="2">
        <v>46450</v>
      </c>
      <c r="O794" s="2">
        <v>46505</v>
      </c>
      <c r="P794" t="s">
        <v>29</v>
      </c>
      <c r="Q794" t="s">
        <v>30</v>
      </c>
      <c r="R794" t="s">
        <v>45</v>
      </c>
      <c r="S794" t="s">
        <v>84</v>
      </c>
      <c r="T794" t="s">
        <v>33</v>
      </c>
      <c r="U794" t="s">
        <v>104</v>
      </c>
      <c r="V794" t="str">
        <f>IF(B794&lt;=18,"Children",IF(B794&lt;=35,"Young adult",IF(B794&lt;=60,"Adult", "Senior Citizen")))</f>
        <v>Adult</v>
      </c>
      <c r="W794" t="str">
        <f t="shared" si="84"/>
        <v>Mar</v>
      </c>
      <c r="X794">
        <f t="shared" si="85"/>
        <v>3</v>
      </c>
      <c r="Y794" t="str">
        <f t="shared" si="86"/>
        <v>Q1</v>
      </c>
      <c r="Z794">
        <f t="shared" si="87"/>
        <v>2027</v>
      </c>
      <c r="AA794" t="str">
        <f t="shared" si="88"/>
        <v>Thursday</v>
      </c>
      <c r="AB794">
        <f t="shared" si="89"/>
        <v>-55</v>
      </c>
      <c r="AC794" t="str">
        <f>IF(OR(D794="Heart Disease",D794="Cancer",D794="Stroke"),"High",IF(OR(D794="Diabetes",D794="Asthma"),"Medium","Low"))</f>
        <v>Low</v>
      </c>
      <c r="AD794" t="str">
        <f t="shared" si="90"/>
        <v>No</v>
      </c>
      <c r="AE794" t="str">
        <f>IF(G794&lt;=2,"Short Stay", IF(G794&lt;=7,"Normal Stay", "Long Stay"))</f>
        <v>Long Stay</v>
      </c>
      <c r="AF794" t="str">
        <f>IF(F794&gt;60000,"Expensive",IF(F794&gt;30000,"Moderate","Affordable"))</f>
        <v>Affordable</v>
      </c>
      <c r="AG794" t="str">
        <f>IF(J794&gt;=4.5,"Excellent",IF(J794&gt;=3.5,"Good",IF(J794&gt;=2.5,"Average","Poor")))</f>
        <v>Good</v>
      </c>
      <c r="AH794" t="str">
        <f>IF(OR(TEXT(N794,"dddd")="Saturday",TEXT(N794,"dddd")="Sunday"),"Weekend","Weekday")</f>
        <v>Weekday</v>
      </c>
    </row>
    <row r="795" spans="1:34" x14ac:dyDescent="0.3">
      <c r="A795">
        <v>807</v>
      </c>
      <c r="B795">
        <v>67</v>
      </c>
      <c r="C795" t="s">
        <v>35</v>
      </c>
      <c r="D795" t="s">
        <v>99</v>
      </c>
      <c r="E795" t="s">
        <v>100</v>
      </c>
      <c r="F795">
        <v>20000</v>
      </c>
      <c r="G795">
        <v>62</v>
      </c>
      <c r="H795" t="s">
        <v>24</v>
      </c>
      <c r="I795" t="s">
        <v>25</v>
      </c>
      <c r="J795">
        <v>3</v>
      </c>
      <c r="K795" t="s">
        <v>345</v>
      </c>
      <c r="L795" t="s">
        <v>1713</v>
      </c>
      <c r="M795" t="s">
        <v>1714</v>
      </c>
      <c r="N795" s="2">
        <v>46451</v>
      </c>
      <c r="O795" s="2">
        <v>46513</v>
      </c>
      <c r="P795" t="s">
        <v>29</v>
      </c>
      <c r="Q795" t="s">
        <v>44</v>
      </c>
      <c r="R795" t="s">
        <v>45</v>
      </c>
      <c r="S795" t="s">
        <v>110</v>
      </c>
      <c r="T795" t="s">
        <v>33</v>
      </c>
      <c r="U795" t="s">
        <v>46</v>
      </c>
      <c r="V795" t="str">
        <f>IF(B795&lt;=18,"Children",IF(B795&lt;=35,"Young adult",IF(B795&lt;=60,"Adult", "Senior Citizen")))</f>
        <v>Senior Citizen</v>
      </c>
      <c r="W795" t="str">
        <f t="shared" si="84"/>
        <v>Mar</v>
      </c>
      <c r="X795">
        <f t="shared" si="85"/>
        <v>3</v>
      </c>
      <c r="Y795" t="str">
        <f t="shared" si="86"/>
        <v>Q1</v>
      </c>
      <c r="Z795">
        <f t="shared" si="87"/>
        <v>2027</v>
      </c>
      <c r="AA795" t="str">
        <f t="shared" si="88"/>
        <v>Friday</v>
      </c>
      <c r="AB795">
        <f t="shared" si="89"/>
        <v>-62</v>
      </c>
      <c r="AC795" t="str">
        <f>IF(OR(D795="Heart Disease",D795="Cancer",D795="Stroke"),"High",IF(OR(D795="Diabetes",D795="Asthma"),"Medium","Low"))</f>
        <v>Low</v>
      </c>
      <c r="AD795" t="str">
        <f t="shared" si="90"/>
        <v>No</v>
      </c>
      <c r="AE795" t="str">
        <f>IF(G795&lt;=2,"Short Stay", IF(G795&lt;=7,"Normal Stay", "Long Stay"))</f>
        <v>Long Stay</v>
      </c>
      <c r="AF795" t="str">
        <f>IF(F795&gt;60000,"Expensive",IF(F795&gt;30000,"Moderate","Affordable"))</f>
        <v>Affordable</v>
      </c>
      <c r="AG795" t="str">
        <f>IF(J795&gt;=4.5,"Excellent",IF(J795&gt;=3.5,"Good",IF(J795&gt;=2.5,"Average","Poor")))</f>
        <v>Average</v>
      </c>
      <c r="AH795" t="str">
        <f>IF(OR(TEXT(N795,"dddd")="Saturday",TEXT(N795,"dddd")="Sunday"),"Weekend","Weekday")</f>
        <v>Weekday</v>
      </c>
    </row>
    <row r="796" spans="1:34" x14ac:dyDescent="0.3">
      <c r="A796">
        <v>808</v>
      </c>
      <c r="B796">
        <v>35</v>
      </c>
      <c r="C796" t="s">
        <v>21</v>
      </c>
      <c r="D796" t="s">
        <v>105</v>
      </c>
      <c r="E796" t="s">
        <v>106</v>
      </c>
      <c r="F796">
        <v>12000</v>
      </c>
      <c r="G796">
        <v>56</v>
      </c>
      <c r="H796" t="s">
        <v>24</v>
      </c>
      <c r="I796" t="s">
        <v>25</v>
      </c>
      <c r="J796">
        <v>4</v>
      </c>
      <c r="K796" t="s">
        <v>154</v>
      </c>
      <c r="L796" t="s">
        <v>1715</v>
      </c>
      <c r="M796" t="s">
        <v>1716</v>
      </c>
      <c r="N796" s="2">
        <v>46452</v>
      </c>
      <c r="O796" s="2">
        <v>46508</v>
      </c>
      <c r="P796" t="s">
        <v>43</v>
      </c>
      <c r="Q796" t="s">
        <v>30</v>
      </c>
      <c r="R796" t="s">
        <v>45</v>
      </c>
      <c r="S796" t="s">
        <v>72</v>
      </c>
      <c r="T796" t="s">
        <v>33</v>
      </c>
      <c r="U796" t="s">
        <v>104</v>
      </c>
      <c r="V796" t="str">
        <f>IF(B796&lt;=18,"Children",IF(B796&lt;=35,"Young adult",IF(B796&lt;=60,"Adult", "Senior Citizen")))</f>
        <v>Young adult</v>
      </c>
      <c r="W796" t="str">
        <f t="shared" si="84"/>
        <v>Mar</v>
      </c>
      <c r="X796">
        <f t="shared" si="85"/>
        <v>3</v>
      </c>
      <c r="Y796" t="str">
        <f t="shared" si="86"/>
        <v>Q1</v>
      </c>
      <c r="Z796">
        <f t="shared" si="87"/>
        <v>2027</v>
      </c>
      <c r="AA796" t="str">
        <f t="shared" si="88"/>
        <v>Saturday</v>
      </c>
      <c r="AB796">
        <f t="shared" si="89"/>
        <v>-56</v>
      </c>
      <c r="AC796" t="str">
        <f>IF(OR(D796="Heart Disease",D796="Cancer",D796="Stroke"),"High",IF(OR(D796="Diabetes",D796="Asthma"),"Medium","Low"))</f>
        <v>Low</v>
      </c>
      <c r="AD796" t="str">
        <f t="shared" si="90"/>
        <v>No</v>
      </c>
      <c r="AE796" t="str">
        <f>IF(G796&lt;=2,"Short Stay", IF(G796&lt;=7,"Normal Stay", "Long Stay"))</f>
        <v>Long Stay</v>
      </c>
      <c r="AF796" t="str">
        <f>IF(F796&gt;60000,"Expensive",IF(F796&gt;30000,"Moderate","Affordable"))</f>
        <v>Affordable</v>
      </c>
      <c r="AG796" t="str">
        <f>IF(J796&gt;=4.5,"Excellent",IF(J796&gt;=3.5,"Good",IF(J796&gt;=2.5,"Average","Poor")))</f>
        <v>Good</v>
      </c>
      <c r="AH796" t="str">
        <f>IF(OR(TEXT(N796,"dddd")="Saturday",TEXT(N796,"dddd")="Sunday"),"Weekend","Weekday")</f>
        <v>Weekend</v>
      </c>
    </row>
    <row r="797" spans="1:34" x14ac:dyDescent="0.3">
      <c r="A797">
        <v>809</v>
      </c>
      <c r="B797">
        <v>50</v>
      </c>
      <c r="C797" t="s">
        <v>35</v>
      </c>
      <c r="D797" t="s">
        <v>111</v>
      </c>
      <c r="E797" t="s">
        <v>112</v>
      </c>
      <c r="F797">
        <v>6000</v>
      </c>
      <c r="G797">
        <v>57</v>
      </c>
      <c r="H797" t="s">
        <v>24</v>
      </c>
      <c r="I797" t="s">
        <v>25</v>
      </c>
      <c r="J797">
        <v>3</v>
      </c>
      <c r="K797" t="s">
        <v>294</v>
      </c>
      <c r="L797" t="s">
        <v>1717</v>
      </c>
      <c r="M797" t="s">
        <v>1718</v>
      </c>
      <c r="N797" s="2">
        <v>46453</v>
      </c>
      <c r="O797" s="2">
        <v>46510</v>
      </c>
      <c r="P797" t="s">
        <v>29</v>
      </c>
      <c r="Q797" t="s">
        <v>52</v>
      </c>
      <c r="R797" t="s">
        <v>45</v>
      </c>
      <c r="S797" t="s">
        <v>84</v>
      </c>
      <c r="T797" t="s">
        <v>33</v>
      </c>
      <c r="U797" t="s">
        <v>78</v>
      </c>
      <c r="V797" t="str">
        <f>IF(B797&lt;=18,"Children",IF(B797&lt;=35,"Young adult",IF(B797&lt;=60,"Adult", "Senior Citizen")))</f>
        <v>Adult</v>
      </c>
      <c r="W797" t="str">
        <f t="shared" si="84"/>
        <v>Mar</v>
      </c>
      <c r="X797">
        <f t="shared" si="85"/>
        <v>3</v>
      </c>
      <c r="Y797" t="str">
        <f t="shared" si="86"/>
        <v>Q1</v>
      </c>
      <c r="Z797">
        <f t="shared" si="87"/>
        <v>2027</v>
      </c>
      <c r="AA797" t="str">
        <f t="shared" si="88"/>
        <v>Sunday</v>
      </c>
      <c r="AB797">
        <f t="shared" si="89"/>
        <v>-57</v>
      </c>
      <c r="AC797" t="str">
        <f>IF(OR(D797="Heart Disease",D797="Cancer",D797="Stroke"),"High",IF(OR(D797="Diabetes",D797="Asthma"),"Medium","Low"))</f>
        <v>Low</v>
      </c>
      <c r="AD797" t="str">
        <f t="shared" si="90"/>
        <v>No</v>
      </c>
      <c r="AE797" t="str">
        <f>IF(G797&lt;=2,"Short Stay", IF(G797&lt;=7,"Normal Stay", "Long Stay"))</f>
        <v>Long Stay</v>
      </c>
      <c r="AF797" t="str">
        <f>IF(F797&gt;60000,"Expensive",IF(F797&gt;30000,"Moderate","Affordable"))</f>
        <v>Affordable</v>
      </c>
      <c r="AG797" t="str">
        <f>IF(J797&gt;=4.5,"Excellent",IF(J797&gt;=3.5,"Good",IF(J797&gt;=2.5,"Average","Poor")))</f>
        <v>Average</v>
      </c>
      <c r="AH797" t="str">
        <f>IF(OR(TEXT(N797,"dddd")="Saturday",TEXT(N797,"dddd")="Sunday"),"Weekend","Weekday")</f>
        <v>Weekend</v>
      </c>
    </row>
    <row r="798" spans="1:34" x14ac:dyDescent="0.3">
      <c r="A798">
        <v>810</v>
      </c>
      <c r="B798">
        <v>60</v>
      </c>
      <c r="C798" t="s">
        <v>21</v>
      </c>
      <c r="D798" t="s">
        <v>116</v>
      </c>
      <c r="E798" t="s">
        <v>117</v>
      </c>
      <c r="F798">
        <v>4000</v>
      </c>
      <c r="G798">
        <v>58</v>
      </c>
      <c r="H798" t="s">
        <v>24</v>
      </c>
      <c r="I798" t="s">
        <v>39</v>
      </c>
      <c r="J798">
        <v>4</v>
      </c>
      <c r="K798" t="s">
        <v>107</v>
      </c>
      <c r="L798" t="s">
        <v>1719</v>
      </c>
      <c r="M798" t="s">
        <v>1720</v>
      </c>
      <c r="N798" s="2">
        <v>46454</v>
      </c>
      <c r="O798" s="2">
        <v>46512</v>
      </c>
      <c r="P798" t="s">
        <v>29</v>
      </c>
      <c r="Q798" t="s">
        <v>139</v>
      </c>
      <c r="R798" t="s">
        <v>45</v>
      </c>
      <c r="S798" t="s">
        <v>72</v>
      </c>
      <c r="T798" t="s">
        <v>33</v>
      </c>
      <c r="U798" t="s">
        <v>34</v>
      </c>
      <c r="V798" t="str">
        <f>IF(B798&lt;=18,"Children",IF(B798&lt;=35,"Young adult",IF(B798&lt;=60,"Adult", "Senior Citizen")))</f>
        <v>Adult</v>
      </c>
      <c r="W798" t="str">
        <f t="shared" si="84"/>
        <v>Mar</v>
      </c>
      <c r="X798">
        <f t="shared" si="85"/>
        <v>3</v>
      </c>
      <c r="Y798" t="str">
        <f t="shared" si="86"/>
        <v>Q1</v>
      </c>
      <c r="Z798">
        <f t="shared" si="87"/>
        <v>2027</v>
      </c>
      <c r="AA798" t="str">
        <f t="shared" si="88"/>
        <v>Monday</v>
      </c>
      <c r="AB798">
        <f t="shared" si="89"/>
        <v>-58</v>
      </c>
      <c r="AC798" t="str">
        <f>IF(OR(D798="Heart Disease",D798="Cancer",D798="Stroke"),"High",IF(OR(D798="Diabetes",D798="Asthma"),"Medium","Low"))</f>
        <v>Low</v>
      </c>
      <c r="AD798" t="str">
        <f t="shared" si="90"/>
        <v>No</v>
      </c>
      <c r="AE798" t="str">
        <f>IF(G798&lt;=2,"Short Stay", IF(G798&lt;=7,"Normal Stay", "Long Stay"))</f>
        <v>Long Stay</v>
      </c>
      <c r="AF798" t="str">
        <f>IF(F798&gt;60000,"Expensive",IF(F798&gt;30000,"Moderate","Affordable"))</f>
        <v>Affordable</v>
      </c>
      <c r="AG798" t="str">
        <f>IF(J798&gt;=4.5,"Excellent",IF(J798&gt;=3.5,"Good",IF(J798&gt;=2.5,"Average","Poor")))</f>
        <v>Good</v>
      </c>
      <c r="AH798" t="str">
        <f>IF(OR(TEXT(N798,"dddd")="Saturday",TEXT(N798,"dddd")="Sunday"),"Weekend","Weekday")</f>
        <v>Weekday</v>
      </c>
    </row>
    <row r="799" spans="1:34" x14ac:dyDescent="0.3">
      <c r="A799">
        <v>811</v>
      </c>
      <c r="B799">
        <v>48</v>
      </c>
      <c r="C799" t="s">
        <v>21</v>
      </c>
      <c r="D799" t="s">
        <v>22</v>
      </c>
      <c r="E799" t="s">
        <v>23</v>
      </c>
      <c r="F799">
        <v>15000</v>
      </c>
      <c r="G799">
        <v>59</v>
      </c>
      <c r="H799" t="s">
        <v>38</v>
      </c>
      <c r="I799" t="s">
        <v>25</v>
      </c>
      <c r="J799">
        <v>4</v>
      </c>
      <c r="K799" t="s">
        <v>218</v>
      </c>
      <c r="L799" t="s">
        <v>1721</v>
      </c>
      <c r="M799" t="s">
        <v>1722</v>
      </c>
      <c r="N799" s="2">
        <v>46455</v>
      </c>
      <c r="O799" s="2">
        <v>46514</v>
      </c>
      <c r="P799" t="s">
        <v>29</v>
      </c>
      <c r="Q799" t="s">
        <v>139</v>
      </c>
      <c r="R799" t="s">
        <v>31</v>
      </c>
      <c r="S799" t="s">
        <v>110</v>
      </c>
      <c r="T799" t="s">
        <v>33</v>
      </c>
      <c r="U799" t="s">
        <v>104</v>
      </c>
      <c r="V799" t="str">
        <f>IF(B799&lt;=18,"Children",IF(B799&lt;=35,"Young adult",IF(B799&lt;=60,"Adult", "Senior Citizen")))</f>
        <v>Adult</v>
      </c>
      <c r="W799" t="str">
        <f t="shared" si="84"/>
        <v>Mar</v>
      </c>
      <c r="X799">
        <f t="shared" si="85"/>
        <v>3</v>
      </c>
      <c r="Y799" t="str">
        <f t="shared" si="86"/>
        <v>Q1</v>
      </c>
      <c r="Z799">
        <f t="shared" si="87"/>
        <v>2027</v>
      </c>
      <c r="AA799" t="str">
        <f t="shared" si="88"/>
        <v>Tuesday</v>
      </c>
      <c r="AB799">
        <f t="shared" si="89"/>
        <v>-59</v>
      </c>
      <c r="AC799" t="str">
        <f>IF(OR(D799="Heart Disease",D799="Cancer",D799="Stroke"),"High",IF(OR(D799="Diabetes",D799="Asthma"),"Medium","Low"))</f>
        <v>High</v>
      </c>
      <c r="AD799" t="str">
        <f t="shared" si="90"/>
        <v>Yes</v>
      </c>
      <c r="AE799" t="str">
        <f>IF(G799&lt;=2,"Short Stay", IF(G799&lt;=7,"Normal Stay", "Long Stay"))</f>
        <v>Long Stay</v>
      </c>
      <c r="AF799" t="str">
        <f>IF(F799&gt;60000,"Expensive",IF(F799&gt;30000,"Moderate","Affordable"))</f>
        <v>Affordable</v>
      </c>
      <c r="AG799" t="str">
        <f>IF(J799&gt;=4.5,"Excellent",IF(J799&gt;=3.5,"Good",IF(J799&gt;=2.5,"Average","Poor")))</f>
        <v>Good</v>
      </c>
      <c r="AH799" t="str">
        <f>IF(OR(TEXT(N799,"dddd")="Saturday",TEXT(N799,"dddd")="Sunday"),"Weekend","Weekday")</f>
        <v>Weekday</v>
      </c>
    </row>
    <row r="800" spans="1:34" x14ac:dyDescent="0.3">
      <c r="A800">
        <v>812</v>
      </c>
      <c r="B800">
        <v>65</v>
      </c>
      <c r="C800" t="s">
        <v>35</v>
      </c>
      <c r="D800" t="s">
        <v>36</v>
      </c>
      <c r="E800" t="s">
        <v>37</v>
      </c>
      <c r="F800">
        <v>2000</v>
      </c>
      <c r="G800">
        <v>57</v>
      </c>
      <c r="H800" t="s">
        <v>24</v>
      </c>
      <c r="I800" t="s">
        <v>39</v>
      </c>
      <c r="J800">
        <v>3</v>
      </c>
      <c r="K800" t="s">
        <v>56</v>
      </c>
      <c r="L800" t="s">
        <v>1723</v>
      </c>
      <c r="M800" t="s">
        <v>1724</v>
      </c>
      <c r="N800" s="2">
        <v>46456</v>
      </c>
      <c r="O800" s="2">
        <v>46513</v>
      </c>
      <c r="P800" t="s">
        <v>29</v>
      </c>
      <c r="Q800" t="s">
        <v>71</v>
      </c>
      <c r="R800" t="s">
        <v>45</v>
      </c>
      <c r="S800" t="s">
        <v>84</v>
      </c>
      <c r="T800" t="s">
        <v>33</v>
      </c>
      <c r="U800" t="s">
        <v>104</v>
      </c>
      <c r="V800" t="str">
        <f>IF(B800&lt;=18,"Children",IF(B800&lt;=35,"Young adult",IF(B800&lt;=60,"Adult", "Senior Citizen")))</f>
        <v>Senior Citizen</v>
      </c>
      <c r="W800" t="str">
        <f t="shared" si="84"/>
        <v>Mar</v>
      </c>
      <c r="X800">
        <f t="shared" si="85"/>
        <v>3</v>
      </c>
      <c r="Y800" t="str">
        <f t="shared" si="86"/>
        <v>Q1</v>
      </c>
      <c r="Z800">
        <f t="shared" si="87"/>
        <v>2027</v>
      </c>
      <c r="AA800" t="str">
        <f t="shared" si="88"/>
        <v>Wednesday</v>
      </c>
      <c r="AB800">
        <f t="shared" si="89"/>
        <v>-57</v>
      </c>
      <c r="AC800" t="str">
        <f>IF(OR(D800="Heart Disease",D800="Cancer",D800="Stroke"),"High",IF(OR(D800="Diabetes",D800="Asthma"),"Medium","Low"))</f>
        <v>Medium</v>
      </c>
      <c r="AD800" t="str">
        <f t="shared" si="90"/>
        <v>No</v>
      </c>
      <c r="AE800" t="str">
        <f>IF(G800&lt;=2,"Short Stay", IF(G800&lt;=7,"Normal Stay", "Long Stay"))</f>
        <v>Long Stay</v>
      </c>
      <c r="AF800" t="str">
        <f>IF(F800&gt;60000,"Expensive",IF(F800&gt;30000,"Moderate","Affordable"))</f>
        <v>Affordable</v>
      </c>
      <c r="AG800" t="str">
        <f>IF(J800&gt;=4.5,"Excellent",IF(J800&gt;=3.5,"Good",IF(J800&gt;=2.5,"Average","Poor")))</f>
        <v>Average</v>
      </c>
      <c r="AH800" t="str">
        <f>IF(OR(TEXT(N800,"dddd")="Saturday",TEXT(N800,"dddd")="Sunday"),"Weekend","Weekday")</f>
        <v>Weekday</v>
      </c>
    </row>
    <row r="801" spans="1:34" x14ac:dyDescent="0.3">
      <c r="A801">
        <v>813</v>
      </c>
      <c r="B801">
        <v>30</v>
      </c>
      <c r="C801" t="s">
        <v>21</v>
      </c>
      <c r="D801" t="s">
        <v>47</v>
      </c>
      <c r="E801" t="s">
        <v>48</v>
      </c>
      <c r="F801">
        <v>500</v>
      </c>
      <c r="G801">
        <v>55</v>
      </c>
      <c r="H801" t="s">
        <v>24</v>
      </c>
      <c r="I801" t="s">
        <v>25</v>
      </c>
      <c r="J801">
        <v>5</v>
      </c>
      <c r="K801" t="s">
        <v>210</v>
      </c>
      <c r="L801" t="s">
        <v>1725</v>
      </c>
      <c r="M801" t="s">
        <v>1726</v>
      </c>
      <c r="N801" s="2">
        <v>46457</v>
      </c>
      <c r="O801" s="2">
        <v>46512</v>
      </c>
      <c r="P801" t="s">
        <v>43</v>
      </c>
      <c r="Q801" t="s">
        <v>71</v>
      </c>
      <c r="R801" t="s">
        <v>45</v>
      </c>
      <c r="S801" t="s">
        <v>77</v>
      </c>
      <c r="T801" t="s">
        <v>33</v>
      </c>
      <c r="U801" t="s">
        <v>34</v>
      </c>
      <c r="V801" t="str">
        <f>IF(B801&lt;=18,"Children",IF(B801&lt;=35,"Young adult",IF(B801&lt;=60,"Adult", "Senior Citizen")))</f>
        <v>Young adult</v>
      </c>
      <c r="W801" t="str">
        <f t="shared" si="84"/>
        <v>Mar</v>
      </c>
      <c r="X801">
        <f t="shared" si="85"/>
        <v>3</v>
      </c>
      <c r="Y801" t="str">
        <f t="shared" si="86"/>
        <v>Q1</v>
      </c>
      <c r="Z801">
        <f t="shared" si="87"/>
        <v>2027</v>
      </c>
      <c r="AA801" t="str">
        <f t="shared" si="88"/>
        <v>Thursday</v>
      </c>
      <c r="AB801">
        <f t="shared" si="89"/>
        <v>-55</v>
      </c>
      <c r="AC801" t="str">
        <f>IF(OR(D801="Heart Disease",D801="Cancer",D801="Stroke"),"High",IF(OR(D801="Diabetes",D801="Asthma"),"Medium","Low"))</f>
        <v>Low</v>
      </c>
      <c r="AD801" t="str">
        <f t="shared" si="90"/>
        <v>No</v>
      </c>
      <c r="AE801" t="str">
        <f>IF(G801&lt;=2,"Short Stay", IF(G801&lt;=7,"Normal Stay", "Long Stay"))</f>
        <v>Long Stay</v>
      </c>
      <c r="AF801" t="str">
        <f>IF(F801&gt;60000,"Expensive",IF(F801&gt;30000,"Moderate","Affordable"))</f>
        <v>Affordable</v>
      </c>
      <c r="AG801" t="str">
        <f>IF(J801&gt;=4.5,"Excellent",IF(J801&gt;=3.5,"Good",IF(J801&gt;=2.5,"Average","Poor")))</f>
        <v>Excellent</v>
      </c>
      <c r="AH801" t="str">
        <f>IF(OR(TEXT(N801,"dddd")="Saturday",TEXT(N801,"dddd")="Sunday"),"Weekend","Weekday")</f>
        <v>Weekday</v>
      </c>
    </row>
    <row r="802" spans="1:34" x14ac:dyDescent="0.3">
      <c r="A802">
        <v>814</v>
      </c>
      <c r="B802">
        <v>70</v>
      </c>
      <c r="C802" t="s">
        <v>35</v>
      </c>
      <c r="D802" t="s">
        <v>54</v>
      </c>
      <c r="E802" t="s">
        <v>55</v>
      </c>
      <c r="F802">
        <v>10000</v>
      </c>
      <c r="G802">
        <v>62</v>
      </c>
      <c r="H802" t="s">
        <v>38</v>
      </c>
      <c r="I802" t="s">
        <v>39</v>
      </c>
      <c r="J802">
        <v>2</v>
      </c>
      <c r="K802" t="s">
        <v>210</v>
      </c>
      <c r="L802" t="s">
        <v>1727</v>
      </c>
      <c r="M802" t="s">
        <v>1728</v>
      </c>
      <c r="N802" s="2">
        <v>46458</v>
      </c>
      <c r="O802" s="2">
        <v>46520</v>
      </c>
      <c r="P802" t="s">
        <v>43</v>
      </c>
      <c r="Q802" t="s">
        <v>71</v>
      </c>
      <c r="R802" t="s">
        <v>59</v>
      </c>
      <c r="S802" t="s">
        <v>53</v>
      </c>
      <c r="T802" t="s">
        <v>33</v>
      </c>
      <c r="U802" t="s">
        <v>104</v>
      </c>
      <c r="V802" t="str">
        <f>IF(B802&lt;=18,"Children",IF(B802&lt;=35,"Young adult",IF(B802&lt;=60,"Adult", "Senior Citizen")))</f>
        <v>Senior Citizen</v>
      </c>
      <c r="W802" t="str">
        <f t="shared" si="84"/>
        <v>Mar</v>
      </c>
      <c r="X802">
        <f t="shared" si="85"/>
        <v>3</v>
      </c>
      <c r="Y802" t="str">
        <f t="shared" si="86"/>
        <v>Q1</v>
      </c>
      <c r="Z802">
        <f t="shared" si="87"/>
        <v>2027</v>
      </c>
      <c r="AA802" t="str">
        <f t="shared" si="88"/>
        <v>Friday</v>
      </c>
      <c r="AB802">
        <f t="shared" si="89"/>
        <v>-62</v>
      </c>
      <c r="AC802" t="str">
        <f>IF(OR(D802="Heart Disease",D802="Cancer",D802="Stroke"),"High",IF(OR(D802="Diabetes",D802="Asthma"),"Medium","Low"))</f>
        <v>High</v>
      </c>
      <c r="AD802" t="str">
        <f t="shared" si="90"/>
        <v>Yes</v>
      </c>
      <c r="AE802" t="str">
        <f>IF(G802&lt;=2,"Short Stay", IF(G802&lt;=7,"Normal Stay", "Long Stay"))</f>
        <v>Long Stay</v>
      </c>
      <c r="AF802" t="str">
        <f>IF(F802&gt;60000,"Expensive",IF(F802&gt;30000,"Moderate","Affordable"))</f>
        <v>Affordable</v>
      </c>
      <c r="AG802" t="str">
        <f>IF(J802&gt;=4.5,"Excellent",IF(J802&gt;=3.5,"Good",IF(J802&gt;=2.5,"Average","Poor")))</f>
        <v>Poor</v>
      </c>
      <c r="AH802" t="str">
        <f>IF(OR(TEXT(N802,"dddd")="Saturday",TEXT(N802,"dddd")="Sunday"),"Weekend","Weekday")</f>
        <v>Weekday</v>
      </c>
    </row>
    <row r="803" spans="1:34" x14ac:dyDescent="0.3">
      <c r="A803">
        <v>815</v>
      </c>
      <c r="B803">
        <v>55</v>
      </c>
      <c r="C803" t="s">
        <v>21</v>
      </c>
      <c r="D803" t="s">
        <v>60</v>
      </c>
      <c r="E803" t="s">
        <v>61</v>
      </c>
      <c r="F803">
        <v>25000</v>
      </c>
      <c r="G803">
        <v>64</v>
      </c>
      <c r="H803" t="s">
        <v>24</v>
      </c>
      <c r="I803" t="s">
        <v>25</v>
      </c>
      <c r="J803">
        <v>4</v>
      </c>
      <c r="K803" t="s">
        <v>62</v>
      </c>
      <c r="L803" t="s">
        <v>1729</v>
      </c>
      <c r="M803" t="s">
        <v>1730</v>
      </c>
      <c r="N803" s="2">
        <v>46459</v>
      </c>
      <c r="O803" s="2">
        <v>46523</v>
      </c>
      <c r="P803" t="s">
        <v>29</v>
      </c>
      <c r="Q803" t="s">
        <v>30</v>
      </c>
      <c r="R803" t="s">
        <v>65</v>
      </c>
      <c r="S803" t="s">
        <v>84</v>
      </c>
      <c r="T803" t="s">
        <v>33</v>
      </c>
      <c r="U803" t="s">
        <v>34</v>
      </c>
      <c r="V803" t="str">
        <f>IF(B803&lt;=18,"Children",IF(B803&lt;=35,"Young adult",IF(B803&lt;=60,"Adult", "Senior Citizen")))</f>
        <v>Adult</v>
      </c>
      <c r="W803" t="str">
        <f t="shared" si="84"/>
        <v>Mar</v>
      </c>
      <c r="X803">
        <f t="shared" si="85"/>
        <v>3</v>
      </c>
      <c r="Y803" t="str">
        <f t="shared" si="86"/>
        <v>Q1</v>
      </c>
      <c r="Z803">
        <f t="shared" si="87"/>
        <v>2027</v>
      </c>
      <c r="AA803" t="str">
        <f t="shared" si="88"/>
        <v>Saturday</v>
      </c>
      <c r="AB803">
        <f t="shared" si="89"/>
        <v>-64</v>
      </c>
      <c r="AC803" t="str">
        <f>IF(OR(D803="Heart Disease",D803="Cancer",D803="Stroke"),"High",IF(OR(D803="Diabetes",D803="Asthma"),"Medium","Low"))</f>
        <v>High</v>
      </c>
      <c r="AD803" t="str">
        <f t="shared" si="90"/>
        <v>Yes</v>
      </c>
      <c r="AE803" t="str">
        <f>IF(G803&lt;=2,"Short Stay", IF(G803&lt;=7,"Normal Stay", "Long Stay"))</f>
        <v>Long Stay</v>
      </c>
      <c r="AF803" t="str">
        <f>IF(F803&gt;60000,"Expensive",IF(F803&gt;30000,"Moderate","Affordable"))</f>
        <v>Affordable</v>
      </c>
      <c r="AG803" t="str">
        <f>IF(J803&gt;=4.5,"Excellent",IF(J803&gt;=3.5,"Good",IF(J803&gt;=2.5,"Average","Poor")))</f>
        <v>Good</v>
      </c>
      <c r="AH803" t="str">
        <f>IF(OR(TEXT(N803,"dddd")="Saturday",TEXT(N803,"dddd")="Sunday"),"Weekend","Weekday")</f>
        <v>Weekend</v>
      </c>
    </row>
    <row r="804" spans="1:34" x14ac:dyDescent="0.3">
      <c r="A804">
        <v>816</v>
      </c>
      <c r="B804">
        <v>68</v>
      </c>
      <c r="C804" t="s">
        <v>35</v>
      </c>
      <c r="D804" t="s">
        <v>66</v>
      </c>
      <c r="E804" t="s">
        <v>67</v>
      </c>
      <c r="F804">
        <v>1000</v>
      </c>
      <c r="G804">
        <v>58</v>
      </c>
      <c r="H804" t="s">
        <v>24</v>
      </c>
      <c r="I804" t="s">
        <v>39</v>
      </c>
      <c r="J804">
        <v>4</v>
      </c>
      <c r="K804" t="s">
        <v>203</v>
      </c>
      <c r="L804" t="s">
        <v>1731</v>
      </c>
      <c r="M804" t="s">
        <v>1732</v>
      </c>
      <c r="N804" s="2">
        <v>46460</v>
      </c>
      <c r="O804" s="2">
        <v>46518</v>
      </c>
      <c r="P804" t="s">
        <v>29</v>
      </c>
      <c r="Q804" t="s">
        <v>139</v>
      </c>
      <c r="R804" t="s">
        <v>45</v>
      </c>
      <c r="S804" t="s">
        <v>84</v>
      </c>
      <c r="T804" t="s">
        <v>33</v>
      </c>
      <c r="U804" t="s">
        <v>104</v>
      </c>
      <c r="V804" t="str">
        <f>IF(B804&lt;=18,"Children",IF(B804&lt;=35,"Young adult",IF(B804&lt;=60,"Adult", "Senior Citizen")))</f>
        <v>Senior Citizen</v>
      </c>
      <c r="W804" t="str">
        <f t="shared" si="84"/>
        <v>Mar</v>
      </c>
      <c r="X804">
        <f t="shared" si="85"/>
        <v>3</v>
      </c>
      <c r="Y804" t="str">
        <f t="shared" si="86"/>
        <v>Q1</v>
      </c>
      <c r="Z804">
        <f t="shared" si="87"/>
        <v>2027</v>
      </c>
      <c r="AA804" t="str">
        <f t="shared" si="88"/>
        <v>Sunday</v>
      </c>
      <c r="AB804">
        <f t="shared" si="89"/>
        <v>-58</v>
      </c>
      <c r="AC804" t="str">
        <f>IF(OR(D804="Heart Disease",D804="Cancer",D804="Stroke"),"High",IF(OR(D804="Diabetes",D804="Asthma"),"Medium","Low"))</f>
        <v>Low</v>
      </c>
      <c r="AD804" t="str">
        <f t="shared" si="90"/>
        <v>No</v>
      </c>
      <c r="AE804" t="str">
        <f>IF(G804&lt;=2,"Short Stay", IF(G804&lt;=7,"Normal Stay", "Long Stay"))</f>
        <v>Long Stay</v>
      </c>
      <c r="AF804" t="str">
        <f>IF(F804&gt;60000,"Expensive",IF(F804&gt;30000,"Moderate","Affordable"))</f>
        <v>Affordable</v>
      </c>
      <c r="AG804" t="str">
        <f>IF(J804&gt;=4.5,"Excellent",IF(J804&gt;=3.5,"Good",IF(J804&gt;=2.5,"Average","Poor")))</f>
        <v>Good</v>
      </c>
      <c r="AH804" t="str">
        <f>IF(OR(TEXT(N804,"dddd")="Saturday",TEXT(N804,"dddd")="Sunday"),"Weekend","Weekday")</f>
        <v>Weekend</v>
      </c>
    </row>
    <row r="805" spans="1:34" x14ac:dyDescent="0.3">
      <c r="A805">
        <v>817</v>
      </c>
      <c r="B805">
        <v>45</v>
      </c>
      <c r="C805" t="s">
        <v>21</v>
      </c>
      <c r="D805" t="s">
        <v>73</v>
      </c>
      <c r="E805" t="s">
        <v>74</v>
      </c>
      <c r="F805">
        <v>8000</v>
      </c>
      <c r="G805">
        <v>60</v>
      </c>
      <c r="H805" t="s">
        <v>24</v>
      </c>
      <c r="I805" t="s">
        <v>25</v>
      </c>
      <c r="J805">
        <v>3</v>
      </c>
      <c r="K805" t="s">
        <v>250</v>
      </c>
      <c r="L805" t="s">
        <v>1733</v>
      </c>
      <c r="M805" t="s">
        <v>1734</v>
      </c>
      <c r="N805" s="2">
        <v>46461</v>
      </c>
      <c r="O805" s="2">
        <v>46521</v>
      </c>
      <c r="P805" t="s">
        <v>43</v>
      </c>
      <c r="Q805" t="s">
        <v>44</v>
      </c>
      <c r="R805" t="s">
        <v>45</v>
      </c>
      <c r="S805" t="s">
        <v>77</v>
      </c>
      <c r="T805" t="s">
        <v>33</v>
      </c>
      <c r="U805" t="s">
        <v>46</v>
      </c>
      <c r="V805" t="str">
        <f>IF(B805&lt;=18,"Children",IF(B805&lt;=35,"Young adult",IF(B805&lt;=60,"Adult", "Senior Citizen")))</f>
        <v>Adult</v>
      </c>
      <c r="W805" t="str">
        <f t="shared" si="84"/>
        <v>Mar</v>
      </c>
      <c r="X805">
        <f t="shared" si="85"/>
        <v>3</v>
      </c>
      <c r="Y805" t="str">
        <f t="shared" si="86"/>
        <v>Q1</v>
      </c>
      <c r="Z805">
        <f t="shared" si="87"/>
        <v>2027</v>
      </c>
      <c r="AA805" t="str">
        <f t="shared" si="88"/>
        <v>Monday</v>
      </c>
      <c r="AB805">
        <f t="shared" si="89"/>
        <v>-60</v>
      </c>
      <c r="AC805" t="str">
        <f>IF(OR(D805="Heart Disease",D805="Cancer",D805="Stroke"),"High",IF(OR(D805="Diabetes",D805="Asthma"),"Medium","Low"))</f>
        <v>Low</v>
      </c>
      <c r="AD805" t="str">
        <f t="shared" si="90"/>
        <v>No</v>
      </c>
      <c r="AE805" t="str">
        <f>IF(G805&lt;=2,"Short Stay", IF(G805&lt;=7,"Normal Stay", "Long Stay"))</f>
        <v>Long Stay</v>
      </c>
      <c r="AF805" t="str">
        <f>IF(F805&gt;60000,"Expensive",IF(F805&gt;30000,"Moderate","Affordable"))</f>
        <v>Affordable</v>
      </c>
      <c r="AG805" t="str">
        <f>IF(J805&gt;=4.5,"Excellent",IF(J805&gt;=3.5,"Good",IF(J805&gt;=2.5,"Average","Poor")))</f>
        <v>Average</v>
      </c>
      <c r="AH805" t="str">
        <f>IF(OR(TEXT(N805,"dddd")="Saturday",TEXT(N805,"dddd")="Sunday"),"Weekend","Weekday")</f>
        <v>Weekday</v>
      </c>
    </row>
    <row r="806" spans="1:34" x14ac:dyDescent="0.3">
      <c r="A806">
        <v>818</v>
      </c>
      <c r="B806">
        <v>40</v>
      </c>
      <c r="C806" t="s">
        <v>35</v>
      </c>
      <c r="D806" t="s">
        <v>79</v>
      </c>
      <c r="E806" t="s">
        <v>80</v>
      </c>
      <c r="F806">
        <v>3000</v>
      </c>
      <c r="G806">
        <v>60</v>
      </c>
      <c r="H806" t="s">
        <v>24</v>
      </c>
      <c r="I806" t="s">
        <v>25</v>
      </c>
      <c r="J806">
        <v>4</v>
      </c>
      <c r="K806" t="s">
        <v>482</v>
      </c>
      <c r="L806" t="s">
        <v>1735</v>
      </c>
      <c r="M806" t="s">
        <v>1736</v>
      </c>
      <c r="N806" s="2">
        <v>46462</v>
      </c>
      <c r="O806" s="2">
        <v>46522</v>
      </c>
      <c r="P806" t="s">
        <v>43</v>
      </c>
      <c r="Q806" t="s">
        <v>139</v>
      </c>
      <c r="R806" t="s">
        <v>45</v>
      </c>
      <c r="S806" t="s">
        <v>72</v>
      </c>
      <c r="T806" t="s">
        <v>33</v>
      </c>
      <c r="U806" t="s">
        <v>34</v>
      </c>
      <c r="V806" t="str">
        <f>IF(B806&lt;=18,"Children",IF(B806&lt;=35,"Young adult",IF(B806&lt;=60,"Adult", "Senior Citizen")))</f>
        <v>Adult</v>
      </c>
      <c r="W806" t="str">
        <f t="shared" si="84"/>
        <v>Mar</v>
      </c>
      <c r="X806">
        <f t="shared" si="85"/>
        <v>3</v>
      </c>
      <c r="Y806" t="str">
        <f t="shared" si="86"/>
        <v>Q1</v>
      </c>
      <c r="Z806">
        <f t="shared" si="87"/>
        <v>2027</v>
      </c>
      <c r="AA806" t="str">
        <f t="shared" si="88"/>
        <v>Tuesday</v>
      </c>
      <c r="AB806">
        <f t="shared" si="89"/>
        <v>-60</v>
      </c>
      <c r="AC806" t="str">
        <f>IF(OR(D806="Heart Disease",D806="Cancer",D806="Stroke"),"High",IF(OR(D806="Diabetes",D806="Asthma"),"Medium","Low"))</f>
        <v>Low</v>
      </c>
      <c r="AD806" t="str">
        <f t="shared" si="90"/>
        <v>No</v>
      </c>
      <c r="AE806" t="str">
        <f>IF(G806&lt;=2,"Short Stay", IF(G806&lt;=7,"Normal Stay", "Long Stay"))</f>
        <v>Long Stay</v>
      </c>
      <c r="AF806" t="str">
        <f>IF(F806&gt;60000,"Expensive",IF(F806&gt;30000,"Moderate","Affordable"))</f>
        <v>Affordable</v>
      </c>
      <c r="AG806" t="str">
        <f>IF(J806&gt;=4.5,"Excellent",IF(J806&gt;=3.5,"Good",IF(J806&gt;=2.5,"Average","Poor")))</f>
        <v>Good</v>
      </c>
      <c r="AH806" t="str">
        <f>IF(OR(TEXT(N806,"dddd")="Saturday",TEXT(N806,"dddd")="Sunday"),"Weekend","Weekday")</f>
        <v>Weekday</v>
      </c>
    </row>
    <row r="807" spans="1:34" x14ac:dyDescent="0.3">
      <c r="A807">
        <v>819</v>
      </c>
      <c r="B807">
        <v>78</v>
      </c>
      <c r="C807" t="s">
        <v>21</v>
      </c>
      <c r="D807" t="s">
        <v>85</v>
      </c>
      <c r="E807" t="s">
        <v>86</v>
      </c>
      <c r="F807">
        <v>18000</v>
      </c>
      <c r="G807">
        <v>62</v>
      </c>
      <c r="H807" t="s">
        <v>38</v>
      </c>
      <c r="I807" t="s">
        <v>39</v>
      </c>
      <c r="J807">
        <v>2</v>
      </c>
      <c r="K807" t="s">
        <v>324</v>
      </c>
      <c r="L807" t="s">
        <v>1737</v>
      </c>
      <c r="M807" t="s">
        <v>1738</v>
      </c>
      <c r="N807" s="2">
        <v>46463</v>
      </c>
      <c r="O807" s="2">
        <v>46525</v>
      </c>
      <c r="P807" t="s">
        <v>29</v>
      </c>
      <c r="Q807" t="s">
        <v>139</v>
      </c>
      <c r="R807" t="s">
        <v>45</v>
      </c>
      <c r="S807" t="s">
        <v>77</v>
      </c>
      <c r="T807" t="s">
        <v>33</v>
      </c>
      <c r="U807" t="s">
        <v>104</v>
      </c>
      <c r="V807" t="str">
        <f>IF(B807&lt;=18,"Children",IF(B807&lt;=35,"Young adult",IF(B807&lt;=60,"Adult", "Senior Citizen")))</f>
        <v>Senior Citizen</v>
      </c>
      <c r="W807" t="str">
        <f t="shared" si="84"/>
        <v>Mar</v>
      </c>
      <c r="X807">
        <f t="shared" si="85"/>
        <v>3</v>
      </c>
      <c r="Y807" t="str">
        <f t="shared" si="86"/>
        <v>Q1</v>
      </c>
      <c r="Z807">
        <f t="shared" si="87"/>
        <v>2027</v>
      </c>
      <c r="AA807" t="str">
        <f t="shared" si="88"/>
        <v>Wednesday</v>
      </c>
      <c r="AB807">
        <f t="shared" si="89"/>
        <v>-62</v>
      </c>
      <c r="AC807" t="str">
        <f>IF(OR(D807="Heart Disease",D807="Cancer",D807="Stroke"),"High",IF(OR(D807="Diabetes",D807="Asthma"),"Medium","Low"))</f>
        <v>Low</v>
      </c>
      <c r="AD807" t="str">
        <f t="shared" si="90"/>
        <v>No</v>
      </c>
      <c r="AE807" t="str">
        <f>IF(G807&lt;=2,"Short Stay", IF(G807&lt;=7,"Normal Stay", "Long Stay"))</f>
        <v>Long Stay</v>
      </c>
      <c r="AF807" t="str">
        <f>IF(F807&gt;60000,"Expensive",IF(F807&gt;30000,"Moderate","Affordable"))</f>
        <v>Affordable</v>
      </c>
      <c r="AG807" t="str">
        <f>IF(J807&gt;=4.5,"Excellent",IF(J807&gt;=3.5,"Good",IF(J807&gt;=2.5,"Average","Poor")))</f>
        <v>Poor</v>
      </c>
      <c r="AH807" t="str">
        <f>IF(OR(TEXT(N807,"dddd")="Saturday",TEXT(N807,"dddd")="Sunday"),"Weekend","Weekday")</f>
        <v>Weekday</v>
      </c>
    </row>
    <row r="808" spans="1:34" x14ac:dyDescent="0.3">
      <c r="A808">
        <v>820</v>
      </c>
      <c r="B808">
        <v>25</v>
      </c>
      <c r="C808" t="s">
        <v>35</v>
      </c>
      <c r="D808" t="s">
        <v>89</v>
      </c>
      <c r="E808" t="s">
        <v>90</v>
      </c>
      <c r="F808">
        <v>100</v>
      </c>
      <c r="G808">
        <v>55</v>
      </c>
      <c r="H808" t="s">
        <v>24</v>
      </c>
      <c r="I808" t="s">
        <v>25</v>
      </c>
      <c r="J808">
        <v>5</v>
      </c>
      <c r="K808" t="s">
        <v>245</v>
      </c>
      <c r="L808" t="s">
        <v>1739</v>
      </c>
      <c r="M808" t="s">
        <v>1740</v>
      </c>
      <c r="N808" s="2">
        <v>46464</v>
      </c>
      <c r="O808" s="2">
        <v>46519</v>
      </c>
      <c r="P808" t="s">
        <v>29</v>
      </c>
      <c r="Q808" t="s">
        <v>52</v>
      </c>
      <c r="R808" t="s">
        <v>45</v>
      </c>
      <c r="S808" t="s">
        <v>72</v>
      </c>
      <c r="T808" t="s">
        <v>33</v>
      </c>
      <c r="U808" t="s">
        <v>104</v>
      </c>
      <c r="V808" t="str">
        <f>IF(B808&lt;=18,"Children",IF(B808&lt;=35,"Young adult",IF(B808&lt;=60,"Adult", "Senior Citizen")))</f>
        <v>Young adult</v>
      </c>
      <c r="W808" t="str">
        <f t="shared" si="84"/>
        <v>Mar</v>
      </c>
      <c r="X808">
        <f t="shared" si="85"/>
        <v>3</v>
      </c>
      <c r="Y808" t="str">
        <f t="shared" si="86"/>
        <v>Q1</v>
      </c>
      <c r="Z808">
        <f t="shared" si="87"/>
        <v>2027</v>
      </c>
      <c r="AA808" t="str">
        <f t="shared" si="88"/>
        <v>Thursday</v>
      </c>
      <c r="AB808">
        <f t="shared" si="89"/>
        <v>-55</v>
      </c>
      <c r="AC808" t="str">
        <f>IF(OR(D808="Heart Disease",D808="Cancer",D808="Stroke"),"High",IF(OR(D808="Diabetes",D808="Asthma"),"Medium","Low"))</f>
        <v>Low</v>
      </c>
      <c r="AD808" t="str">
        <f t="shared" si="90"/>
        <v>No</v>
      </c>
      <c r="AE808" t="str">
        <f>IF(G808&lt;=2,"Short Stay", IF(G808&lt;=7,"Normal Stay", "Long Stay"))</f>
        <v>Long Stay</v>
      </c>
      <c r="AF808" t="str">
        <f>IF(F808&gt;60000,"Expensive",IF(F808&gt;30000,"Moderate","Affordable"))</f>
        <v>Affordable</v>
      </c>
      <c r="AG808" t="str">
        <f>IF(J808&gt;=4.5,"Excellent",IF(J808&gt;=3.5,"Good",IF(J808&gt;=2.5,"Average","Poor")))</f>
        <v>Excellent</v>
      </c>
      <c r="AH808" t="str">
        <f>IF(OR(TEXT(N808,"dddd")="Saturday",TEXT(N808,"dddd")="Sunday"),"Weekend","Weekday")</f>
        <v>Weekday</v>
      </c>
    </row>
    <row r="809" spans="1:34" x14ac:dyDescent="0.3">
      <c r="A809">
        <v>821</v>
      </c>
      <c r="B809">
        <v>52</v>
      </c>
      <c r="C809" t="s">
        <v>21</v>
      </c>
      <c r="D809" t="s">
        <v>94</v>
      </c>
      <c r="E809" t="s">
        <v>95</v>
      </c>
      <c r="F809">
        <v>800</v>
      </c>
      <c r="G809">
        <v>56</v>
      </c>
      <c r="H809" t="s">
        <v>24</v>
      </c>
      <c r="I809" t="s">
        <v>39</v>
      </c>
      <c r="J809">
        <v>4</v>
      </c>
      <c r="K809" t="s">
        <v>160</v>
      </c>
      <c r="L809" t="s">
        <v>1741</v>
      </c>
      <c r="M809" t="s">
        <v>1742</v>
      </c>
      <c r="N809" s="2">
        <v>46465</v>
      </c>
      <c r="O809" s="2">
        <v>46521</v>
      </c>
      <c r="P809" t="s">
        <v>43</v>
      </c>
      <c r="Q809" t="s">
        <v>44</v>
      </c>
      <c r="R809" t="s">
        <v>45</v>
      </c>
      <c r="S809" t="s">
        <v>84</v>
      </c>
      <c r="T809" t="s">
        <v>33</v>
      </c>
      <c r="U809" t="s">
        <v>46</v>
      </c>
      <c r="V809" t="str">
        <f>IF(B809&lt;=18,"Children",IF(B809&lt;=35,"Young adult",IF(B809&lt;=60,"Adult", "Senior Citizen")))</f>
        <v>Adult</v>
      </c>
      <c r="W809" t="str">
        <f t="shared" si="84"/>
        <v>Mar</v>
      </c>
      <c r="X809">
        <f t="shared" si="85"/>
        <v>3</v>
      </c>
      <c r="Y809" t="str">
        <f t="shared" si="86"/>
        <v>Q1</v>
      </c>
      <c r="Z809">
        <f t="shared" si="87"/>
        <v>2027</v>
      </c>
      <c r="AA809" t="str">
        <f t="shared" si="88"/>
        <v>Friday</v>
      </c>
      <c r="AB809">
        <f t="shared" si="89"/>
        <v>-56</v>
      </c>
      <c r="AC809" t="str">
        <f>IF(OR(D809="Heart Disease",D809="Cancer",D809="Stroke"),"High",IF(OR(D809="Diabetes",D809="Asthma"),"Medium","Low"))</f>
        <v>Low</v>
      </c>
      <c r="AD809" t="str">
        <f t="shared" si="90"/>
        <v>No</v>
      </c>
      <c r="AE809" t="str">
        <f>IF(G809&lt;=2,"Short Stay", IF(G809&lt;=7,"Normal Stay", "Long Stay"))</f>
        <v>Long Stay</v>
      </c>
      <c r="AF809" t="str">
        <f>IF(F809&gt;60000,"Expensive",IF(F809&gt;30000,"Moderate","Affordable"))</f>
        <v>Affordable</v>
      </c>
      <c r="AG809" t="str">
        <f>IF(J809&gt;=4.5,"Excellent",IF(J809&gt;=3.5,"Good",IF(J809&gt;=2.5,"Average","Poor")))</f>
        <v>Good</v>
      </c>
      <c r="AH809" t="str">
        <f>IF(OR(TEXT(N809,"dddd")="Saturday",TEXT(N809,"dddd")="Sunday"),"Weekend","Weekday")</f>
        <v>Weekday</v>
      </c>
    </row>
    <row r="810" spans="1:34" x14ac:dyDescent="0.3">
      <c r="A810">
        <v>822</v>
      </c>
      <c r="B810">
        <v>58</v>
      </c>
      <c r="C810" t="s">
        <v>35</v>
      </c>
      <c r="D810" t="s">
        <v>99</v>
      </c>
      <c r="E810" t="s">
        <v>100</v>
      </c>
      <c r="F810">
        <v>20000</v>
      </c>
      <c r="G810">
        <v>63</v>
      </c>
      <c r="H810" t="s">
        <v>24</v>
      </c>
      <c r="I810" t="s">
        <v>25</v>
      </c>
      <c r="J810">
        <v>3</v>
      </c>
      <c r="K810" t="s">
        <v>56</v>
      </c>
      <c r="L810" t="s">
        <v>1743</v>
      </c>
      <c r="M810" t="s">
        <v>1744</v>
      </c>
      <c r="N810" s="2">
        <v>46466</v>
      </c>
      <c r="O810" s="2">
        <v>46529</v>
      </c>
      <c r="P810" t="s">
        <v>29</v>
      </c>
      <c r="Q810" t="s">
        <v>30</v>
      </c>
      <c r="R810" t="s">
        <v>45</v>
      </c>
      <c r="S810" t="s">
        <v>77</v>
      </c>
      <c r="T810" t="s">
        <v>33</v>
      </c>
      <c r="U810" t="s">
        <v>34</v>
      </c>
      <c r="V810" t="str">
        <f>IF(B810&lt;=18,"Children",IF(B810&lt;=35,"Young adult",IF(B810&lt;=60,"Adult", "Senior Citizen")))</f>
        <v>Adult</v>
      </c>
      <c r="W810" t="str">
        <f t="shared" si="84"/>
        <v>Mar</v>
      </c>
      <c r="X810">
        <f t="shared" si="85"/>
        <v>3</v>
      </c>
      <c r="Y810" t="str">
        <f t="shared" si="86"/>
        <v>Q1</v>
      </c>
      <c r="Z810">
        <f t="shared" si="87"/>
        <v>2027</v>
      </c>
      <c r="AA810" t="str">
        <f t="shared" si="88"/>
        <v>Saturday</v>
      </c>
      <c r="AB810">
        <f t="shared" si="89"/>
        <v>-63</v>
      </c>
      <c r="AC810" t="str">
        <f>IF(OR(D810="Heart Disease",D810="Cancer",D810="Stroke"),"High",IF(OR(D810="Diabetes",D810="Asthma"),"Medium","Low"))</f>
        <v>Low</v>
      </c>
      <c r="AD810" t="str">
        <f t="shared" si="90"/>
        <v>No</v>
      </c>
      <c r="AE810" t="str">
        <f>IF(G810&lt;=2,"Short Stay", IF(G810&lt;=7,"Normal Stay", "Long Stay"))</f>
        <v>Long Stay</v>
      </c>
      <c r="AF810" t="str">
        <f>IF(F810&gt;60000,"Expensive",IF(F810&gt;30000,"Moderate","Affordable"))</f>
        <v>Affordable</v>
      </c>
      <c r="AG810" t="str">
        <f>IF(J810&gt;=4.5,"Excellent",IF(J810&gt;=3.5,"Good",IF(J810&gt;=2.5,"Average","Poor")))</f>
        <v>Average</v>
      </c>
      <c r="AH810" t="str">
        <f>IF(OR(TEXT(N810,"dddd")="Saturday",TEXT(N810,"dddd")="Sunday"),"Weekend","Weekday")</f>
        <v>Weekend</v>
      </c>
    </row>
    <row r="811" spans="1:34" x14ac:dyDescent="0.3">
      <c r="A811">
        <v>823</v>
      </c>
      <c r="B811">
        <v>32</v>
      </c>
      <c r="C811" t="s">
        <v>21</v>
      </c>
      <c r="D811" t="s">
        <v>105</v>
      </c>
      <c r="E811" t="s">
        <v>106</v>
      </c>
      <c r="F811">
        <v>12000</v>
      </c>
      <c r="G811">
        <v>57</v>
      </c>
      <c r="H811" t="s">
        <v>24</v>
      </c>
      <c r="I811" t="s">
        <v>25</v>
      </c>
      <c r="J811">
        <v>4</v>
      </c>
      <c r="K811" t="s">
        <v>40</v>
      </c>
      <c r="L811" t="s">
        <v>1745</v>
      </c>
      <c r="M811" t="s">
        <v>1746</v>
      </c>
      <c r="N811" s="2">
        <v>46467</v>
      </c>
      <c r="O811" s="2">
        <v>46524</v>
      </c>
      <c r="P811" t="s">
        <v>43</v>
      </c>
      <c r="Q811" t="s">
        <v>30</v>
      </c>
      <c r="R811" t="s">
        <v>45</v>
      </c>
      <c r="S811" t="s">
        <v>72</v>
      </c>
      <c r="T811" t="s">
        <v>33</v>
      </c>
      <c r="U811" t="s">
        <v>104</v>
      </c>
      <c r="V811" t="str">
        <f>IF(B811&lt;=18,"Children",IF(B811&lt;=35,"Young adult",IF(B811&lt;=60,"Adult", "Senior Citizen")))</f>
        <v>Young adult</v>
      </c>
      <c r="W811" t="str">
        <f t="shared" si="84"/>
        <v>Mar</v>
      </c>
      <c r="X811">
        <f t="shared" si="85"/>
        <v>3</v>
      </c>
      <c r="Y811" t="str">
        <f t="shared" si="86"/>
        <v>Q1</v>
      </c>
      <c r="Z811">
        <f t="shared" si="87"/>
        <v>2027</v>
      </c>
      <c r="AA811" t="str">
        <f t="shared" si="88"/>
        <v>Sunday</v>
      </c>
      <c r="AB811">
        <f t="shared" si="89"/>
        <v>-57</v>
      </c>
      <c r="AC811" t="str">
        <f>IF(OR(D811="Heart Disease",D811="Cancer",D811="Stroke"),"High",IF(OR(D811="Diabetes",D811="Asthma"),"Medium","Low"))</f>
        <v>Low</v>
      </c>
      <c r="AD811" t="str">
        <f t="shared" si="90"/>
        <v>No</v>
      </c>
      <c r="AE811" t="str">
        <f>IF(G811&lt;=2,"Short Stay", IF(G811&lt;=7,"Normal Stay", "Long Stay"))</f>
        <v>Long Stay</v>
      </c>
      <c r="AF811" t="str">
        <f>IF(F811&gt;60000,"Expensive",IF(F811&gt;30000,"Moderate","Affordable"))</f>
        <v>Affordable</v>
      </c>
      <c r="AG811" t="str">
        <f>IF(J811&gt;=4.5,"Excellent",IF(J811&gt;=3.5,"Good",IF(J811&gt;=2.5,"Average","Poor")))</f>
        <v>Good</v>
      </c>
      <c r="AH811" t="str">
        <f>IF(OR(TEXT(N811,"dddd")="Saturday",TEXT(N811,"dddd")="Sunday"),"Weekend","Weekday")</f>
        <v>Weekend</v>
      </c>
    </row>
    <row r="812" spans="1:34" x14ac:dyDescent="0.3">
      <c r="A812">
        <v>824</v>
      </c>
      <c r="B812">
        <v>55</v>
      </c>
      <c r="C812" t="s">
        <v>35</v>
      </c>
      <c r="D812" t="s">
        <v>111</v>
      </c>
      <c r="E812" t="s">
        <v>112</v>
      </c>
      <c r="F812">
        <v>6000</v>
      </c>
      <c r="G812">
        <v>58</v>
      </c>
      <c r="H812" t="s">
        <v>24</v>
      </c>
      <c r="I812" t="s">
        <v>25</v>
      </c>
      <c r="J812">
        <v>3</v>
      </c>
      <c r="K812" t="s">
        <v>125</v>
      </c>
      <c r="L812" t="s">
        <v>1747</v>
      </c>
      <c r="M812" t="s">
        <v>1748</v>
      </c>
      <c r="N812" s="2">
        <v>46468</v>
      </c>
      <c r="O812" s="2">
        <v>46526</v>
      </c>
      <c r="P812" t="s">
        <v>29</v>
      </c>
      <c r="Q812" t="s">
        <v>44</v>
      </c>
      <c r="R812" t="s">
        <v>45</v>
      </c>
      <c r="S812" t="s">
        <v>32</v>
      </c>
      <c r="T812" t="s">
        <v>33</v>
      </c>
      <c r="U812" t="s">
        <v>78</v>
      </c>
      <c r="V812" t="str">
        <f>IF(B812&lt;=18,"Children",IF(B812&lt;=35,"Young adult",IF(B812&lt;=60,"Adult", "Senior Citizen")))</f>
        <v>Adult</v>
      </c>
      <c r="W812" t="str">
        <f t="shared" si="84"/>
        <v>Mar</v>
      </c>
      <c r="X812">
        <f t="shared" si="85"/>
        <v>3</v>
      </c>
      <c r="Y812" t="str">
        <f t="shared" si="86"/>
        <v>Q1</v>
      </c>
      <c r="Z812">
        <f t="shared" si="87"/>
        <v>2027</v>
      </c>
      <c r="AA812" t="str">
        <f t="shared" si="88"/>
        <v>Monday</v>
      </c>
      <c r="AB812">
        <f t="shared" si="89"/>
        <v>-58</v>
      </c>
      <c r="AC812" t="str">
        <f>IF(OR(D812="Heart Disease",D812="Cancer",D812="Stroke"),"High",IF(OR(D812="Diabetes",D812="Asthma"),"Medium","Low"))</f>
        <v>Low</v>
      </c>
      <c r="AD812" t="str">
        <f t="shared" si="90"/>
        <v>No</v>
      </c>
      <c r="AE812" t="str">
        <f>IF(G812&lt;=2,"Short Stay", IF(G812&lt;=7,"Normal Stay", "Long Stay"))</f>
        <v>Long Stay</v>
      </c>
      <c r="AF812" t="str">
        <f>IF(F812&gt;60000,"Expensive",IF(F812&gt;30000,"Moderate","Affordable"))</f>
        <v>Affordable</v>
      </c>
      <c r="AG812" t="str">
        <f>IF(J812&gt;=4.5,"Excellent",IF(J812&gt;=3.5,"Good",IF(J812&gt;=2.5,"Average","Poor")))</f>
        <v>Average</v>
      </c>
      <c r="AH812" t="str">
        <f>IF(OR(TEXT(N812,"dddd")="Saturday",TEXT(N812,"dddd")="Sunday"),"Weekend","Weekday")</f>
        <v>Weekday</v>
      </c>
    </row>
    <row r="813" spans="1:34" x14ac:dyDescent="0.3">
      <c r="A813">
        <v>825</v>
      </c>
      <c r="B813">
        <v>65</v>
      </c>
      <c r="C813" t="s">
        <v>21</v>
      </c>
      <c r="D813" t="s">
        <v>116</v>
      </c>
      <c r="E813" t="s">
        <v>117</v>
      </c>
      <c r="F813">
        <v>4000</v>
      </c>
      <c r="G813">
        <v>59</v>
      </c>
      <c r="H813" t="s">
        <v>24</v>
      </c>
      <c r="I813" t="s">
        <v>39</v>
      </c>
      <c r="J813">
        <v>4</v>
      </c>
      <c r="K813" t="s">
        <v>223</v>
      </c>
      <c r="L813" t="s">
        <v>1749</v>
      </c>
      <c r="M813" t="s">
        <v>1750</v>
      </c>
      <c r="N813" s="2">
        <v>46469</v>
      </c>
      <c r="O813" s="2">
        <v>46528</v>
      </c>
      <c r="P813" t="s">
        <v>29</v>
      </c>
      <c r="Q813" t="s">
        <v>44</v>
      </c>
      <c r="R813" t="s">
        <v>45</v>
      </c>
      <c r="S813" t="s">
        <v>84</v>
      </c>
      <c r="T813" t="s">
        <v>33</v>
      </c>
      <c r="U813" t="s">
        <v>46</v>
      </c>
      <c r="V813" t="str">
        <f>IF(B813&lt;=18,"Children",IF(B813&lt;=35,"Young adult",IF(B813&lt;=60,"Adult", "Senior Citizen")))</f>
        <v>Senior Citizen</v>
      </c>
      <c r="W813" t="str">
        <f t="shared" si="84"/>
        <v>Mar</v>
      </c>
      <c r="X813">
        <f t="shared" si="85"/>
        <v>3</v>
      </c>
      <c r="Y813" t="str">
        <f t="shared" si="86"/>
        <v>Q1</v>
      </c>
      <c r="Z813">
        <f t="shared" si="87"/>
        <v>2027</v>
      </c>
      <c r="AA813" t="str">
        <f t="shared" si="88"/>
        <v>Tuesday</v>
      </c>
      <c r="AB813">
        <f t="shared" si="89"/>
        <v>-59</v>
      </c>
      <c r="AC813" t="str">
        <f>IF(OR(D813="Heart Disease",D813="Cancer",D813="Stroke"),"High",IF(OR(D813="Diabetes",D813="Asthma"),"Medium","Low"))</f>
        <v>Low</v>
      </c>
      <c r="AD813" t="str">
        <f t="shared" si="90"/>
        <v>No</v>
      </c>
      <c r="AE813" t="str">
        <f>IF(G813&lt;=2,"Short Stay", IF(G813&lt;=7,"Normal Stay", "Long Stay"))</f>
        <v>Long Stay</v>
      </c>
      <c r="AF813" t="str">
        <f>IF(F813&gt;60000,"Expensive",IF(F813&gt;30000,"Moderate","Affordable"))</f>
        <v>Affordable</v>
      </c>
      <c r="AG813" t="str">
        <f>IF(J813&gt;=4.5,"Excellent",IF(J813&gt;=3.5,"Good",IF(J813&gt;=2.5,"Average","Poor")))</f>
        <v>Good</v>
      </c>
      <c r="AH813" t="str">
        <f>IF(OR(TEXT(N813,"dddd")="Saturday",TEXT(N813,"dddd")="Sunday"),"Weekend","Weekday")</f>
        <v>Weekday</v>
      </c>
    </row>
    <row r="814" spans="1:34" x14ac:dyDescent="0.3">
      <c r="A814">
        <v>826</v>
      </c>
      <c r="B814">
        <v>55</v>
      </c>
      <c r="C814" t="s">
        <v>21</v>
      </c>
      <c r="D814" t="s">
        <v>22</v>
      </c>
      <c r="E814" t="s">
        <v>23</v>
      </c>
      <c r="F814">
        <v>15000</v>
      </c>
      <c r="G814">
        <v>60</v>
      </c>
      <c r="H814" t="s">
        <v>38</v>
      </c>
      <c r="I814" t="s">
        <v>25</v>
      </c>
      <c r="J814">
        <v>3</v>
      </c>
      <c r="K814" t="s">
        <v>250</v>
      </c>
      <c r="L814" t="s">
        <v>1751</v>
      </c>
      <c r="M814" t="s">
        <v>1752</v>
      </c>
      <c r="N814" s="2">
        <v>46470</v>
      </c>
      <c r="O814" s="2">
        <v>46530</v>
      </c>
      <c r="P814" t="s">
        <v>43</v>
      </c>
      <c r="Q814" t="s">
        <v>139</v>
      </c>
      <c r="R814" t="s">
        <v>31</v>
      </c>
      <c r="S814" t="s">
        <v>53</v>
      </c>
      <c r="T814" t="s">
        <v>33</v>
      </c>
      <c r="U814" t="s">
        <v>46</v>
      </c>
      <c r="V814" t="str">
        <f>IF(B814&lt;=18,"Children",IF(B814&lt;=35,"Young adult",IF(B814&lt;=60,"Adult", "Senior Citizen")))</f>
        <v>Adult</v>
      </c>
      <c r="W814" t="str">
        <f t="shared" si="84"/>
        <v>Mar</v>
      </c>
      <c r="X814">
        <f t="shared" si="85"/>
        <v>3</v>
      </c>
      <c r="Y814" t="str">
        <f t="shared" si="86"/>
        <v>Q1</v>
      </c>
      <c r="Z814">
        <f t="shared" si="87"/>
        <v>2027</v>
      </c>
      <c r="AA814" t="str">
        <f t="shared" si="88"/>
        <v>Wednesday</v>
      </c>
      <c r="AB814">
        <f t="shared" si="89"/>
        <v>-60</v>
      </c>
      <c r="AC814" t="str">
        <f>IF(OR(D814="Heart Disease",D814="Cancer",D814="Stroke"),"High",IF(OR(D814="Diabetes",D814="Asthma"),"Medium","Low"))</f>
        <v>High</v>
      </c>
      <c r="AD814" t="str">
        <f t="shared" si="90"/>
        <v>Yes</v>
      </c>
      <c r="AE814" t="str">
        <f>IF(G814&lt;=2,"Short Stay", IF(G814&lt;=7,"Normal Stay", "Long Stay"))</f>
        <v>Long Stay</v>
      </c>
      <c r="AF814" t="str">
        <f>IF(F814&gt;60000,"Expensive",IF(F814&gt;30000,"Moderate","Affordable"))</f>
        <v>Affordable</v>
      </c>
      <c r="AG814" t="str">
        <f>IF(J814&gt;=4.5,"Excellent",IF(J814&gt;=3.5,"Good",IF(J814&gt;=2.5,"Average","Poor")))</f>
        <v>Average</v>
      </c>
      <c r="AH814" t="str">
        <f>IF(OR(TEXT(N814,"dddd")="Saturday",TEXT(N814,"dddd")="Sunday"),"Weekend","Weekday")</f>
        <v>Weekday</v>
      </c>
    </row>
    <row r="815" spans="1:34" x14ac:dyDescent="0.3">
      <c r="A815">
        <v>827</v>
      </c>
      <c r="B815">
        <v>62</v>
      </c>
      <c r="C815" t="s">
        <v>35</v>
      </c>
      <c r="D815" t="s">
        <v>36</v>
      </c>
      <c r="E815" t="s">
        <v>37</v>
      </c>
      <c r="F815">
        <v>2000</v>
      </c>
      <c r="G815">
        <v>58</v>
      </c>
      <c r="H815" t="s">
        <v>24</v>
      </c>
      <c r="I815" t="s">
        <v>39</v>
      </c>
      <c r="J815">
        <v>4</v>
      </c>
      <c r="K815" t="s">
        <v>218</v>
      </c>
      <c r="L815" t="s">
        <v>1753</v>
      </c>
      <c r="M815" t="s">
        <v>1754</v>
      </c>
      <c r="N815" s="2">
        <v>46471</v>
      </c>
      <c r="O815" s="2">
        <v>46529</v>
      </c>
      <c r="P815" t="s">
        <v>43</v>
      </c>
      <c r="Q815" t="s">
        <v>139</v>
      </c>
      <c r="R815" t="s">
        <v>45</v>
      </c>
      <c r="S815" t="s">
        <v>72</v>
      </c>
      <c r="T815" t="s">
        <v>33</v>
      </c>
      <c r="U815" t="s">
        <v>104</v>
      </c>
      <c r="V815" t="str">
        <f>IF(B815&lt;=18,"Children",IF(B815&lt;=35,"Young adult",IF(B815&lt;=60,"Adult", "Senior Citizen")))</f>
        <v>Senior Citizen</v>
      </c>
      <c r="W815" t="str">
        <f t="shared" si="84"/>
        <v>Mar</v>
      </c>
      <c r="X815">
        <f t="shared" si="85"/>
        <v>3</v>
      </c>
      <c r="Y815" t="str">
        <f t="shared" si="86"/>
        <v>Q1</v>
      </c>
      <c r="Z815">
        <f t="shared" si="87"/>
        <v>2027</v>
      </c>
      <c r="AA815" t="str">
        <f t="shared" si="88"/>
        <v>Thursday</v>
      </c>
      <c r="AB815">
        <f t="shared" si="89"/>
        <v>-58</v>
      </c>
      <c r="AC815" t="str">
        <f>IF(OR(D815="Heart Disease",D815="Cancer",D815="Stroke"),"High",IF(OR(D815="Diabetes",D815="Asthma"),"Medium","Low"))</f>
        <v>Medium</v>
      </c>
      <c r="AD815" t="str">
        <f t="shared" si="90"/>
        <v>No</v>
      </c>
      <c r="AE815" t="str">
        <f>IF(G815&lt;=2,"Short Stay", IF(G815&lt;=7,"Normal Stay", "Long Stay"))</f>
        <v>Long Stay</v>
      </c>
      <c r="AF815" t="str">
        <f>IF(F815&gt;60000,"Expensive",IF(F815&gt;30000,"Moderate","Affordable"))</f>
        <v>Affordable</v>
      </c>
      <c r="AG815" t="str">
        <f>IF(J815&gt;=4.5,"Excellent",IF(J815&gt;=3.5,"Good",IF(J815&gt;=2.5,"Average","Poor")))</f>
        <v>Good</v>
      </c>
      <c r="AH815" t="str">
        <f>IF(OR(TEXT(N815,"dddd")="Saturday",TEXT(N815,"dddd")="Sunday"),"Weekend","Weekday")</f>
        <v>Weekday</v>
      </c>
    </row>
    <row r="816" spans="1:34" x14ac:dyDescent="0.3">
      <c r="A816">
        <v>828</v>
      </c>
      <c r="B816">
        <v>35</v>
      </c>
      <c r="C816" t="s">
        <v>21</v>
      </c>
      <c r="D816" t="s">
        <v>47</v>
      </c>
      <c r="E816" t="s">
        <v>48</v>
      </c>
      <c r="F816">
        <v>500</v>
      </c>
      <c r="G816">
        <v>56</v>
      </c>
      <c r="H816" t="s">
        <v>38</v>
      </c>
      <c r="I816" t="s">
        <v>25</v>
      </c>
      <c r="J816">
        <v>5</v>
      </c>
      <c r="K816" t="s">
        <v>250</v>
      </c>
      <c r="L816" t="s">
        <v>1755</v>
      </c>
      <c r="M816" t="s">
        <v>1756</v>
      </c>
      <c r="N816" s="2">
        <v>46472</v>
      </c>
      <c r="O816" s="2">
        <v>46528</v>
      </c>
      <c r="P816" t="s">
        <v>43</v>
      </c>
      <c r="Q816" t="s">
        <v>44</v>
      </c>
      <c r="R816" t="s">
        <v>45</v>
      </c>
      <c r="S816" t="s">
        <v>72</v>
      </c>
      <c r="T816" t="s">
        <v>33</v>
      </c>
      <c r="U816" t="s">
        <v>104</v>
      </c>
      <c r="V816" t="str">
        <f>IF(B816&lt;=18,"Children",IF(B816&lt;=35,"Young adult",IF(B816&lt;=60,"Adult", "Senior Citizen")))</f>
        <v>Young adult</v>
      </c>
      <c r="W816" t="str">
        <f t="shared" si="84"/>
        <v>Mar</v>
      </c>
      <c r="X816">
        <f t="shared" si="85"/>
        <v>3</v>
      </c>
      <c r="Y816" t="str">
        <f t="shared" si="86"/>
        <v>Q1</v>
      </c>
      <c r="Z816">
        <f t="shared" si="87"/>
        <v>2027</v>
      </c>
      <c r="AA816" t="str">
        <f t="shared" si="88"/>
        <v>Friday</v>
      </c>
      <c r="AB816">
        <f t="shared" si="89"/>
        <v>-56</v>
      </c>
      <c r="AC816" t="str">
        <f>IF(OR(D816="Heart Disease",D816="Cancer",D816="Stroke"),"High",IF(OR(D816="Diabetes",D816="Asthma"),"Medium","Low"))</f>
        <v>Low</v>
      </c>
      <c r="AD816" t="str">
        <f t="shared" si="90"/>
        <v>No</v>
      </c>
      <c r="AE816" t="str">
        <f>IF(G816&lt;=2,"Short Stay", IF(G816&lt;=7,"Normal Stay", "Long Stay"))</f>
        <v>Long Stay</v>
      </c>
      <c r="AF816" t="str">
        <f>IF(F816&gt;60000,"Expensive",IF(F816&gt;30000,"Moderate","Affordable"))</f>
        <v>Affordable</v>
      </c>
      <c r="AG816" t="str">
        <f>IF(J816&gt;=4.5,"Excellent",IF(J816&gt;=3.5,"Good",IF(J816&gt;=2.5,"Average","Poor")))</f>
        <v>Excellent</v>
      </c>
      <c r="AH816" t="str">
        <f>IF(OR(TEXT(N816,"dddd")="Saturday",TEXT(N816,"dddd")="Sunday"),"Weekend","Weekday")</f>
        <v>Weekday</v>
      </c>
    </row>
    <row r="817" spans="1:34" x14ac:dyDescent="0.3">
      <c r="A817">
        <v>829</v>
      </c>
      <c r="B817">
        <v>78</v>
      </c>
      <c r="C817" t="s">
        <v>35</v>
      </c>
      <c r="D817" t="s">
        <v>54</v>
      </c>
      <c r="E817" t="s">
        <v>55</v>
      </c>
      <c r="F817">
        <v>10000</v>
      </c>
      <c r="G817">
        <v>63</v>
      </c>
      <c r="H817" t="s">
        <v>24</v>
      </c>
      <c r="I817" t="s">
        <v>39</v>
      </c>
      <c r="J817">
        <v>2</v>
      </c>
      <c r="K817" t="s">
        <v>317</v>
      </c>
      <c r="L817" t="s">
        <v>1757</v>
      </c>
      <c r="M817" t="s">
        <v>1758</v>
      </c>
      <c r="N817" s="2">
        <v>46473</v>
      </c>
      <c r="O817" s="2">
        <v>46536</v>
      </c>
      <c r="P817" t="s">
        <v>43</v>
      </c>
      <c r="Q817" t="s">
        <v>44</v>
      </c>
      <c r="R817" t="s">
        <v>59</v>
      </c>
      <c r="S817" t="s">
        <v>72</v>
      </c>
      <c r="T817" t="s">
        <v>33</v>
      </c>
      <c r="U817" t="s">
        <v>78</v>
      </c>
      <c r="V817" t="str">
        <f>IF(B817&lt;=18,"Children",IF(B817&lt;=35,"Young adult",IF(B817&lt;=60,"Adult", "Senior Citizen")))</f>
        <v>Senior Citizen</v>
      </c>
      <c r="W817" t="str">
        <f t="shared" si="84"/>
        <v>Mar</v>
      </c>
      <c r="X817">
        <f t="shared" si="85"/>
        <v>3</v>
      </c>
      <c r="Y817" t="str">
        <f t="shared" si="86"/>
        <v>Q1</v>
      </c>
      <c r="Z817">
        <f t="shared" si="87"/>
        <v>2027</v>
      </c>
      <c r="AA817" t="str">
        <f t="shared" si="88"/>
        <v>Saturday</v>
      </c>
      <c r="AB817">
        <f t="shared" si="89"/>
        <v>-63</v>
      </c>
      <c r="AC817" t="str">
        <f>IF(OR(D817="Heart Disease",D817="Cancer",D817="Stroke"),"High",IF(OR(D817="Diabetes",D817="Asthma"),"Medium","Low"))</f>
        <v>High</v>
      </c>
      <c r="AD817" t="str">
        <f t="shared" si="90"/>
        <v>Yes</v>
      </c>
      <c r="AE817" t="str">
        <f>IF(G817&lt;=2,"Short Stay", IF(G817&lt;=7,"Normal Stay", "Long Stay"))</f>
        <v>Long Stay</v>
      </c>
      <c r="AF817" t="str">
        <f>IF(F817&gt;60000,"Expensive",IF(F817&gt;30000,"Moderate","Affordable"))</f>
        <v>Affordable</v>
      </c>
      <c r="AG817" t="str">
        <f>IF(J817&gt;=4.5,"Excellent",IF(J817&gt;=3.5,"Good",IF(J817&gt;=2.5,"Average","Poor")))</f>
        <v>Poor</v>
      </c>
      <c r="AH817" t="str">
        <f>IF(OR(TEXT(N817,"dddd")="Saturday",TEXT(N817,"dddd")="Sunday"),"Weekend","Weekday")</f>
        <v>Weekend</v>
      </c>
    </row>
    <row r="818" spans="1:34" x14ac:dyDescent="0.3">
      <c r="A818">
        <v>830</v>
      </c>
      <c r="B818">
        <v>53</v>
      </c>
      <c r="C818" t="s">
        <v>21</v>
      </c>
      <c r="D818" t="s">
        <v>60</v>
      </c>
      <c r="E818" t="s">
        <v>61</v>
      </c>
      <c r="F818">
        <v>25000</v>
      </c>
      <c r="G818">
        <v>65</v>
      </c>
      <c r="H818" t="s">
        <v>38</v>
      </c>
      <c r="I818" t="s">
        <v>25</v>
      </c>
      <c r="J818">
        <v>4</v>
      </c>
      <c r="K818" t="s">
        <v>154</v>
      </c>
      <c r="L818" t="s">
        <v>1759</v>
      </c>
      <c r="M818" t="s">
        <v>1760</v>
      </c>
      <c r="N818" s="2">
        <v>46474</v>
      </c>
      <c r="O818" s="2">
        <v>46539</v>
      </c>
      <c r="P818" t="s">
        <v>29</v>
      </c>
      <c r="Q818" t="s">
        <v>71</v>
      </c>
      <c r="R818" t="s">
        <v>65</v>
      </c>
      <c r="S818" t="s">
        <v>53</v>
      </c>
      <c r="T818" t="s">
        <v>33</v>
      </c>
      <c r="U818" t="s">
        <v>78</v>
      </c>
      <c r="V818" t="str">
        <f>IF(B818&lt;=18,"Children",IF(B818&lt;=35,"Young adult",IF(B818&lt;=60,"Adult", "Senior Citizen")))</f>
        <v>Adult</v>
      </c>
      <c r="W818" t="str">
        <f t="shared" si="84"/>
        <v>Mar</v>
      </c>
      <c r="X818">
        <f t="shared" si="85"/>
        <v>3</v>
      </c>
      <c r="Y818" t="str">
        <f t="shared" si="86"/>
        <v>Q1</v>
      </c>
      <c r="Z818">
        <f t="shared" si="87"/>
        <v>2027</v>
      </c>
      <c r="AA818" t="str">
        <f t="shared" si="88"/>
        <v>Sunday</v>
      </c>
      <c r="AB818">
        <f t="shared" si="89"/>
        <v>-65</v>
      </c>
      <c r="AC818" t="str">
        <f>IF(OR(D818="Heart Disease",D818="Cancer",D818="Stroke"),"High",IF(OR(D818="Diabetes",D818="Asthma"),"Medium","Low"))</f>
        <v>High</v>
      </c>
      <c r="AD818" t="str">
        <f t="shared" si="90"/>
        <v>Yes</v>
      </c>
      <c r="AE818" t="str">
        <f>IF(G818&lt;=2,"Short Stay", IF(G818&lt;=7,"Normal Stay", "Long Stay"))</f>
        <v>Long Stay</v>
      </c>
      <c r="AF818" t="str">
        <f>IF(F818&gt;60000,"Expensive",IF(F818&gt;30000,"Moderate","Affordable"))</f>
        <v>Affordable</v>
      </c>
      <c r="AG818" t="str">
        <f>IF(J818&gt;=4.5,"Excellent",IF(J818&gt;=3.5,"Good",IF(J818&gt;=2.5,"Average","Poor")))</f>
        <v>Good</v>
      </c>
      <c r="AH818" t="str">
        <f>IF(OR(TEXT(N818,"dddd")="Saturday",TEXT(N818,"dddd")="Sunday"),"Weekend","Weekday")</f>
        <v>Weekend</v>
      </c>
    </row>
    <row r="819" spans="1:34" x14ac:dyDescent="0.3">
      <c r="A819">
        <v>831</v>
      </c>
      <c r="B819">
        <v>72</v>
      </c>
      <c r="C819" t="s">
        <v>35</v>
      </c>
      <c r="D819" t="s">
        <v>66</v>
      </c>
      <c r="E819" t="s">
        <v>67</v>
      </c>
      <c r="F819">
        <v>1000</v>
      </c>
      <c r="G819">
        <v>59</v>
      </c>
      <c r="H819" t="s">
        <v>24</v>
      </c>
      <c r="I819" t="s">
        <v>39</v>
      </c>
      <c r="J819">
        <v>4</v>
      </c>
      <c r="K819" t="s">
        <v>324</v>
      </c>
      <c r="L819" t="s">
        <v>1761</v>
      </c>
      <c r="M819" t="s">
        <v>1762</v>
      </c>
      <c r="N819" s="2">
        <v>46475</v>
      </c>
      <c r="O819" s="2">
        <v>46534</v>
      </c>
      <c r="P819" t="s">
        <v>43</v>
      </c>
      <c r="Q819" t="s">
        <v>30</v>
      </c>
      <c r="R819" t="s">
        <v>45</v>
      </c>
      <c r="S819" t="s">
        <v>32</v>
      </c>
      <c r="T819" t="s">
        <v>33</v>
      </c>
      <c r="U819" t="s">
        <v>34</v>
      </c>
      <c r="V819" t="str">
        <f>IF(B819&lt;=18,"Children",IF(B819&lt;=35,"Young adult",IF(B819&lt;=60,"Adult", "Senior Citizen")))</f>
        <v>Senior Citizen</v>
      </c>
      <c r="W819" t="str">
        <f t="shared" si="84"/>
        <v>Mar</v>
      </c>
      <c r="X819">
        <f t="shared" si="85"/>
        <v>3</v>
      </c>
      <c r="Y819" t="str">
        <f t="shared" si="86"/>
        <v>Q1</v>
      </c>
      <c r="Z819">
        <f t="shared" si="87"/>
        <v>2027</v>
      </c>
      <c r="AA819" t="str">
        <f t="shared" si="88"/>
        <v>Monday</v>
      </c>
      <c r="AB819">
        <f t="shared" si="89"/>
        <v>-59</v>
      </c>
      <c r="AC819" t="str">
        <f>IF(OR(D819="Heart Disease",D819="Cancer",D819="Stroke"),"High",IF(OR(D819="Diabetes",D819="Asthma"),"Medium","Low"))</f>
        <v>Low</v>
      </c>
      <c r="AD819" t="str">
        <f t="shared" si="90"/>
        <v>No</v>
      </c>
      <c r="AE819" t="str">
        <f>IF(G819&lt;=2,"Short Stay", IF(G819&lt;=7,"Normal Stay", "Long Stay"))</f>
        <v>Long Stay</v>
      </c>
      <c r="AF819" t="str">
        <f>IF(F819&gt;60000,"Expensive",IF(F819&gt;30000,"Moderate","Affordable"))</f>
        <v>Affordable</v>
      </c>
      <c r="AG819" t="str">
        <f>IF(J819&gt;=4.5,"Excellent",IF(J819&gt;=3.5,"Good",IF(J819&gt;=2.5,"Average","Poor")))</f>
        <v>Good</v>
      </c>
      <c r="AH819" t="str">
        <f>IF(OR(TEXT(N819,"dddd")="Saturday",TEXT(N819,"dddd")="Sunday"),"Weekend","Weekday")</f>
        <v>Weekday</v>
      </c>
    </row>
    <row r="820" spans="1:34" x14ac:dyDescent="0.3">
      <c r="A820">
        <v>832</v>
      </c>
      <c r="B820">
        <v>60</v>
      </c>
      <c r="C820" t="s">
        <v>21</v>
      </c>
      <c r="D820" t="s">
        <v>73</v>
      </c>
      <c r="E820" t="s">
        <v>74</v>
      </c>
      <c r="F820">
        <v>8000</v>
      </c>
      <c r="G820">
        <v>61</v>
      </c>
      <c r="H820" t="s">
        <v>38</v>
      </c>
      <c r="I820" t="s">
        <v>25</v>
      </c>
      <c r="J820">
        <v>3</v>
      </c>
      <c r="K820" t="s">
        <v>187</v>
      </c>
      <c r="L820" t="s">
        <v>1763</v>
      </c>
      <c r="M820" t="s">
        <v>1764</v>
      </c>
      <c r="N820" s="2">
        <v>46476</v>
      </c>
      <c r="O820" s="2">
        <v>46537</v>
      </c>
      <c r="P820" t="s">
        <v>43</v>
      </c>
      <c r="Q820" t="s">
        <v>30</v>
      </c>
      <c r="R820" t="s">
        <v>45</v>
      </c>
      <c r="S820" t="s">
        <v>53</v>
      </c>
      <c r="T820" t="s">
        <v>33</v>
      </c>
      <c r="U820" t="s">
        <v>34</v>
      </c>
      <c r="V820" t="str">
        <f>IF(B820&lt;=18,"Children",IF(B820&lt;=35,"Young adult",IF(B820&lt;=60,"Adult", "Senior Citizen")))</f>
        <v>Adult</v>
      </c>
      <c r="W820" t="str">
        <f t="shared" si="84"/>
        <v>Mar</v>
      </c>
      <c r="X820">
        <f t="shared" si="85"/>
        <v>3</v>
      </c>
      <c r="Y820" t="str">
        <f t="shared" si="86"/>
        <v>Q1</v>
      </c>
      <c r="Z820">
        <f t="shared" si="87"/>
        <v>2027</v>
      </c>
      <c r="AA820" t="str">
        <f t="shared" si="88"/>
        <v>Tuesday</v>
      </c>
      <c r="AB820">
        <f t="shared" si="89"/>
        <v>-61</v>
      </c>
      <c r="AC820" t="str">
        <f>IF(OR(D820="Heart Disease",D820="Cancer",D820="Stroke"),"High",IF(OR(D820="Diabetes",D820="Asthma"),"Medium","Low"))</f>
        <v>Low</v>
      </c>
      <c r="AD820" t="str">
        <f t="shared" si="90"/>
        <v>No</v>
      </c>
      <c r="AE820" t="str">
        <f>IF(G820&lt;=2,"Short Stay", IF(G820&lt;=7,"Normal Stay", "Long Stay"))</f>
        <v>Long Stay</v>
      </c>
      <c r="AF820" t="str">
        <f>IF(F820&gt;60000,"Expensive",IF(F820&gt;30000,"Moderate","Affordable"))</f>
        <v>Affordable</v>
      </c>
      <c r="AG820" t="str">
        <f>IF(J820&gt;=4.5,"Excellent",IF(J820&gt;=3.5,"Good",IF(J820&gt;=2.5,"Average","Poor")))</f>
        <v>Average</v>
      </c>
      <c r="AH820" t="str">
        <f>IF(OR(TEXT(N820,"dddd")="Saturday",TEXT(N820,"dddd")="Sunday"),"Weekend","Weekday")</f>
        <v>Weekday</v>
      </c>
    </row>
    <row r="821" spans="1:34" x14ac:dyDescent="0.3">
      <c r="A821">
        <v>833</v>
      </c>
      <c r="B821">
        <v>45</v>
      </c>
      <c r="C821" t="s">
        <v>35</v>
      </c>
      <c r="D821" t="s">
        <v>79</v>
      </c>
      <c r="E821" t="s">
        <v>80</v>
      </c>
      <c r="F821">
        <v>3000</v>
      </c>
      <c r="G821">
        <v>61</v>
      </c>
      <c r="H821" t="s">
        <v>24</v>
      </c>
      <c r="I821" t="s">
        <v>25</v>
      </c>
      <c r="J821">
        <v>4</v>
      </c>
      <c r="K821" t="s">
        <v>215</v>
      </c>
      <c r="L821" t="s">
        <v>1765</v>
      </c>
      <c r="M821" t="s">
        <v>1766</v>
      </c>
      <c r="N821" s="2">
        <v>46477</v>
      </c>
      <c r="O821" s="2">
        <v>46538</v>
      </c>
      <c r="P821" t="s">
        <v>43</v>
      </c>
      <c r="Q821" t="s">
        <v>139</v>
      </c>
      <c r="R821" t="s">
        <v>45</v>
      </c>
      <c r="S821" t="s">
        <v>84</v>
      </c>
      <c r="T821" t="s">
        <v>33</v>
      </c>
      <c r="U821" t="s">
        <v>104</v>
      </c>
      <c r="V821" t="str">
        <f>IF(B821&lt;=18,"Children",IF(B821&lt;=35,"Young adult",IF(B821&lt;=60,"Adult", "Senior Citizen")))</f>
        <v>Adult</v>
      </c>
      <c r="W821" t="str">
        <f t="shared" si="84"/>
        <v>Mar</v>
      </c>
      <c r="X821">
        <f t="shared" si="85"/>
        <v>3</v>
      </c>
      <c r="Y821" t="str">
        <f t="shared" si="86"/>
        <v>Q1</v>
      </c>
      <c r="Z821">
        <f t="shared" si="87"/>
        <v>2027</v>
      </c>
      <c r="AA821" t="str">
        <f t="shared" si="88"/>
        <v>Wednesday</v>
      </c>
      <c r="AB821">
        <f t="shared" si="89"/>
        <v>-61</v>
      </c>
      <c r="AC821" t="str">
        <f>IF(OR(D821="Heart Disease",D821="Cancer",D821="Stroke"),"High",IF(OR(D821="Diabetes",D821="Asthma"),"Medium","Low"))</f>
        <v>Low</v>
      </c>
      <c r="AD821" t="str">
        <f t="shared" si="90"/>
        <v>No</v>
      </c>
      <c r="AE821" t="str">
        <f>IF(G821&lt;=2,"Short Stay", IF(G821&lt;=7,"Normal Stay", "Long Stay"))</f>
        <v>Long Stay</v>
      </c>
      <c r="AF821" t="str">
        <f>IF(F821&gt;60000,"Expensive",IF(F821&gt;30000,"Moderate","Affordable"))</f>
        <v>Affordable</v>
      </c>
      <c r="AG821" t="str">
        <f>IF(J821&gt;=4.5,"Excellent",IF(J821&gt;=3.5,"Good",IF(J821&gt;=2.5,"Average","Poor")))</f>
        <v>Good</v>
      </c>
      <c r="AH821" t="str">
        <f>IF(OR(TEXT(N821,"dddd")="Saturday",TEXT(N821,"dddd")="Sunday"),"Weekend","Weekday")</f>
        <v>Weekday</v>
      </c>
    </row>
    <row r="822" spans="1:34" x14ac:dyDescent="0.3">
      <c r="A822">
        <v>834</v>
      </c>
      <c r="B822">
        <v>75</v>
      </c>
      <c r="C822" t="s">
        <v>21</v>
      </c>
      <c r="D822" t="s">
        <v>85</v>
      </c>
      <c r="E822" t="s">
        <v>86</v>
      </c>
      <c r="F822">
        <v>18000</v>
      </c>
      <c r="G822">
        <v>63</v>
      </c>
      <c r="H822" t="s">
        <v>38</v>
      </c>
      <c r="I822" t="s">
        <v>39</v>
      </c>
      <c r="J822">
        <v>2</v>
      </c>
      <c r="K822" t="s">
        <v>380</v>
      </c>
      <c r="L822" t="s">
        <v>1767</v>
      </c>
      <c r="M822" t="s">
        <v>1768</v>
      </c>
      <c r="N822" s="2">
        <v>46478</v>
      </c>
      <c r="O822" s="2">
        <v>46541</v>
      </c>
      <c r="P822" t="s">
        <v>43</v>
      </c>
      <c r="Q822" t="s">
        <v>44</v>
      </c>
      <c r="R822" t="s">
        <v>45</v>
      </c>
      <c r="S822" t="s">
        <v>110</v>
      </c>
      <c r="T822" t="s">
        <v>33</v>
      </c>
      <c r="U822" t="s">
        <v>104</v>
      </c>
      <c r="V822" t="str">
        <f>IF(B822&lt;=18,"Children",IF(B822&lt;=35,"Young adult",IF(B822&lt;=60,"Adult", "Senior Citizen")))</f>
        <v>Senior Citizen</v>
      </c>
      <c r="W822" t="str">
        <f t="shared" si="84"/>
        <v>Apr</v>
      </c>
      <c r="X822">
        <f t="shared" si="85"/>
        <v>4</v>
      </c>
      <c r="Y822" t="str">
        <f t="shared" si="86"/>
        <v>Q2</v>
      </c>
      <c r="Z822">
        <f t="shared" si="87"/>
        <v>2027</v>
      </c>
      <c r="AA822" t="str">
        <f t="shared" si="88"/>
        <v>Thursday</v>
      </c>
      <c r="AB822">
        <f t="shared" si="89"/>
        <v>-63</v>
      </c>
      <c r="AC822" t="str">
        <f>IF(OR(D822="Heart Disease",D822="Cancer",D822="Stroke"),"High",IF(OR(D822="Diabetes",D822="Asthma"),"Medium","Low"))</f>
        <v>Low</v>
      </c>
      <c r="AD822" t="str">
        <f t="shared" si="90"/>
        <v>No</v>
      </c>
      <c r="AE822" t="str">
        <f>IF(G822&lt;=2,"Short Stay", IF(G822&lt;=7,"Normal Stay", "Long Stay"))</f>
        <v>Long Stay</v>
      </c>
      <c r="AF822" t="str">
        <f>IF(F822&gt;60000,"Expensive",IF(F822&gt;30000,"Moderate","Affordable"))</f>
        <v>Affordable</v>
      </c>
      <c r="AG822" t="str">
        <f>IF(J822&gt;=4.5,"Excellent",IF(J822&gt;=3.5,"Good",IF(J822&gt;=2.5,"Average","Poor")))</f>
        <v>Poor</v>
      </c>
      <c r="AH822" t="str">
        <f>IF(OR(TEXT(N822,"dddd")="Saturday",TEXT(N822,"dddd")="Sunday"),"Weekend","Weekday")</f>
        <v>Weekday</v>
      </c>
    </row>
    <row r="823" spans="1:34" x14ac:dyDescent="0.3">
      <c r="A823">
        <v>835</v>
      </c>
      <c r="B823">
        <v>28</v>
      </c>
      <c r="C823" t="s">
        <v>35</v>
      </c>
      <c r="D823" t="s">
        <v>89</v>
      </c>
      <c r="E823" t="s">
        <v>90</v>
      </c>
      <c r="F823">
        <v>100</v>
      </c>
      <c r="G823">
        <v>56</v>
      </c>
      <c r="H823" t="s">
        <v>24</v>
      </c>
      <c r="I823" t="s">
        <v>25</v>
      </c>
      <c r="J823">
        <v>5</v>
      </c>
      <c r="K823" t="s">
        <v>429</v>
      </c>
      <c r="L823" t="s">
        <v>1769</v>
      </c>
      <c r="M823" t="s">
        <v>1770</v>
      </c>
      <c r="N823" s="2">
        <v>46479</v>
      </c>
      <c r="O823" s="2">
        <v>46535</v>
      </c>
      <c r="P823" t="s">
        <v>43</v>
      </c>
      <c r="Q823" t="s">
        <v>71</v>
      </c>
      <c r="R823" t="s">
        <v>45</v>
      </c>
      <c r="S823" t="s">
        <v>77</v>
      </c>
      <c r="T823" t="s">
        <v>33</v>
      </c>
      <c r="U823" t="s">
        <v>78</v>
      </c>
      <c r="V823" t="str">
        <f>IF(B823&lt;=18,"Children",IF(B823&lt;=35,"Young adult",IF(B823&lt;=60,"Adult", "Senior Citizen")))</f>
        <v>Young adult</v>
      </c>
      <c r="W823" t="str">
        <f t="shared" si="84"/>
        <v>Apr</v>
      </c>
      <c r="X823">
        <f t="shared" si="85"/>
        <v>4</v>
      </c>
      <c r="Y823" t="str">
        <f t="shared" si="86"/>
        <v>Q2</v>
      </c>
      <c r="Z823">
        <f t="shared" si="87"/>
        <v>2027</v>
      </c>
      <c r="AA823" t="str">
        <f t="shared" si="88"/>
        <v>Friday</v>
      </c>
      <c r="AB823">
        <f t="shared" si="89"/>
        <v>-56</v>
      </c>
      <c r="AC823" t="str">
        <f>IF(OR(D823="Heart Disease",D823="Cancer",D823="Stroke"),"High",IF(OR(D823="Diabetes",D823="Asthma"),"Medium","Low"))</f>
        <v>Low</v>
      </c>
      <c r="AD823" t="str">
        <f t="shared" si="90"/>
        <v>No</v>
      </c>
      <c r="AE823" t="str">
        <f>IF(G823&lt;=2,"Short Stay", IF(G823&lt;=7,"Normal Stay", "Long Stay"))</f>
        <v>Long Stay</v>
      </c>
      <c r="AF823" t="str">
        <f>IF(F823&gt;60000,"Expensive",IF(F823&gt;30000,"Moderate","Affordable"))</f>
        <v>Affordable</v>
      </c>
      <c r="AG823" t="str">
        <f>IF(J823&gt;=4.5,"Excellent",IF(J823&gt;=3.5,"Good",IF(J823&gt;=2.5,"Average","Poor")))</f>
        <v>Excellent</v>
      </c>
      <c r="AH823" t="str">
        <f>IF(OR(TEXT(N823,"dddd")="Saturday",TEXT(N823,"dddd")="Sunday"),"Weekend","Weekday")</f>
        <v>Weekday</v>
      </c>
    </row>
    <row r="824" spans="1:34" x14ac:dyDescent="0.3">
      <c r="A824">
        <v>836</v>
      </c>
      <c r="B824">
        <v>52</v>
      </c>
      <c r="C824" t="s">
        <v>21</v>
      </c>
      <c r="D824" t="s">
        <v>94</v>
      </c>
      <c r="E824" t="s">
        <v>95</v>
      </c>
      <c r="F824">
        <v>800</v>
      </c>
      <c r="G824">
        <v>57</v>
      </c>
      <c r="H824" t="s">
        <v>24</v>
      </c>
      <c r="I824" t="s">
        <v>39</v>
      </c>
      <c r="J824">
        <v>4</v>
      </c>
      <c r="K824" t="s">
        <v>210</v>
      </c>
      <c r="L824" t="s">
        <v>1771</v>
      </c>
      <c r="M824" t="s">
        <v>1772</v>
      </c>
      <c r="N824" s="2">
        <v>46480</v>
      </c>
      <c r="O824" s="2">
        <v>46537</v>
      </c>
      <c r="P824" t="s">
        <v>43</v>
      </c>
      <c r="Q824" t="s">
        <v>30</v>
      </c>
      <c r="R824" t="s">
        <v>45</v>
      </c>
      <c r="S824" t="s">
        <v>84</v>
      </c>
      <c r="T824" t="s">
        <v>33</v>
      </c>
      <c r="U824" t="s">
        <v>104</v>
      </c>
      <c r="V824" t="str">
        <f>IF(B824&lt;=18,"Children",IF(B824&lt;=35,"Young adult",IF(B824&lt;=60,"Adult", "Senior Citizen")))</f>
        <v>Adult</v>
      </c>
      <c r="W824" t="str">
        <f t="shared" si="84"/>
        <v>Apr</v>
      </c>
      <c r="X824">
        <f t="shared" si="85"/>
        <v>4</v>
      </c>
      <c r="Y824" t="str">
        <f t="shared" si="86"/>
        <v>Q2</v>
      </c>
      <c r="Z824">
        <f t="shared" si="87"/>
        <v>2027</v>
      </c>
      <c r="AA824" t="str">
        <f t="shared" si="88"/>
        <v>Saturday</v>
      </c>
      <c r="AB824">
        <f t="shared" si="89"/>
        <v>-57</v>
      </c>
      <c r="AC824" t="str">
        <f>IF(OR(D824="Heart Disease",D824="Cancer",D824="Stroke"),"High",IF(OR(D824="Diabetes",D824="Asthma"),"Medium","Low"))</f>
        <v>Low</v>
      </c>
      <c r="AD824" t="str">
        <f t="shared" si="90"/>
        <v>No</v>
      </c>
      <c r="AE824" t="str">
        <f>IF(G824&lt;=2,"Short Stay", IF(G824&lt;=7,"Normal Stay", "Long Stay"))</f>
        <v>Long Stay</v>
      </c>
      <c r="AF824" t="str">
        <f>IF(F824&gt;60000,"Expensive",IF(F824&gt;30000,"Moderate","Affordable"))</f>
        <v>Affordable</v>
      </c>
      <c r="AG824" t="str">
        <f>IF(J824&gt;=4.5,"Excellent",IF(J824&gt;=3.5,"Good",IF(J824&gt;=2.5,"Average","Poor")))</f>
        <v>Good</v>
      </c>
      <c r="AH824" t="str">
        <f>IF(OR(TEXT(N824,"dddd")="Saturday",TEXT(N824,"dddd")="Sunday"),"Weekend","Weekday")</f>
        <v>Weekend</v>
      </c>
    </row>
    <row r="825" spans="1:34" x14ac:dyDescent="0.3">
      <c r="A825">
        <v>837</v>
      </c>
      <c r="B825">
        <v>67</v>
      </c>
      <c r="C825" t="s">
        <v>35</v>
      </c>
      <c r="D825" t="s">
        <v>99</v>
      </c>
      <c r="E825" t="s">
        <v>100</v>
      </c>
      <c r="F825">
        <v>20000</v>
      </c>
      <c r="G825">
        <v>64</v>
      </c>
      <c r="H825" t="s">
        <v>24</v>
      </c>
      <c r="I825" t="s">
        <v>25</v>
      </c>
      <c r="J825">
        <v>3</v>
      </c>
      <c r="K825" t="s">
        <v>144</v>
      </c>
      <c r="L825" t="s">
        <v>1773</v>
      </c>
      <c r="M825" t="s">
        <v>1774</v>
      </c>
      <c r="N825" s="2">
        <v>46481</v>
      </c>
      <c r="O825" s="2">
        <v>46545</v>
      </c>
      <c r="P825" t="s">
        <v>29</v>
      </c>
      <c r="Q825" t="s">
        <v>139</v>
      </c>
      <c r="R825" t="s">
        <v>45</v>
      </c>
      <c r="S825" t="s">
        <v>77</v>
      </c>
      <c r="T825" t="s">
        <v>33</v>
      </c>
      <c r="U825" t="s">
        <v>104</v>
      </c>
      <c r="V825" t="str">
        <f>IF(B825&lt;=18,"Children",IF(B825&lt;=35,"Young adult",IF(B825&lt;=60,"Adult", "Senior Citizen")))</f>
        <v>Senior Citizen</v>
      </c>
      <c r="W825" t="str">
        <f t="shared" si="84"/>
        <v>Apr</v>
      </c>
      <c r="X825">
        <f t="shared" si="85"/>
        <v>4</v>
      </c>
      <c r="Y825" t="str">
        <f t="shared" si="86"/>
        <v>Q2</v>
      </c>
      <c r="Z825">
        <f t="shared" si="87"/>
        <v>2027</v>
      </c>
      <c r="AA825" t="str">
        <f t="shared" si="88"/>
        <v>Sunday</v>
      </c>
      <c r="AB825">
        <f t="shared" si="89"/>
        <v>-64</v>
      </c>
      <c r="AC825" t="str">
        <f>IF(OR(D825="Heart Disease",D825="Cancer",D825="Stroke"),"High",IF(OR(D825="Diabetes",D825="Asthma"),"Medium","Low"))</f>
        <v>Low</v>
      </c>
      <c r="AD825" t="str">
        <f t="shared" si="90"/>
        <v>No</v>
      </c>
      <c r="AE825" t="str">
        <f>IF(G825&lt;=2,"Short Stay", IF(G825&lt;=7,"Normal Stay", "Long Stay"))</f>
        <v>Long Stay</v>
      </c>
      <c r="AF825" t="str">
        <f>IF(F825&gt;60000,"Expensive",IF(F825&gt;30000,"Moderate","Affordable"))</f>
        <v>Affordable</v>
      </c>
      <c r="AG825" t="str">
        <f>IF(J825&gt;=4.5,"Excellent",IF(J825&gt;=3.5,"Good",IF(J825&gt;=2.5,"Average","Poor")))</f>
        <v>Average</v>
      </c>
      <c r="AH825" t="str">
        <f>IF(OR(TEXT(N825,"dddd")="Saturday",TEXT(N825,"dddd")="Sunday"),"Weekend","Weekday")</f>
        <v>Weekend</v>
      </c>
    </row>
    <row r="826" spans="1:34" x14ac:dyDescent="0.3">
      <c r="A826">
        <v>838</v>
      </c>
      <c r="B826">
        <v>35</v>
      </c>
      <c r="C826" t="s">
        <v>21</v>
      </c>
      <c r="D826" t="s">
        <v>105</v>
      </c>
      <c r="E826" t="s">
        <v>106</v>
      </c>
      <c r="F826">
        <v>12000</v>
      </c>
      <c r="G826">
        <v>58</v>
      </c>
      <c r="H826" t="s">
        <v>24</v>
      </c>
      <c r="I826" t="s">
        <v>25</v>
      </c>
      <c r="J826">
        <v>4</v>
      </c>
      <c r="K826" t="s">
        <v>101</v>
      </c>
      <c r="L826" t="s">
        <v>1775</v>
      </c>
      <c r="M826" t="s">
        <v>1776</v>
      </c>
      <c r="N826" s="2">
        <v>46482</v>
      </c>
      <c r="O826" s="2">
        <v>46540</v>
      </c>
      <c r="P826" t="s">
        <v>29</v>
      </c>
      <c r="Q826" t="s">
        <v>139</v>
      </c>
      <c r="R826" t="s">
        <v>45</v>
      </c>
      <c r="S826" t="s">
        <v>32</v>
      </c>
      <c r="T826" t="s">
        <v>33</v>
      </c>
      <c r="U826" t="s">
        <v>46</v>
      </c>
      <c r="V826" t="str">
        <f>IF(B826&lt;=18,"Children",IF(B826&lt;=35,"Young adult",IF(B826&lt;=60,"Adult", "Senior Citizen")))</f>
        <v>Young adult</v>
      </c>
      <c r="W826" t="str">
        <f t="shared" si="84"/>
        <v>Apr</v>
      </c>
      <c r="X826">
        <f t="shared" si="85"/>
        <v>4</v>
      </c>
      <c r="Y826" t="str">
        <f t="shared" si="86"/>
        <v>Q2</v>
      </c>
      <c r="Z826">
        <f t="shared" si="87"/>
        <v>2027</v>
      </c>
      <c r="AA826" t="str">
        <f t="shared" si="88"/>
        <v>Monday</v>
      </c>
      <c r="AB826">
        <f t="shared" si="89"/>
        <v>-58</v>
      </c>
      <c r="AC826" t="str">
        <f>IF(OR(D826="Heart Disease",D826="Cancer",D826="Stroke"),"High",IF(OR(D826="Diabetes",D826="Asthma"),"Medium","Low"))</f>
        <v>Low</v>
      </c>
      <c r="AD826" t="str">
        <f t="shared" si="90"/>
        <v>No</v>
      </c>
      <c r="AE826" t="str">
        <f>IF(G826&lt;=2,"Short Stay", IF(G826&lt;=7,"Normal Stay", "Long Stay"))</f>
        <v>Long Stay</v>
      </c>
      <c r="AF826" t="str">
        <f>IF(F826&gt;60000,"Expensive",IF(F826&gt;30000,"Moderate","Affordable"))</f>
        <v>Affordable</v>
      </c>
      <c r="AG826" t="str">
        <f>IF(J826&gt;=4.5,"Excellent",IF(J826&gt;=3.5,"Good",IF(J826&gt;=2.5,"Average","Poor")))</f>
        <v>Good</v>
      </c>
      <c r="AH826" t="str">
        <f>IF(OR(TEXT(N826,"dddd")="Saturday",TEXT(N826,"dddd")="Sunday"),"Weekend","Weekday")</f>
        <v>Weekday</v>
      </c>
    </row>
    <row r="827" spans="1:34" x14ac:dyDescent="0.3">
      <c r="A827">
        <v>839</v>
      </c>
      <c r="B827">
        <v>50</v>
      </c>
      <c r="C827" t="s">
        <v>35</v>
      </c>
      <c r="D827" t="s">
        <v>111</v>
      </c>
      <c r="E827" t="s">
        <v>112</v>
      </c>
      <c r="F827">
        <v>6000</v>
      </c>
      <c r="G827">
        <v>59</v>
      </c>
      <c r="H827" t="s">
        <v>24</v>
      </c>
      <c r="I827" t="s">
        <v>25</v>
      </c>
      <c r="J827">
        <v>3</v>
      </c>
      <c r="K827" t="s">
        <v>120</v>
      </c>
      <c r="L827" t="s">
        <v>1777</v>
      </c>
      <c r="M827" t="s">
        <v>1778</v>
      </c>
      <c r="N827" s="2">
        <v>46483</v>
      </c>
      <c r="O827" s="2">
        <v>46542</v>
      </c>
      <c r="P827" t="s">
        <v>29</v>
      </c>
      <c r="Q827" t="s">
        <v>52</v>
      </c>
      <c r="R827" t="s">
        <v>45</v>
      </c>
      <c r="S827" t="s">
        <v>77</v>
      </c>
      <c r="T827" t="s">
        <v>33</v>
      </c>
      <c r="U827" t="s">
        <v>104</v>
      </c>
      <c r="V827" t="str">
        <f>IF(B827&lt;=18,"Children",IF(B827&lt;=35,"Young adult",IF(B827&lt;=60,"Adult", "Senior Citizen")))</f>
        <v>Adult</v>
      </c>
      <c r="W827" t="str">
        <f t="shared" si="84"/>
        <v>Apr</v>
      </c>
      <c r="X827">
        <f t="shared" si="85"/>
        <v>4</v>
      </c>
      <c r="Y827" t="str">
        <f t="shared" si="86"/>
        <v>Q2</v>
      </c>
      <c r="Z827">
        <f t="shared" si="87"/>
        <v>2027</v>
      </c>
      <c r="AA827" t="str">
        <f t="shared" si="88"/>
        <v>Tuesday</v>
      </c>
      <c r="AB827">
        <f t="shared" si="89"/>
        <v>-59</v>
      </c>
      <c r="AC827" t="str">
        <f>IF(OR(D827="Heart Disease",D827="Cancer",D827="Stroke"),"High",IF(OR(D827="Diabetes",D827="Asthma"),"Medium","Low"))</f>
        <v>Low</v>
      </c>
      <c r="AD827" t="str">
        <f t="shared" si="90"/>
        <v>No</v>
      </c>
      <c r="AE827" t="str">
        <f>IF(G827&lt;=2,"Short Stay", IF(G827&lt;=7,"Normal Stay", "Long Stay"))</f>
        <v>Long Stay</v>
      </c>
      <c r="AF827" t="str">
        <f>IF(F827&gt;60000,"Expensive",IF(F827&gt;30000,"Moderate","Affordable"))</f>
        <v>Affordable</v>
      </c>
      <c r="AG827" t="str">
        <f>IF(J827&gt;=4.5,"Excellent",IF(J827&gt;=3.5,"Good",IF(J827&gt;=2.5,"Average","Poor")))</f>
        <v>Average</v>
      </c>
      <c r="AH827" t="str">
        <f>IF(OR(TEXT(N827,"dddd")="Saturday",TEXT(N827,"dddd")="Sunday"),"Weekend","Weekday")</f>
        <v>Weekday</v>
      </c>
    </row>
    <row r="828" spans="1:34" x14ac:dyDescent="0.3">
      <c r="A828">
        <v>840</v>
      </c>
      <c r="B828">
        <v>60</v>
      </c>
      <c r="C828" t="s">
        <v>21</v>
      </c>
      <c r="D828" t="s">
        <v>116</v>
      </c>
      <c r="E828" t="s">
        <v>117</v>
      </c>
      <c r="F828">
        <v>4000</v>
      </c>
      <c r="G828">
        <v>60</v>
      </c>
      <c r="H828" t="s">
        <v>24</v>
      </c>
      <c r="I828" t="s">
        <v>39</v>
      </c>
      <c r="J828">
        <v>4</v>
      </c>
      <c r="K828" t="s">
        <v>91</v>
      </c>
      <c r="L828" t="s">
        <v>1779</v>
      </c>
      <c r="M828" t="s">
        <v>1780</v>
      </c>
      <c r="N828" s="2">
        <v>46484</v>
      </c>
      <c r="O828" s="2">
        <v>46544</v>
      </c>
      <c r="P828" t="s">
        <v>29</v>
      </c>
      <c r="Q828" t="s">
        <v>71</v>
      </c>
      <c r="R828" t="s">
        <v>45</v>
      </c>
      <c r="S828" t="s">
        <v>53</v>
      </c>
      <c r="T828" t="s">
        <v>33</v>
      </c>
      <c r="U828" t="s">
        <v>34</v>
      </c>
      <c r="V828" t="str">
        <f>IF(B828&lt;=18,"Children",IF(B828&lt;=35,"Young adult",IF(B828&lt;=60,"Adult", "Senior Citizen")))</f>
        <v>Adult</v>
      </c>
      <c r="W828" t="str">
        <f t="shared" si="84"/>
        <v>Apr</v>
      </c>
      <c r="X828">
        <f t="shared" si="85"/>
        <v>4</v>
      </c>
      <c r="Y828" t="str">
        <f t="shared" si="86"/>
        <v>Q2</v>
      </c>
      <c r="Z828">
        <f t="shared" si="87"/>
        <v>2027</v>
      </c>
      <c r="AA828" t="str">
        <f t="shared" si="88"/>
        <v>Wednesday</v>
      </c>
      <c r="AB828">
        <f t="shared" si="89"/>
        <v>-60</v>
      </c>
      <c r="AC828" t="str">
        <f>IF(OR(D828="Heart Disease",D828="Cancer",D828="Stroke"),"High",IF(OR(D828="Diabetes",D828="Asthma"),"Medium","Low"))</f>
        <v>Low</v>
      </c>
      <c r="AD828" t="str">
        <f t="shared" si="90"/>
        <v>No</v>
      </c>
      <c r="AE828" t="str">
        <f>IF(G828&lt;=2,"Short Stay", IF(G828&lt;=7,"Normal Stay", "Long Stay"))</f>
        <v>Long Stay</v>
      </c>
      <c r="AF828" t="str">
        <f>IF(F828&gt;60000,"Expensive",IF(F828&gt;30000,"Moderate","Affordable"))</f>
        <v>Affordable</v>
      </c>
      <c r="AG828" t="str">
        <f>IF(J828&gt;=4.5,"Excellent",IF(J828&gt;=3.5,"Good",IF(J828&gt;=2.5,"Average","Poor")))</f>
        <v>Good</v>
      </c>
      <c r="AH828" t="str">
        <f>IF(OR(TEXT(N828,"dddd")="Saturday",TEXT(N828,"dddd")="Sunday"),"Weekend","Weekday")</f>
        <v>Weekday</v>
      </c>
    </row>
    <row r="829" spans="1:34" x14ac:dyDescent="0.3">
      <c r="A829">
        <v>841</v>
      </c>
      <c r="B829">
        <v>48</v>
      </c>
      <c r="C829" t="s">
        <v>21</v>
      </c>
      <c r="D829" t="s">
        <v>22</v>
      </c>
      <c r="E829" t="s">
        <v>23</v>
      </c>
      <c r="F829">
        <v>15000</v>
      </c>
      <c r="G829">
        <v>61</v>
      </c>
      <c r="H829" t="s">
        <v>38</v>
      </c>
      <c r="I829" t="s">
        <v>25</v>
      </c>
      <c r="J829">
        <v>4</v>
      </c>
      <c r="K829" t="s">
        <v>336</v>
      </c>
      <c r="L829" t="s">
        <v>1781</v>
      </c>
      <c r="M829" t="s">
        <v>1782</v>
      </c>
      <c r="N829" s="2">
        <v>46485</v>
      </c>
      <c r="O829" s="2">
        <v>46546</v>
      </c>
      <c r="P829" t="s">
        <v>29</v>
      </c>
      <c r="Q829" t="s">
        <v>30</v>
      </c>
      <c r="R829" t="s">
        <v>31</v>
      </c>
      <c r="S829" t="s">
        <v>84</v>
      </c>
      <c r="T829" t="s">
        <v>33</v>
      </c>
      <c r="U829" t="s">
        <v>46</v>
      </c>
      <c r="V829" t="str">
        <f>IF(B829&lt;=18,"Children",IF(B829&lt;=35,"Young adult",IF(B829&lt;=60,"Adult", "Senior Citizen")))</f>
        <v>Adult</v>
      </c>
      <c r="W829" t="str">
        <f t="shared" si="84"/>
        <v>Apr</v>
      </c>
      <c r="X829">
        <f t="shared" si="85"/>
        <v>4</v>
      </c>
      <c r="Y829" t="str">
        <f t="shared" si="86"/>
        <v>Q2</v>
      </c>
      <c r="Z829">
        <f t="shared" si="87"/>
        <v>2027</v>
      </c>
      <c r="AA829" t="str">
        <f t="shared" si="88"/>
        <v>Thursday</v>
      </c>
      <c r="AB829">
        <f t="shared" si="89"/>
        <v>-61</v>
      </c>
      <c r="AC829" t="str">
        <f>IF(OR(D829="Heart Disease",D829="Cancer",D829="Stroke"),"High",IF(OR(D829="Diabetes",D829="Asthma"),"Medium","Low"))</f>
        <v>High</v>
      </c>
      <c r="AD829" t="str">
        <f t="shared" si="90"/>
        <v>Yes</v>
      </c>
      <c r="AE829" t="str">
        <f>IF(G829&lt;=2,"Short Stay", IF(G829&lt;=7,"Normal Stay", "Long Stay"))</f>
        <v>Long Stay</v>
      </c>
      <c r="AF829" t="str">
        <f>IF(F829&gt;60000,"Expensive",IF(F829&gt;30000,"Moderate","Affordable"))</f>
        <v>Affordable</v>
      </c>
      <c r="AG829" t="str">
        <f>IF(J829&gt;=4.5,"Excellent",IF(J829&gt;=3.5,"Good",IF(J829&gt;=2.5,"Average","Poor")))</f>
        <v>Good</v>
      </c>
      <c r="AH829" t="str">
        <f>IF(OR(TEXT(N829,"dddd")="Saturday",TEXT(N829,"dddd")="Sunday"),"Weekend","Weekday")</f>
        <v>Weekday</v>
      </c>
    </row>
    <row r="830" spans="1:34" x14ac:dyDescent="0.3">
      <c r="A830">
        <v>842</v>
      </c>
      <c r="B830">
        <v>65</v>
      </c>
      <c r="C830" t="s">
        <v>35</v>
      </c>
      <c r="D830" t="s">
        <v>36</v>
      </c>
      <c r="E830" t="s">
        <v>37</v>
      </c>
      <c r="F830">
        <v>2000</v>
      </c>
      <c r="G830">
        <v>59</v>
      </c>
      <c r="H830" t="s">
        <v>24</v>
      </c>
      <c r="I830" t="s">
        <v>39</v>
      </c>
      <c r="J830">
        <v>3</v>
      </c>
      <c r="K830" t="s">
        <v>157</v>
      </c>
      <c r="L830" t="s">
        <v>1783</v>
      </c>
      <c r="M830" t="s">
        <v>1784</v>
      </c>
      <c r="N830" s="2">
        <v>46486</v>
      </c>
      <c r="O830" s="2">
        <v>46545</v>
      </c>
      <c r="P830" t="s">
        <v>29</v>
      </c>
      <c r="Q830" t="s">
        <v>139</v>
      </c>
      <c r="R830" t="s">
        <v>45</v>
      </c>
      <c r="S830" t="s">
        <v>53</v>
      </c>
      <c r="T830" t="s">
        <v>33</v>
      </c>
      <c r="U830" t="s">
        <v>46</v>
      </c>
      <c r="V830" t="str">
        <f>IF(B830&lt;=18,"Children",IF(B830&lt;=35,"Young adult",IF(B830&lt;=60,"Adult", "Senior Citizen")))</f>
        <v>Senior Citizen</v>
      </c>
      <c r="W830" t="str">
        <f t="shared" si="84"/>
        <v>Apr</v>
      </c>
      <c r="X830">
        <f t="shared" si="85"/>
        <v>4</v>
      </c>
      <c r="Y830" t="str">
        <f t="shared" si="86"/>
        <v>Q2</v>
      </c>
      <c r="Z830">
        <f t="shared" si="87"/>
        <v>2027</v>
      </c>
      <c r="AA830" t="str">
        <f t="shared" si="88"/>
        <v>Friday</v>
      </c>
      <c r="AB830">
        <f t="shared" si="89"/>
        <v>-59</v>
      </c>
      <c r="AC830" t="str">
        <f>IF(OR(D830="Heart Disease",D830="Cancer",D830="Stroke"),"High",IF(OR(D830="Diabetes",D830="Asthma"),"Medium","Low"))</f>
        <v>Medium</v>
      </c>
      <c r="AD830" t="str">
        <f t="shared" si="90"/>
        <v>No</v>
      </c>
      <c r="AE830" t="str">
        <f>IF(G830&lt;=2,"Short Stay", IF(G830&lt;=7,"Normal Stay", "Long Stay"))</f>
        <v>Long Stay</v>
      </c>
      <c r="AF830" t="str">
        <f>IF(F830&gt;60000,"Expensive",IF(F830&gt;30000,"Moderate","Affordable"))</f>
        <v>Affordable</v>
      </c>
      <c r="AG830" t="str">
        <f>IF(J830&gt;=4.5,"Excellent",IF(J830&gt;=3.5,"Good",IF(J830&gt;=2.5,"Average","Poor")))</f>
        <v>Average</v>
      </c>
      <c r="AH830" t="str">
        <f>IF(OR(TEXT(N830,"dddd")="Saturday",TEXT(N830,"dddd")="Sunday"),"Weekend","Weekday")</f>
        <v>Weekday</v>
      </c>
    </row>
    <row r="831" spans="1:34" x14ac:dyDescent="0.3">
      <c r="A831">
        <v>843</v>
      </c>
      <c r="B831">
        <v>30</v>
      </c>
      <c r="C831" t="s">
        <v>21</v>
      </c>
      <c r="D831" t="s">
        <v>47</v>
      </c>
      <c r="E831" t="s">
        <v>48</v>
      </c>
      <c r="F831">
        <v>500</v>
      </c>
      <c r="G831">
        <v>57</v>
      </c>
      <c r="H831" t="s">
        <v>24</v>
      </c>
      <c r="I831" t="s">
        <v>25</v>
      </c>
      <c r="J831">
        <v>5</v>
      </c>
      <c r="K831" t="s">
        <v>172</v>
      </c>
      <c r="L831" t="s">
        <v>1785</v>
      </c>
      <c r="M831" t="s">
        <v>1786</v>
      </c>
      <c r="N831" s="2">
        <v>46487</v>
      </c>
      <c r="O831" s="2">
        <v>46544</v>
      </c>
      <c r="P831" t="s">
        <v>43</v>
      </c>
      <c r="Q831" t="s">
        <v>52</v>
      </c>
      <c r="R831" t="s">
        <v>45</v>
      </c>
      <c r="S831" t="s">
        <v>77</v>
      </c>
      <c r="T831" t="s">
        <v>33</v>
      </c>
      <c r="U831" t="s">
        <v>46</v>
      </c>
      <c r="V831" t="str">
        <f>IF(B831&lt;=18,"Children",IF(B831&lt;=35,"Young adult",IF(B831&lt;=60,"Adult", "Senior Citizen")))</f>
        <v>Young adult</v>
      </c>
      <c r="W831" t="str">
        <f t="shared" si="84"/>
        <v>Apr</v>
      </c>
      <c r="X831">
        <f t="shared" si="85"/>
        <v>4</v>
      </c>
      <c r="Y831" t="str">
        <f t="shared" si="86"/>
        <v>Q2</v>
      </c>
      <c r="Z831">
        <f t="shared" si="87"/>
        <v>2027</v>
      </c>
      <c r="AA831" t="str">
        <f t="shared" si="88"/>
        <v>Saturday</v>
      </c>
      <c r="AB831">
        <f t="shared" si="89"/>
        <v>-57</v>
      </c>
      <c r="AC831" t="str">
        <f>IF(OR(D831="Heart Disease",D831="Cancer",D831="Stroke"),"High",IF(OR(D831="Diabetes",D831="Asthma"),"Medium","Low"))</f>
        <v>Low</v>
      </c>
      <c r="AD831" t="str">
        <f t="shared" si="90"/>
        <v>No</v>
      </c>
      <c r="AE831" t="str">
        <f>IF(G831&lt;=2,"Short Stay", IF(G831&lt;=7,"Normal Stay", "Long Stay"))</f>
        <v>Long Stay</v>
      </c>
      <c r="AF831" t="str">
        <f>IF(F831&gt;60000,"Expensive",IF(F831&gt;30000,"Moderate","Affordable"))</f>
        <v>Affordable</v>
      </c>
      <c r="AG831" t="str">
        <f>IF(J831&gt;=4.5,"Excellent",IF(J831&gt;=3.5,"Good",IF(J831&gt;=2.5,"Average","Poor")))</f>
        <v>Excellent</v>
      </c>
      <c r="AH831" t="str">
        <f>IF(OR(TEXT(N831,"dddd")="Saturday",TEXT(N831,"dddd")="Sunday"),"Weekend","Weekday")</f>
        <v>Weekend</v>
      </c>
    </row>
    <row r="832" spans="1:34" x14ac:dyDescent="0.3">
      <c r="A832">
        <v>844</v>
      </c>
      <c r="B832">
        <v>70</v>
      </c>
      <c r="C832" t="s">
        <v>35</v>
      </c>
      <c r="D832" t="s">
        <v>54</v>
      </c>
      <c r="E832" t="s">
        <v>55</v>
      </c>
      <c r="F832">
        <v>10000</v>
      </c>
      <c r="G832">
        <v>64</v>
      </c>
      <c r="H832" t="s">
        <v>38</v>
      </c>
      <c r="I832" t="s">
        <v>39</v>
      </c>
      <c r="J832">
        <v>2</v>
      </c>
      <c r="K832" t="s">
        <v>294</v>
      </c>
      <c r="L832" t="s">
        <v>1787</v>
      </c>
      <c r="M832" t="s">
        <v>1788</v>
      </c>
      <c r="N832" s="2">
        <v>46488</v>
      </c>
      <c r="O832" s="2">
        <v>46552</v>
      </c>
      <c r="P832" t="s">
        <v>43</v>
      </c>
      <c r="Q832" t="s">
        <v>44</v>
      </c>
      <c r="R832" t="s">
        <v>59</v>
      </c>
      <c r="S832" t="s">
        <v>53</v>
      </c>
      <c r="T832" t="s">
        <v>33</v>
      </c>
      <c r="U832" t="s">
        <v>104</v>
      </c>
      <c r="V832" t="str">
        <f>IF(B832&lt;=18,"Children",IF(B832&lt;=35,"Young adult",IF(B832&lt;=60,"Adult", "Senior Citizen")))</f>
        <v>Senior Citizen</v>
      </c>
      <c r="W832" t="str">
        <f t="shared" si="84"/>
        <v>Apr</v>
      </c>
      <c r="X832">
        <f t="shared" si="85"/>
        <v>4</v>
      </c>
      <c r="Y832" t="str">
        <f t="shared" si="86"/>
        <v>Q2</v>
      </c>
      <c r="Z832">
        <f t="shared" si="87"/>
        <v>2027</v>
      </c>
      <c r="AA832" t="str">
        <f t="shared" si="88"/>
        <v>Sunday</v>
      </c>
      <c r="AB832">
        <f t="shared" si="89"/>
        <v>-64</v>
      </c>
      <c r="AC832" t="str">
        <f>IF(OR(D832="Heart Disease",D832="Cancer",D832="Stroke"),"High",IF(OR(D832="Diabetes",D832="Asthma"),"Medium","Low"))</f>
        <v>High</v>
      </c>
      <c r="AD832" t="str">
        <f t="shared" si="90"/>
        <v>Yes</v>
      </c>
      <c r="AE832" t="str">
        <f>IF(G832&lt;=2,"Short Stay", IF(G832&lt;=7,"Normal Stay", "Long Stay"))</f>
        <v>Long Stay</v>
      </c>
      <c r="AF832" t="str">
        <f>IF(F832&gt;60000,"Expensive",IF(F832&gt;30000,"Moderate","Affordable"))</f>
        <v>Affordable</v>
      </c>
      <c r="AG832" t="str">
        <f>IF(J832&gt;=4.5,"Excellent",IF(J832&gt;=3.5,"Good",IF(J832&gt;=2.5,"Average","Poor")))</f>
        <v>Poor</v>
      </c>
      <c r="AH832" t="str">
        <f>IF(OR(TEXT(N832,"dddd")="Saturday",TEXT(N832,"dddd")="Sunday"),"Weekend","Weekday")</f>
        <v>Weekend</v>
      </c>
    </row>
    <row r="833" spans="1:34" x14ac:dyDescent="0.3">
      <c r="A833">
        <v>846</v>
      </c>
      <c r="B833">
        <v>68</v>
      </c>
      <c r="C833" t="s">
        <v>35</v>
      </c>
      <c r="D833" t="s">
        <v>66</v>
      </c>
      <c r="E833" t="s">
        <v>67</v>
      </c>
      <c r="F833">
        <v>1000</v>
      </c>
      <c r="G833">
        <v>60</v>
      </c>
      <c r="H833" t="s">
        <v>24</v>
      </c>
      <c r="I833" t="s">
        <v>39</v>
      </c>
      <c r="J833">
        <v>4</v>
      </c>
      <c r="K833" t="s">
        <v>294</v>
      </c>
      <c r="L833" t="s">
        <v>1789</v>
      </c>
      <c r="M833" t="s">
        <v>1790</v>
      </c>
      <c r="N833" s="2">
        <v>46489</v>
      </c>
      <c r="O833" s="2">
        <v>46549</v>
      </c>
      <c r="P833" t="s">
        <v>29</v>
      </c>
      <c r="Q833" t="s">
        <v>30</v>
      </c>
      <c r="R833" t="s">
        <v>45</v>
      </c>
      <c r="S833" t="s">
        <v>84</v>
      </c>
      <c r="T833" t="s">
        <v>33</v>
      </c>
      <c r="U833" t="s">
        <v>34</v>
      </c>
      <c r="V833" t="str">
        <f>IF(B833&lt;=18,"Children",IF(B833&lt;=35,"Young adult",IF(B833&lt;=60,"Adult", "Senior Citizen")))</f>
        <v>Senior Citizen</v>
      </c>
      <c r="W833" t="str">
        <f t="shared" si="84"/>
        <v>Apr</v>
      </c>
      <c r="X833">
        <f t="shared" si="85"/>
        <v>4</v>
      </c>
      <c r="Y833" t="str">
        <f t="shared" si="86"/>
        <v>Q2</v>
      </c>
      <c r="Z833">
        <f t="shared" si="87"/>
        <v>2027</v>
      </c>
      <c r="AA833" t="str">
        <f t="shared" si="88"/>
        <v>Monday</v>
      </c>
      <c r="AB833">
        <f t="shared" si="89"/>
        <v>-60</v>
      </c>
      <c r="AC833" t="str">
        <f>IF(OR(D833="Heart Disease",D833="Cancer",D833="Stroke"),"High",IF(OR(D833="Diabetes",D833="Asthma"),"Medium","Low"))</f>
        <v>Low</v>
      </c>
      <c r="AD833" t="str">
        <f t="shared" si="90"/>
        <v>No</v>
      </c>
      <c r="AE833" t="str">
        <f>IF(G833&lt;=2,"Short Stay", IF(G833&lt;=7,"Normal Stay", "Long Stay"))</f>
        <v>Long Stay</v>
      </c>
      <c r="AF833" t="str">
        <f>IF(F833&gt;60000,"Expensive",IF(F833&gt;30000,"Moderate","Affordable"))</f>
        <v>Affordable</v>
      </c>
      <c r="AG833" t="str">
        <f>IF(J833&gt;=4.5,"Excellent",IF(J833&gt;=3.5,"Good",IF(J833&gt;=2.5,"Average","Poor")))</f>
        <v>Good</v>
      </c>
      <c r="AH833" t="str">
        <f>IF(OR(TEXT(N833,"dddd")="Saturday",TEXT(N833,"dddd")="Sunday"),"Weekend","Weekday")</f>
        <v>Weekday</v>
      </c>
    </row>
    <row r="834" spans="1:34" x14ac:dyDescent="0.3">
      <c r="A834">
        <v>847</v>
      </c>
      <c r="B834">
        <v>45</v>
      </c>
      <c r="C834" t="s">
        <v>21</v>
      </c>
      <c r="D834" t="s">
        <v>73</v>
      </c>
      <c r="E834" t="s">
        <v>74</v>
      </c>
      <c r="F834">
        <v>8000</v>
      </c>
      <c r="G834">
        <v>62</v>
      </c>
      <c r="H834" t="s">
        <v>24</v>
      </c>
      <c r="I834" t="s">
        <v>25</v>
      </c>
      <c r="J834">
        <v>3</v>
      </c>
      <c r="K834" t="s">
        <v>345</v>
      </c>
      <c r="L834" t="s">
        <v>1791</v>
      </c>
      <c r="M834" t="s">
        <v>1792</v>
      </c>
      <c r="N834" s="2">
        <v>46490</v>
      </c>
      <c r="O834" s="2">
        <v>46552</v>
      </c>
      <c r="P834" t="s">
        <v>43</v>
      </c>
      <c r="Q834" t="s">
        <v>52</v>
      </c>
      <c r="R834" t="s">
        <v>45</v>
      </c>
      <c r="S834" t="s">
        <v>110</v>
      </c>
      <c r="T834" t="s">
        <v>33</v>
      </c>
      <c r="U834" t="s">
        <v>78</v>
      </c>
      <c r="V834" t="str">
        <f>IF(B834&lt;=18,"Children",IF(B834&lt;=35,"Young adult",IF(B834&lt;=60,"Adult", "Senior Citizen")))</f>
        <v>Adult</v>
      </c>
      <c r="W834" t="str">
        <f t="shared" si="84"/>
        <v>Apr</v>
      </c>
      <c r="X834">
        <f t="shared" si="85"/>
        <v>4</v>
      </c>
      <c r="Y834" t="str">
        <f t="shared" si="86"/>
        <v>Q2</v>
      </c>
      <c r="Z834">
        <f t="shared" si="87"/>
        <v>2027</v>
      </c>
      <c r="AA834" t="str">
        <f t="shared" si="88"/>
        <v>Tuesday</v>
      </c>
      <c r="AB834">
        <f t="shared" si="89"/>
        <v>-62</v>
      </c>
      <c r="AC834" t="str">
        <f>IF(OR(D834="Heart Disease",D834="Cancer",D834="Stroke"),"High",IF(OR(D834="Diabetes",D834="Asthma"),"Medium","Low"))</f>
        <v>Low</v>
      </c>
      <c r="AD834" t="str">
        <f t="shared" si="90"/>
        <v>No</v>
      </c>
      <c r="AE834" t="str">
        <f>IF(G834&lt;=2,"Short Stay", IF(G834&lt;=7,"Normal Stay", "Long Stay"))</f>
        <v>Long Stay</v>
      </c>
      <c r="AF834" t="str">
        <f>IF(F834&gt;60000,"Expensive",IF(F834&gt;30000,"Moderate","Affordable"))</f>
        <v>Affordable</v>
      </c>
      <c r="AG834" t="str">
        <f>IF(J834&gt;=4.5,"Excellent",IF(J834&gt;=3.5,"Good",IF(J834&gt;=2.5,"Average","Poor")))</f>
        <v>Average</v>
      </c>
      <c r="AH834" t="str">
        <f>IF(OR(TEXT(N834,"dddd")="Saturday",TEXT(N834,"dddd")="Sunday"),"Weekend","Weekday")</f>
        <v>Weekday</v>
      </c>
    </row>
    <row r="835" spans="1:34" x14ac:dyDescent="0.3">
      <c r="A835">
        <v>848</v>
      </c>
      <c r="B835">
        <v>40</v>
      </c>
      <c r="C835" t="s">
        <v>35</v>
      </c>
      <c r="D835" t="s">
        <v>79</v>
      </c>
      <c r="E835" t="s">
        <v>80</v>
      </c>
      <c r="F835">
        <v>3000</v>
      </c>
      <c r="G835">
        <v>62</v>
      </c>
      <c r="H835" t="s">
        <v>24</v>
      </c>
      <c r="I835" t="s">
        <v>25</v>
      </c>
      <c r="J835">
        <v>4</v>
      </c>
      <c r="K835" t="s">
        <v>172</v>
      </c>
      <c r="L835" t="s">
        <v>1793</v>
      </c>
      <c r="M835" t="s">
        <v>1794</v>
      </c>
      <c r="N835" s="2">
        <v>46491</v>
      </c>
      <c r="O835" s="2">
        <v>46553</v>
      </c>
      <c r="P835" t="s">
        <v>43</v>
      </c>
      <c r="Q835" t="s">
        <v>30</v>
      </c>
      <c r="R835" t="s">
        <v>45</v>
      </c>
      <c r="S835" t="s">
        <v>84</v>
      </c>
      <c r="T835" t="s">
        <v>33</v>
      </c>
      <c r="U835" t="s">
        <v>34</v>
      </c>
      <c r="V835" t="str">
        <f>IF(B835&lt;=18,"Children",IF(B835&lt;=35,"Young adult",IF(B835&lt;=60,"Adult", "Senior Citizen")))</f>
        <v>Adult</v>
      </c>
      <c r="W835" t="str">
        <f t="shared" ref="W835:W898" si="91">TEXT(N835,"MMM")</f>
        <v>Apr</v>
      </c>
      <c r="X835">
        <f t="shared" ref="X835:X898" si="92">MONTH(N835)</f>
        <v>4</v>
      </c>
      <c r="Y835" t="str">
        <f t="shared" ref="Y835:Y898" si="93">"Q"&amp;ROUNDUP(MONTH(N835)/3,0)</f>
        <v>Q2</v>
      </c>
      <c r="Z835">
        <f t="shared" ref="Z835:Z898" si="94">YEAR(N835)</f>
        <v>2027</v>
      </c>
      <c r="AA835" t="str">
        <f t="shared" ref="AA835:AA898" si="95">TEXT(N835, "dddd")</f>
        <v>Wednesday</v>
      </c>
      <c r="AB835">
        <f t="shared" ref="AB835:AB898" si="96">N835-O835</f>
        <v>-62</v>
      </c>
      <c r="AC835" t="str">
        <f>IF(OR(D835="Heart Disease",D835="Cancer",D835="Stroke"),"High",IF(OR(D835="Diabetes",D835="Asthma"),"Medium","Low"))</f>
        <v>Low</v>
      </c>
      <c r="AD835" t="str">
        <f t="shared" ref="AD835:AD898" si="97">IF(AC835="High","Yes","No")</f>
        <v>No</v>
      </c>
      <c r="AE835" t="str">
        <f>IF(G835&lt;=2,"Short Stay", IF(G835&lt;=7,"Normal Stay", "Long Stay"))</f>
        <v>Long Stay</v>
      </c>
      <c r="AF835" t="str">
        <f>IF(F835&gt;60000,"Expensive",IF(F835&gt;30000,"Moderate","Affordable"))</f>
        <v>Affordable</v>
      </c>
      <c r="AG835" t="str">
        <f>IF(J835&gt;=4.5,"Excellent",IF(J835&gt;=3.5,"Good",IF(J835&gt;=2.5,"Average","Poor")))</f>
        <v>Good</v>
      </c>
      <c r="AH835" t="str">
        <f>IF(OR(TEXT(N835,"dddd")="Saturday",TEXT(N835,"dddd")="Sunday"),"Weekend","Weekday")</f>
        <v>Weekday</v>
      </c>
    </row>
    <row r="836" spans="1:34" x14ac:dyDescent="0.3">
      <c r="A836">
        <v>849</v>
      </c>
      <c r="B836">
        <v>78</v>
      </c>
      <c r="C836" t="s">
        <v>21</v>
      </c>
      <c r="D836" t="s">
        <v>85</v>
      </c>
      <c r="E836" t="s">
        <v>86</v>
      </c>
      <c r="F836">
        <v>18000</v>
      </c>
      <c r="G836">
        <v>64</v>
      </c>
      <c r="H836" t="s">
        <v>38</v>
      </c>
      <c r="I836" t="s">
        <v>39</v>
      </c>
      <c r="J836">
        <v>2</v>
      </c>
      <c r="K836" t="s">
        <v>101</v>
      </c>
      <c r="L836" t="s">
        <v>1795</v>
      </c>
      <c r="M836" t="s">
        <v>1796</v>
      </c>
      <c r="N836" s="2">
        <v>46492</v>
      </c>
      <c r="O836" s="2">
        <v>46556</v>
      </c>
      <c r="P836" t="s">
        <v>29</v>
      </c>
      <c r="Q836" t="s">
        <v>52</v>
      </c>
      <c r="R836" t="s">
        <v>45</v>
      </c>
      <c r="S836" t="s">
        <v>32</v>
      </c>
      <c r="T836" t="s">
        <v>33</v>
      </c>
      <c r="U836" t="s">
        <v>46</v>
      </c>
      <c r="V836" t="str">
        <f>IF(B836&lt;=18,"Children",IF(B836&lt;=35,"Young adult",IF(B836&lt;=60,"Adult", "Senior Citizen")))</f>
        <v>Senior Citizen</v>
      </c>
      <c r="W836" t="str">
        <f t="shared" si="91"/>
        <v>Apr</v>
      </c>
      <c r="X836">
        <f t="shared" si="92"/>
        <v>4</v>
      </c>
      <c r="Y836" t="str">
        <f t="shared" si="93"/>
        <v>Q2</v>
      </c>
      <c r="Z836">
        <f t="shared" si="94"/>
        <v>2027</v>
      </c>
      <c r="AA836" t="str">
        <f t="shared" si="95"/>
        <v>Thursday</v>
      </c>
      <c r="AB836">
        <f t="shared" si="96"/>
        <v>-64</v>
      </c>
      <c r="AC836" t="str">
        <f>IF(OR(D836="Heart Disease",D836="Cancer",D836="Stroke"),"High",IF(OR(D836="Diabetes",D836="Asthma"),"Medium","Low"))</f>
        <v>Low</v>
      </c>
      <c r="AD836" t="str">
        <f t="shared" si="97"/>
        <v>No</v>
      </c>
      <c r="AE836" t="str">
        <f>IF(G836&lt;=2,"Short Stay", IF(G836&lt;=7,"Normal Stay", "Long Stay"))</f>
        <v>Long Stay</v>
      </c>
      <c r="AF836" t="str">
        <f>IF(F836&gt;60000,"Expensive",IF(F836&gt;30000,"Moderate","Affordable"))</f>
        <v>Affordable</v>
      </c>
      <c r="AG836" t="str">
        <f>IF(J836&gt;=4.5,"Excellent",IF(J836&gt;=3.5,"Good",IF(J836&gt;=2.5,"Average","Poor")))</f>
        <v>Poor</v>
      </c>
      <c r="AH836" t="str">
        <f>IF(OR(TEXT(N836,"dddd")="Saturday",TEXT(N836,"dddd")="Sunday"),"Weekend","Weekday")</f>
        <v>Weekday</v>
      </c>
    </row>
    <row r="837" spans="1:34" x14ac:dyDescent="0.3">
      <c r="A837">
        <v>850</v>
      </c>
      <c r="B837">
        <v>25</v>
      </c>
      <c r="C837" t="s">
        <v>35</v>
      </c>
      <c r="D837" t="s">
        <v>89</v>
      </c>
      <c r="E837" t="s">
        <v>90</v>
      </c>
      <c r="F837">
        <v>100</v>
      </c>
      <c r="G837">
        <v>57</v>
      </c>
      <c r="H837" t="s">
        <v>24</v>
      </c>
      <c r="I837" t="s">
        <v>25</v>
      </c>
      <c r="J837">
        <v>5</v>
      </c>
      <c r="K837" t="s">
        <v>49</v>
      </c>
      <c r="L837" t="s">
        <v>1797</v>
      </c>
      <c r="M837" t="s">
        <v>1798</v>
      </c>
      <c r="N837" s="2">
        <v>46493</v>
      </c>
      <c r="O837" s="2">
        <v>46550</v>
      </c>
      <c r="P837" t="s">
        <v>43</v>
      </c>
      <c r="Q837" t="s">
        <v>30</v>
      </c>
      <c r="R837" t="s">
        <v>45</v>
      </c>
      <c r="S837" t="s">
        <v>53</v>
      </c>
      <c r="T837" t="s">
        <v>33</v>
      </c>
      <c r="U837" t="s">
        <v>78</v>
      </c>
      <c r="V837" t="str">
        <f>IF(B837&lt;=18,"Children",IF(B837&lt;=35,"Young adult",IF(B837&lt;=60,"Adult", "Senior Citizen")))</f>
        <v>Young adult</v>
      </c>
      <c r="W837" t="str">
        <f t="shared" si="91"/>
        <v>Apr</v>
      </c>
      <c r="X837">
        <f t="shared" si="92"/>
        <v>4</v>
      </c>
      <c r="Y837" t="str">
        <f t="shared" si="93"/>
        <v>Q2</v>
      </c>
      <c r="Z837">
        <f t="shared" si="94"/>
        <v>2027</v>
      </c>
      <c r="AA837" t="str">
        <f t="shared" si="95"/>
        <v>Friday</v>
      </c>
      <c r="AB837">
        <f t="shared" si="96"/>
        <v>-57</v>
      </c>
      <c r="AC837" t="str">
        <f>IF(OR(D837="Heart Disease",D837="Cancer",D837="Stroke"),"High",IF(OR(D837="Diabetes",D837="Asthma"),"Medium","Low"))</f>
        <v>Low</v>
      </c>
      <c r="AD837" t="str">
        <f t="shared" si="97"/>
        <v>No</v>
      </c>
      <c r="AE837" t="str">
        <f>IF(G837&lt;=2,"Short Stay", IF(G837&lt;=7,"Normal Stay", "Long Stay"))</f>
        <v>Long Stay</v>
      </c>
      <c r="AF837" t="str">
        <f>IF(F837&gt;60000,"Expensive",IF(F837&gt;30000,"Moderate","Affordable"))</f>
        <v>Affordable</v>
      </c>
      <c r="AG837" t="str">
        <f>IF(J837&gt;=4.5,"Excellent",IF(J837&gt;=3.5,"Good",IF(J837&gt;=2.5,"Average","Poor")))</f>
        <v>Excellent</v>
      </c>
      <c r="AH837" t="str">
        <f>IF(OR(TEXT(N837,"dddd")="Saturday",TEXT(N837,"dddd")="Sunday"),"Weekend","Weekday")</f>
        <v>Weekday</v>
      </c>
    </row>
    <row r="838" spans="1:34" x14ac:dyDescent="0.3">
      <c r="A838">
        <v>851</v>
      </c>
      <c r="B838">
        <v>52</v>
      </c>
      <c r="C838" t="s">
        <v>21</v>
      </c>
      <c r="D838" t="s">
        <v>94</v>
      </c>
      <c r="E838" t="s">
        <v>95</v>
      </c>
      <c r="F838">
        <v>800</v>
      </c>
      <c r="G838">
        <v>58</v>
      </c>
      <c r="H838" t="s">
        <v>24</v>
      </c>
      <c r="I838" t="s">
        <v>39</v>
      </c>
      <c r="J838">
        <v>4</v>
      </c>
      <c r="K838" t="s">
        <v>101</v>
      </c>
      <c r="L838" t="s">
        <v>1799</v>
      </c>
      <c r="M838" t="s">
        <v>1800</v>
      </c>
      <c r="N838" s="2">
        <v>46494</v>
      </c>
      <c r="O838" s="2">
        <v>46552</v>
      </c>
      <c r="P838" t="s">
        <v>43</v>
      </c>
      <c r="Q838" t="s">
        <v>44</v>
      </c>
      <c r="R838" t="s">
        <v>45</v>
      </c>
      <c r="S838" t="s">
        <v>84</v>
      </c>
      <c r="T838" t="s">
        <v>33</v>
      </c>
      <c r="U838" t="s">
        <v>34</v>
      </c>
      <c r="V838" t="str">
        <f>IF(B838&lt;=18,"Children",IF(B838&lt;=35,"Young adult",IF(B838&lt;=60,"Adult", "Senior Citizen")))</f>
        <v>Adult</v>
      </c>
      <c r="W838" t="str">
        <f t="shared" si="91"/>
        <v>Apr</v>
      </c>
      <c r="X838">
        <f t="shared" si="92"/>
        <v>4</v>
      </c>
      <c r="Y838" t="str">
        <f t="shared" si="93"/>
        <v>Q2</v>
      </c>
      <c r="Z838">
        <f t="shared" si="94"/>
        <v>2027</v>
      </c>
      <c r="AA838" t="str">
        <f t="shared" si="95"/>
        <v>Saturday</v>
      </c>
      <c r="AB838">
        <f t="shared" si="96"/>
        <v>-58</v>
      </c>
      <c r="AC838" t="str">
        <f>IF(OR(D838="Heart Disease",D838="Cancer",D838="Stroke"),"High",IF(OR(D838="Diabetes",D838="Asthma"),"Medium","Low"))</f>
        <v>Low</v>
      </c>
      <c r="AD838" t="str">
        <f t="shared" si="97"/>
        <v>No</v>
      </c>
      <c r="AE838" t="str">
        <f>IF(G838&lt;=2,"Short Stay", IF(G838&lt;=7,"Normal Stay", "Long Stay"))</f>
        <v>Long Stay</v>
      </c>
      <c r="AF838" t="str">
        <f>IF(F838&gt;60000,"Expensive",IF(F838&gt;30000,"Moderate","Affordable"))</f>
        <v>Affordable</v>
      </c>
      <c r="AG838" t="str">
        <f>IF(J838&gt;=4.5,"Excellent",IF(J838&gt;=3.5,"Good",IF(J838&gt;=2.5,"Average","Poor")))</f>
        <v>Good</v>
      </c>
      <c r="AH838" t="str">
        <f>IF(OR(TEXT(N838,"dddd")="Saturday",TEXT(N838,"dddd")="Sunday"),"Weekend","Weekday")</f>
        <v>Weekend</v>
      </c>
    </row>
    <row r="839" spans="1:34" x14ac:dyDescent="0.3">
      <c r="A839">
        <v>852</v>
      </c>
      <c r="B839">
        <v>58</v>
      </c>
      <c r="C839" t="s">
        <v>35</v>
      </c>
      <c r="D839" t="s">
        <v>99</v>
      </c>
      <c r="E839" t="s">
        <v>100</v>
      </c>
      <c r="F839">
        <v>20000</v>
      </c>
      <c r="G839">
        <v>65</v>
      </c>
      <c r="H839" t="s">
        <v>24</v>
      </c>
      <c r="I839" t="s">
        <v>25</v>
      </c>
      <c r="J839">
        <v>3</v>
      </c>
      <c r="K839" t="s">
        <v>380</v>
      </c>
      <c r="L839" t="s">
        <v>1801</v>
      </c>
      <c r="M839" t="s">
        <v>1802</v>
      </c>
      <c r="N839" s="2">
        <v>46495</v>
      </c>
      <c r="O839" s="2">
        <v>46560</v>
      </c>
      <c r="P839" t="s">
        <v>43</v>
      </c>
      <c r="Q839" t="s">
        <v>44</v>
      </c>
      <c r="R839" t="s">
        <v>45</v>
      </c>
      <c r="S839" t="s">
        <v>53</v>
      </c>
      <c r="T839" t="s">
        <v>33</v>
      </c>
      <c r="U839" t="s">
        <v>46</v>
      </c>
      <c r="V839" t="str">
        <f>IF(B839&lt;=18,"Children",IF(B839&lt;=35,"Young adult",IF(B839&lt;=60,"Adult", "Senior Citizen")))</f>
        <v>Adult</v>
      </c>
      <c r="W839" t="str">
        <f t="shared" si="91"/>
        <v>Apr</v>
      </c>
      <c r="X839">
        <f t="shared" si="92"/>
        <v>4</v>
      </c>
      <c r="Y839" t="str">
        <f t="shared" si="93"/>
        <v>Q2</v>
      </c>
      <c r="Z839">
        <f t="shared" si="94"/>
        <v>2027</v>
      </c>
      <c r="AA839" t="str">
        <f t="shared" si="95"/>
        <v>Sunday</v>
      </c>
      <c r="AB839">
        <f t="shared" si="96"/>
        <v>-65</v>
      </c>
      <c r="AC839" t="str">
        <f>IF(OR(D839="Heart Disease",D839="Cancer",D839="Stroke"),"High",IF(OR(D839="Diabetes",D839="Asthma"),"Medium","Low"))</f>
        <v>Low</v>
      </c>
      <c r="AD839" t="str">
        <f t="shared" si="97"/>
        <v>No</v>
      </c>
      <c r="AE839" t="str">
        <f>IF(G839&lt;=2,"Short Stay", IF(G839&lt;=7,"Normal Stay", "Long Stay"))</f>
        <v>Long Stay</v>
      </c>
      <c r="AF839" t="str">
        <f>IF(F839&gt;60000,"Expensive",IF(F839&gt;30000,"Moderate","Affordable"))</f>
        <v>Affordable</v>
      </c>
      <c r="AG839" t="str">
        <f>IF(J839&gt;=4.5,"Excellent",IF(J839&gt;=3.5,"Good",IF(J839&gt;=2.5,"Average","Poor")))</f>
        <v>Average</v>
      </c>
      <c r="AH839" t="str">
        <f>IF(OR(TEXT(N839,"dddd")="Saturday",TEXT(N839,"dddd")="Sunday"),"Weekend","Weekday")</f>
        <v>Weekend</v>
      </c>
    </row>
    <row r="840" spans="1:34" x14ac:dyDescent="0.3">
      <c r="A840">
        <v>853</v>
      </c>
      <c r="B840">
        <v>32</v>
      </c>
      <c r="C840" t="s">
        <v>21</v>
      </c>
      <c r="D840" t="s">
        <v>105</v>
      </c>
      <c r="E840" t="s">
        <v>106</v>
      </c>
      <c r="F840">
        <v>12000</v>
      </c>
      <c r="G840">
        <v>59</v>
      </c>
      <c r="H840" t="s">
        <v>24</v>
      </c>
      <c r="I840" t="s">
        <v>25</v>
      </c>
      <c r="J840">
        <v>4</v>
      </c>
      <c r="K840" t="s">
        <v>81</v>
      </c>
      <c r="L840" t="s">
        <v>1803</v>
      </c>
      <c r="M840" t="s">
        <v>1804</v>
      </c>
      <c r="N840" s="2">
        <v>46496</v>
      </c>
      <c r="O840" s="2">
        <v>46555</v>
      </c>
      <c r="P840" t="s">
        <v>43</v>
      </c>
      <c r="Q840" t="s">
        <v>139</v>
      </c>
      <c r="R840" t="s">
        <v>45</v>
      </c>
      <c r="S840" t="s">
        <v>53</v>
      </c>
      <c r="T840" t="s">
        <v>33</v>
      </c>
      <c r="U840" t="s">
        <v>78</v>
      </c>
      <c r="V840" t="str">
        <f>IF(B840&lt;=18,"Children",IF(B840&lt;=35,"Young adult",IF(B840&lt;=60,"Adult", "Senior Citizen")))</f>
        <v>Young adult</v>
      </c>
      <c r="W840" t="str">
        <f t="shared" si="91"/>
        <v>Apr</v>
      </c>
      <c r="X840">
        <f t="shared" si="92"/>
        <v>4</v>
      </c>
      <c r="Y840" t="str">
        <f t="shared" si="93"/>
        <v>Q2</v>
      </c>
      <c r="Z840">
        <f t="shared" si="94"/>
        <v>2027</v>
      </c>
      <c r="AA840" t="str">
        <f t="shared" si="95"/>
        <v>Monday</v>
      </c>
      <c r="AB840">
        <f t="shared" si="96"/>
        <v>-59</v>
      </c>
      <c r="AC840" t="str">
        <f>IF(OR(D840="Heart Disease",D840="Cancer",D840="Stroke"),"High",IF(OR(D840="Diabetes",D840="Asthma"),"Medium","Low"))</f>
        <v>Low</v>
      </c>
      <c r="AD840" t="str">
        <f t="shared" si="97"/>
        <v>No</v>
      </c>
      <c r="AE840" t="str">
        <f>IF(G840&lt;=2,"Short Stay", IF(G840&lt;=7,"Normal Stay", "Long Stay"))</f>
        <v>Long Stay</v>
      </c>
      <c r="AF840" t="str">
        <f>IF(F840&gt;60000,"Expensive",IF(F840&gt;30000,"Moderate","Affordable"))</f>
        <v>Affordable</v>
      </c>
      <c r="AG840" t="str">
        <f>IF(J840&gt;=4.5,"Excellent",IF(J840&gt;=3.5,"Good",IF(J840&gt;=2.5,"Average","Poor")))</f>
        <v>Good</v>
      </c>
      <c r="AH840" t="str">
        <f>IF(OR(TEXT(N840,"dddd")="Saturday",TEXT(N840,"dddd")="Sunday"),"Weekend","Weekday")</f>
        <v>Weekday</v>
      </c>
    </row>
    <row r="841" spans="1:34" x14ac:dyDescent="0.3">
      <c r="A841">
        <v>854</v>
      </c>
      <c r="B841">
        <v>55</v>
      </c>
      <c r="C841" t="s">
        <v>35</v>
      </c>
      <c r="D841" t="s">
        <v>111</v>
      </c>
      <c r="E841" t="s">
        <v>112</v>
      </c>
      <c r="F841">
        <v>6000</v>
      </c>
      <c r="G841">
        <v>60</v>
      </c>
      <c r="H841" t="s">
        <v>24</v>
      </c>
      <c r="I841" t="s">
        <v>25</v>
      </c>
      <c r="J841">
        <v>3</v>
      </c>
      <c r="K841" t="s">
        <v>26</v>
      </c>
      <c r="L841" t="s">
        <v>1805</v>
      </c>
      <c r="M841" t="s">
        <v>1806</v>
      </c>
      <c r="N841" s="2">
        <v>46497</v>
      </c>
      <c r="O841" s="2">
        <v>46557</v>
      </c>
      <c r="P841" t="s">
        <v>43</v>
      </c>
      <c r="Q841" t="s">
        <v>52</v>
      </c>
      <c r="R841" t="s">
        <v>45</v>
      </c>
      <c r="S841" t="s">
        <v>77</v>
      </c>
      <c r="T841" t="s">
        <v>33</v>
      </c>
      <c r="U841" t="s">
        <v>104</v>
      </c>
      <c r="V841" t="str">
        <f>IF(B841&lt;=18,"Children",IF(B841&lt;=35,"Young adult",IF(B841&lt;=60,"Adult", "Senior Citizen")))</f>
        <v>Adult</v>
      </c>
      <c r="W841" t="str">
        <f t="shared" si="91"/>
        <v>Apr</v>
      </c>
      <c r="X841">
        <f t="shared" si="92"/>
        <v>4</v>
      </c>
      <c r="Y841" t="str">
        <f t="shared" si="93"/>
        <v>Q2</v>
      </c>
      <c r="Z841">
        <f t="shared" si="94"/>
        <v>2027</v>
      </c>
      <c r="AA841" t="str">
        <f t="shared" si="95"/>
        <v>Tuesday</v>
      </c>
      <c r="AB841">
        <f t="shared" si="96"/>
        <v>-60</v>
      </c>
      <c r="AC841" t="str">
        <f>IF(OR(D841="Heart Disease",D841="Cancer",D841="Stroke"),"High",IF(OR(D841="Diabetes",D841="Asthma"),"Medium","Low"))</f>
        <v>Low</v>
      </c>
      <c r="AD841" t="str">
        <f t="shared" si="97"/>
        <v>No</v>
      </c>
      <c r="AE841" t="str">
        <f>IF(G841&lt;=2,"Short Stay", IF(G841&lt;=7,"Normal Stay", "Long Stay"))</f>
        <v>Long Stay</v>
      </c>
      <c r="AF841" t="str">
        <f>IF(F841&gt;60000,"Expensive",IF(F841&gt;30000,"Moderate","Affordable"))</f>
        <v>Affordable</v>
      </c>
      <c r="AG841" t="str">
        <f>IF(J841&gt;=4.5,"Excellent",IF(J841&gt;=3.5,"Good",IF(J841&gt;=2.5,"Average","Poor")))</f>
        <v>Average</v>
      </c>
      <c r="AH841" t="str">
        <f>IF(OR(TEXT(N841,"dddd")="Saturday",TEXT(N841,"dddd")="Sunday"),"Weekend","Weekday")</f>
        <v>Weekday</v>
      </c>
    </row>
    <row r="842" spans="1:34" x14ac:dyDescent="0.3">
      <c r="A842">
        <v>855</v>
      </c>
      <c r="B842">
        <v>65</v>
      </c>
      <c r="C842" t="s">
        <v>21</v>
      </c>
      <c r="D842" t="s">
        <v>116</v>
      </c>
      <c r="E842" t="s">
        <v>117</v>
      </c>
      <c r="F842">
        <v>4000</v>
      </c>
      <c r="G842">
        <v>61</v>
      </c>
      <c r="H842" t="s">
        <v>24</v>
      </c>
      <c r="I842" t="s">
        <v>39</v>
      </c>
      <c r="J842">
        <v>4</v>
      </c>
      <c r="K842" t="s">
        <v>128</v>
      </c>
      <c r="L842" t="s">
        <v>1807</v>
      </c>
      <c r="M842" t="s">
        <v>1808</v>
      </c>
      <c r="N842" s="2">
        <v>46498</v>
      </c>
      <c r="O842" s="2">
        <v>46559</v>
      </c>
      <c r="P842" t="s">
        <v>29</v>
      </c>
      <c r="Q842" t="s">
        <v>71</v>
      </c>
      <c r="R842" t="s">
        <v>45</v>
      </c>
      <c r="S842" t="s">
        <v>32</v>
      </c>
      <c r="T842" t="s">
        <v>33</v>
      </c>
      <c r="U842" t="s">
        <v>104</v>
      </c>
      <c r="V842" t="str">
        <f>IF(B842&lt;=18,"Children",IF(B842&lt;=35,"Young adult",IF(B842&lt;=60,"Adult", "Senior Citizen")))</f>
        <v>Senior Citizen</v>
      </c>
      <c r="W842" t="str">
        <f t="shared" si="91"/>
        <v>Apr</v>
      </c>
      <c r="X842">
        <f t="shared" si="92"/>
        <v>4</v>
      </c>
      <c r="Y842" t="str">
        <f t="shared" si="93"/>
        <v>Q2</v>
      </c>
      <c r="Z842">
        <f t="shared" si="94"/>
        <v>2027</v>
      </c>
      <c r="AA842" t="str">
        <f t="shared" si="95"/>
        <v>Wednesday</v>
      </c>
      <c r="AB842">
        <f t="shared" si="96"/>
        <v>-61</v>
      </c>
      <c r="AC842" t="str">
        <f>IF(OR(D842="Heart Disease",D842="Cancer",D842="Stroke"),"High",IF(OR(D842="Diabetes",D842="Asthma"),"Medium","Low"))</f>
        <v>Low</v>
      </c>
      <c r="AD842" t="str">
        <f t="shared" si="97"/>
        <v>No</v>
      </c>
      <c r="AE842" t="str">
        <f>IF(G842&lt;=2,"Short Stay", IF(G842&lt;=7,"Normal Stay", "Long Stay"))</f>
        <v>Long Stay</v>
      </c>
      <c r="AF842" t="str">
        <f>IF(F842&gt;60000,"Expensive",IF(F842&gt;30000,"Moderate","Affordable"))</f>
        <v>Affordable</v>
      </c>
      <c r="AG842" t="str">
        <f>IF(J842&gt;=4.5,"Excellent",IF(J842&gt;=3.5,"Good",IF(J842&gt;=2.5,"Average","Poor")))</f>
        <v>Good</v>
      </c>
      <c r="AH842" t="str">
        <f>IF(OR(TEXT(N842,"dddd")="Saturday",TEXT(N842,"dddd")="Sunday"),"Weekend","Weekday")</f>
        <v>Weekday</v>
      </c>
    </row>
    <row r="843" spans="1:34" x14ac:dyDescent="0.3">
      <c r="A843">
        <v>856</v>
      </c>
      <c r="B843">
        <v>55</v>
      </c>
      <c r="C843" t="s">
        <v>21</v>
      </c>
      <c r="D843" t="s">
        <v>22</v>
      </c>
      <c r="E843" t="s">
        <v>23</v>
      </c>
      <c r="F843">
        <v>15000</v>
      </c>
      <c r="G843">
        <v>62</v>
      </c>
      <c r="H843" t="s">
        <v>38</v>
      </c>
      <c r="I843" t="s">
        <v>25</v>
      </c>
      <c r="J843">
        <v>3</v>
      </c>
      <c r="K843" t="s">
        <v>169</v>
      </c>
      <c r="L843" t="s">
        <v>1809</v>
      </c>
      <c r="M843" t="s">
        <v>1810</v>
      </c>
      <c r="N843" s="2">
        <v>46499</v>
      </c>
      <c r="O843" s="2">
        <v>46561</v>
      </c>
      <c r="P843" t="s">
        <v>29</v>
      </c>
      <c r="Q843" t="s">
        <v>52</v>
      </c>
      <c r="R843" t="s">
        <v>31</v>
      </c>
      <c r="S843" t="s">
        <v>53</v>
      </c>
      <c r="T843" t="s">
        <v>33</v>
      </c>
      <c r="U843" t="s">
        <v>78</v>
      </c>
      <c r="V843" t="str">
        <f>IF(B843&lt;=18,"Children",IF(B843&lt;=35,"Young adult",IF(B843&lt;=60,"Adult", "Senior Citizen")))</f>
        <v>Adult</v>
      </c>
      <c r="W843" t="str">
        <f t="shared" si="91"/>
        <v>Apr</v>
      </c>
      <c r="X843">
        <f t="shared" si="92"/>
        <v>4</v>
      </c>
      <c r="Y843" t="str">
        <f t="shared" si="93"/>
        <v>Q2</v>
      </c>
      <c r="Z843">
        <f t="shared" si="94"/>
        <v>2027</v>
      </c>
      <c r="AA843" t="str">
        <f t="shared" si="95"/>
        <v>Thursday</v>
      </c>
      <c r="AB843">
        <f t="shared" si="96"/>
        <v>-62</v>
      </c>
      <c r="AC843" t="str">
        <f>IF(OR(D843="Heart Disease",D843="Cancer",D843="Stroke"),"High",IF(OR(D843="Diabetes",D843="Asthma"),"Medium","Low"))</f>
        <v>High</v>
      </c>
      <c r="AD843" t="str">
        <f t="shared" si="97"/>
        <v>Yes</v>
      </c>
      <c r="AE843" t="str">
        <f>IF(G843&lt;=2,"Short Stay", IF(G843&lt;=7,"Normal Stay", "Long Stay"))</f>
        <v>Long Stay</v>
      </c>
      <c r="AF843" t="str">
        <f>IF(F843&gt;60000,"Expensive",IF(F843&gt;30000,"Moderate","Affordable"))</f>
        <v>Affordable</v>
      </c>
      <c r="AG843" t="str">
        <f>IF(J843&gt;=4.5,"Excellent",IF(J843&gt;=3.5,"Good",IF(J843&gt;=2.5,"Average","Poor")))</f>
        <v>Average</v>
      </c>
      <c r="AH843" t="str">
        <f>IF(OR(TEXT(N843,"dddd")="Saturday",TEXT(N843,"dddd")="Sunday"),"Weekend","Weekday")</f>
        <v>Weekday</v>
      </c>
    </row>
    <row r="844" spans="1:34" x14ac:dyDescent="0.3">
      <c r="A844">
        <v>857</v>
      </c>
      <c r="B844">
        <v>62</v>
      </c>
      <c r="C844" t="s">
        <v>35</v>
      </c>
      <c r="D844" t="s">
        <v>36</v>
      </c>
      <c r="E844" t="s">
        <v>37</v>
      </c>
      <c r="F844">
        <v>2000</v>
      </c>
      <c r="G844">
        <v>60</v>
      </c>
      <c r="H844" t="s">
        <v>24</v>
      </c>
      <c r="I844" t="s">
        <v>39</v>
      </c>
      <c r="J844">
        <v>4</v>
      </c>
      <c r="K844" t="s">
        <v>56</v>
      </c>
      <c r="L844" t="s">
        <v>1811</v>
      </c>
      <c r="M844" t="s">
        <v>1812</v>
      </c>
      <c r="N844" s="2">
        <v>46500</v>
      </c>
      <c r="O844" s="2">
        <v>46560</v>
      </c>
      <c r="P844" t="s">
        <v>29</v>
      </c>
      <c r="Q844" t="s">
        <v>30</v>
      </c>
      <c r="R844" t="s">
        <v>45</v>
      </c>
      <c r="S844" t="s">
        <v>77</v>
      </c>
      <c r="T844" t="s">
        <v>33</v>
      </c>
      <c r="U844" t="s">
        <v>34</v>
      </c>
      <c r="V844" t="str">
        <f>IF(B844&lt;=18,"Children",IF(B844&lt;=35,"Young adult",IF(B844&lt;=60,"Adult", "Senior Citizen")))</f>
        <v>Senior Citizen</v>
      </c>
      <c r="W844" t="str">
        <f t="shared" si="91"/>
        <v>Apr</v>
      </c>
      <c r="X844">
        <f t="shared" si="92"/>
        <v>4</v>
      </c>
      <c r="Y844" t="str">
        <f t="shared" si="93"/>
        <v>Q2</v>
      </c>
      <c r="Z844">
        <f t="shared" si="94"/>
        <v>2027</v>
      </c>
      <c r="AA844" t="str">
        <f t="shared" si="95"/>
        <v>Friday</v>
      </c>
      <c r="AB844">
        <f t="shared" si="96"/>
        <v>-60</v>
      </c>
      <c r="AC844" t="str">
        <f>IF(OR(D844="Heart Disease",D844="Cancer",D844="Stroke"),"High",IF(OR(D844="Diabetes",D844="Asthma"),"Medium","Low"))</f>
        <v>Medium</v>
      </c>
      <c r="AD844" t="str">
        <f t="shared" si="97"/>
        <v>No</v>
      </c>
      <c r="AE844" t="str">
        <f>IF(G844&lt;=2,"Short Stay", IF(G844&lt;=7,"Normal Stay", "Long Stay"))</f>
        <v>Long Stay</v>
      </c>
      <c r="AF844" t="str">
        <f>IF(F844&gt;60000,"Expensive",IF(F844&gt;30000,"Moderate","Affordable"))</f>
        <v>Affordable</v>
      </c>
      <c r="AG844" t="str">
        <f>IF(J844&gt;=4.5,"Excellent",IF(J844&gt;=3.5,"Good",IF(J844&gt;=2.5,"Average","Poor")))</f>
        <v>Good</v>
      </c>
      <c r="AH844" t="str">
        <f>IF(OR(TEXT(N844,"dddd")="Saturday",TEXT(N844,"dddd")="Sunday"),"Weekend","Weekday")</f>
        <v>Weekday</v>
      </c>
    </row>
    <row r="845" spans="1:34" x14ac:dyDescent="0.3">
      <c r="A845">
        <v>858</v>
      </c>
      <c r="B845">
        <v>35</v>
      </c>
      <c r="C845" t="s">
        <v>21</v>
      </c>
      <c r="D845" t="s">
        <v>47</v>
      </c>
      <c r="E845" t="s">
        <v>48</v>
      </c>
      <c r="F845">
        <v>500</v>
      </c>
      <c r="G845">
        <v>58</v>
      </c>
      <c r="H845" t="s">
        <v>38</v>
      </c>
      <c r="I845" t="s">
        <v>25</v>
      </c>
      <c r="J845">
        <v>5</v>
      </c>
      <c r="K845" t="s">
        <v>149</v>
      </c>
      <c r="L845" t="s">
        <v>1813</v>
      </c>
      <c r="M845" t="s">
        <v>1814</v>
      </c>
      <c r="N845" s="2">
        <v>46501</v>
      </c>
      <c r="O845" s="2">
        <v>46559</v>
      </c>
      <c r="P845" t="s">
        <v>43</v>
      </c>
      <c r="Q845" t="s">
        <v>139</v>
      </c>
      <c r="R845" t="s">
        <v>45</v>
      </c>
      <c r="S845" t="s">
        <v>84</v>
      </c>
      <c r="T845" t="s">
        <v>33</v>
      </c>
      <c r="U845" t="s">
        <v>46</v>
      </c>
      <c r="V845" t="str">
        <f>IF(B845&lt;=18,"Children",IF(B845&lt;=35,"Young adult",IF(B845&lt;=60,"Adult", "Senior Citizen")))</f>
        <v>Young adult</v>
      </c>
      <c r="W845" t="str">
        <f t="shared" si="91"/>
        <v>Apr</v>
      </c>
      <c r="X845">
        <f t="shared" si="92"/>
        <v>4</v>
      </c>
      <c r="Y845" t="str">
        <f t="shared" si="93"/>
        <v>Q2</v>
      </c>
      <c r="Z845">
        <f t="shared" si="94"/>
        <v>2027</v>
      </c>
      <c r="AA845" t="str">
        <f t="shared" si="95"/>
        <v>Saturday</v>
      </c>
      <c r="AB845">
        <f t="shared" si="96"/>
        <v>-58</v>
      </c>
      <c r="AC845" t="str">
        <f>IF(OR(D845="Heart Disease",D845="Cancer",D845="Stroke"),"High",IF(OR(D845="Diabetes",D845="Asthma"),"Medium","Low"))</f>
        <v>Low</v>
      </c>
      <c r="AD845" t="str">
        <f t="shared" si="97"/>
        <v>No</v>
      </c>
      <c r="AE845" t="str">
        <f>IF(G845&lt;=2,"Short Stay", IF(G845&lt;=7,"Normal Stay", "Long Stay"))</f>
        <v>Long Stay</v>
      </c>
      <c r="AF845" t="str">
        <f>IF(F845&gt;60000,"Expensive",IF(F845&gt;30000,"Moderate","Affordable"))</f>
        <v>Affordable</v>
      </c>
      <c r="AG845" t="str">
        <f>IF(J845&gt;=4.5,"Excellent",IF(J845&gt;=3.5,"Good",IF(J845&gt;=2.5,"Average","Poor")))</f>
        <v>Excellent</v>
      </c>
      <c r="AH845" t="str">
        <f>IF(OR(TEXT(N845,"dddd")="Saturday",TEXT(N845,"dddd")="Sunday"),"Weekend","Weekday")</f>
        <v>Weekend</v>
      </c>
    </row>
    <row r="846" spans="1:34" x14ac:dyDescent="0.3">
      <c r="A846">
        <v>859</v>
      </c>
      <c r="B846">
        <v>78</v>
      </c>
      <c r="C846" t="s">
        <v>35</v>
      </c>
      <c r="D846" t="s">
        <v>54</v>
      </c>
      <c r="E846" t="s">
        <v>55</v>
      </c>
      <c r="F846">
        <v>10000</v>
      </c>
      <c r="G846">
        <v>65</v>
      </c>
      <c r="H846" t="s">
        <v>24</v>
      </c>
      <c r="I846" t="s">
        <v>39</v>
      </c>
      <c r="J846">
        <v>2</v>
      </c>
      <c r="K846" t="s">
        <v>482</v>
      </c>
      <c r="L846" t="s">
        <v>1815</v>
      </c>
      <c r="M846" t="s">
        <v>1816</v>
      </c>
      <c r="N846" s="2">
        <v>46502</v>
      </c>
      <c r="O846" s="2">
        <v>46567</v>
      </c>
      <c r="P846" t="s">
        <v>43</v>
      </c>
      <c r="Q846" t="s">
        <v>52</v>
      </c>
      <c r="R846" t="s">
        <v>59</v>
      </c>
      <c r="S846" t="s">
        <v>110</v>
      </c>
      <c r="T846" t="s">
        <v>33</v>
      </c>
      <c r="U846" t="s">
        <v>34</v>
      </c>
      <c r="V846" t="str">
        <f>IF(B846&lt;=18,"Children",IF(B846&lt;=35,"Young adult",IF(B846&lt;=60,"Adult", "Senior Citizen")))</f>
        <v>Senior Citizen</v>
      </c>
      <c r="W846" t="str">
        <f t="shared" si="91"/>
        <v>Apr</v>
      </c>
      <c r="X846">
        <f t="shared" si="92"/>
        <v>4</v>
      </c>
      <c r="Y846" t="str">
        <f t="shared" si="93"/>
        <v>Q2</v>
      </c>
      <c r="Z846">
        <f t="shared" si="94"/>
        <v>2027</v>
      </c>
      <c r="AA846" t="str">
        <f t="shared" si="95"/>
        <v>Sunday</v>
      </c>
      <c r="AB846">
        <f t="shared" si="96"/>
        <v>-65</v>
      </c>
      <c r="AC846" t="str">
        <f>IF(OR(D846="Heart Disease",D846="Cancer",D846="Stroke"),"High",IF(OR(D846="Diabetes",D846="Asthma"),"Medium","Low"))</f>
        <v>High</v>
      </c>
      <c r="AD846" t="str">
        <f t="shared" si="97"/>
        <v>Yes</v>
      </c>
      <c r="AE846" t="str">
        <f>IF(G846&lt;=2,"Short Stay", IF(G846&lt;=7,"Normal Stay", "Long Stay"))</f>
        <v>Long Stay</v>
      </c>
      <c r="AF846" t="str">
        <f>IF(F846&gt;60000,"Expensive",IF(F846&gt;30000,"Moderate","Affordable"))</f>
        <v>Affordable</v>
      </c>
      <c r="AG846" t="str">
        <f>IF(J846&gt;=4.5,"Excellent",IF(J846&gt;=3.5,"Good",IF(J846&gt;=2.5,"Average","Poor")))</f>
        <v>Poor</v>
      </c>
      <c r="AH846" t="str">
        <f>IF(OR(TEXT(N846,"dddd")="Saturday",TEXT(N846,"dddd")="Sunday"),"Weekend","Weekday")</f>
        <v>Weekend</v>
      </c>
    </row>
    <row r="847" spans="1:34" x14ac:dyDescent="0.3">
      <c r="A847">
        <v>860</v>
      </c>
      <c r="B847">
        <v>53</v>
      </c>
      <c r="C847" t="s">
        <v>21</v>
      </c>
      <c r="D847" t="s">
        <v>60</v>
      </c>
      <c r="E847" t="s">
        <v>61</v>
      </c>
      <c r="F847">
        <v>25000</v>
      </c>
      <c r="G847">
        <v>67</v>
      </c>
      <c r="H847" t="s">
        <v>38</v>
      </c>
      <c r="I847" t="s">
        <v>25</v>
      </c>
      <c r="J847">
        <v>4</v>
      </c>
      <c r="K847" t="s">
        <v>169</v>
      </c>
      <c r="L847" t="s">
        <v>1817</v>
      </c>
      <c r="M847" t="s">
        <v>1818</v>
      </c>
      <c r="N847" s="2">
        <v>46503</v>
      </c>
      <c r="O847" s="2">
        <v>46570</v>
      </c>
      <c r="P847" t="s">
        <v>29</v>
      </c>
      <c r="Q847" t="s">
        <v>44</v>
      </c>
      <c r="R847" t="s">
        <v>65</v>
      </c>
      <c r="S847" t="s">
        <v>84</v>
      </c>
      <c r="T847" t="s">
        <v>33</v>
      </c>
      <c r="U847" t="s">
        <v>78</v>
      </c>
      <c r="V847" t="str">
        <f>IF(B847&lt;=18,"Children",IF(B847&lt;=35,"Young adult",IF(B847&lt;=60,"Adult", "Senior Citizen")))</f>
        <v>Adult</v>
      </c>
      <c r="W847" t="str">
        <f t="shared" si="91"/>
        <v>Apr</v>
      </c>
      <c r="X847">
        <f t="shared" si="92"/>
        <v>4</v>
      </c>
      <c r="Y847" t="str">
        <f t="shared" si="93"/>
        <v>Q2</v>
      </c>
      <c r="Z847">
        <f t="shared" si="94"/>
        <v>2027</v>
      </c>
      <c r="AA847" t="str">
        <f t="shared" si="95"/>
        <v>Monday</v>
      </c>
      <c r="AB847">
        <f t="shared" si="96"/>
        <v>-67</v>
      </c>
      <c r="AC847" t="str">
        <f>IF(OR(D847="Heart Disease",D847="Cancer",D847="Stroke"),"High",IF(OR(D847="Diabetes",D847="Asthma"),"Medium","Low"))</f>
        <v>High</v>
      </c>
      <c r="AD847" t="str">
        <f t="shared" si="97"/>
        <v>Yes</v>
      </c>
      <c r="AE847" t="str">
        <f>IF(G847&lt;=2,"Short Stay", IF(G847&lt;=7,"Normal Stay", "Long Stay"))</f>
        <v>Long Stay</v>
      </c>
      <c r="AF847" t="str">
        <f>IF(F847&gt;60000,"Expensive",IF(F847&gt;30000,"Moderate","Affordable"))</f>
        <v>Affordable</v>
      </c>
      <c r="AG847" t="str">
        <f>IF(J847&gt;=4.5,"Excellent",IF(J847&gt;=3.5,"Good",IF(J847&gt;=2.5,"Average","Poor")))</f>
        <v>Good</v>
      </c>
      <c r="AH847" t="str">
        <f>IF(OR(TEXT(N847,"dddd")="Saturday",TEXT(N847,"dddd")="Sunday"),"Weekend","Weekday")</f>
        <v>Weekday</v>
      </c>
    </row>
    <row r="848" spans="1:34" x14ac:dyDescent="0.3">
      <c r="A848">
        <v>861</v>
      </c>
      <c r="B848">
        <v>72</v>
      </c>
      <c r="C848" t="s">
        <v>35</v>
      </c>
      <c r="D848" t="s">
        <v>66</v>
      </c>
      <c r="E848" t="s">
        <v>67</v>
      </c>
      <c r="F848">
        <v>1000</v>
      </c>
      <c r="G848">
        <v>61</v>
      </c>
      <c r="H848" t="s">
        <v>24</v>
      </c>
      <c r="I848" t="s">
        <v>39</v>
      </c>
      <c r="J848">
        <v>4</v>
      </c>
      <c r="K848" t="s">
        <v>336</v>
      </c>
      <c r="L848" t="s">
        <v>1819</v>
      </c>
      <c r="M848" t="s">
        <v>1820</v>
      </c>
      <c r="N848" s="2">
        <v>46504</v>
      </c>
      <c r="O848" s="2">
        <v>46565</v>
      </c>
      <c r="P848" t="s">
        <v>29</v>
      </c>
      <c r="Q848" t="s">
        <v>139</v>
      </c>
      <c r="R848" t="s">
        <v>45</v>
      </c>
      <c r="S848" t="s">
        <v>32</v>
      </c>
      <c r="T848" t="s">
        <v>33</v>
      </c>
      <c r="U848" t="s">
        <v>46</v>
      </c>
      <c r="V848" t="str">
        <f>IF(B848&lt;=18,"Children",IF(B848&lt;=35,"Young adult",IF(B848&lt;=60,"Adult", "Senior Citizen")))</f>
        <v>Senior Citizen</v>
      </c>
      <c r="W848" t="str">
        <f t="shared" si="91"/>
        <v>Apr</v>
      </c>
      <c r="X848">
        <f t="shared" si="92"/>
        <v>4</v>
      </c>
      <c r="Y848" t="str">
        <f t="shared" si="93"/>
        <v>Q2</v>
      </c>
      <c r="Z848">
        <f t="shared" si="94"/>
        <v>2027</v>
      </c>
      <c r="AA848" t="str">
        <f t="shared" si="95"/>
        <v>Tuesday</v>
      </c>
      <c r="AB848">
        <f t="shared" si="96"/>
        <v>-61</v>
      </c>
      <c r="AC848" t="str">
        <f>IF(OR(D848="Heart Disease",D848="Cancer",D848="Stroke"),"High",IF(OR(D848="Diabetes",D848="Asthma"),"Medium","Low"))</f>
        <v>Low</v>
      </c>
      <c r="AD848" t="str">
        <f t="shared" si="97"/>
        <v>No</v>
      </c>
      <c r="AE848" t="str">
        <f>IF(G848&lt;=2,"Short Stay", IF(G848&lt;=7,"Normal Stay", "Long Stay"))</f>
        <v>Long Stay</v>
      </c>
      <c r="AF848" t="str">
        <f>IF(F848&gt;60000,"Expensive",IF(F848&gt;30000,"Moderate","Affordable"))</f>
        <v>Affordable</v>
      </c>
      <c r="AG848" t="str">
        <f>IF(J848&gt;=4.5,"Excellent",IF(J848&gt;=3.5,"Good",IF(J848&gt;=2.5,"Average","Poor")))</f>
        <v>Good</v>
      </c>
      <c r="AH848" t="str">
        <f>IF(OR(TEXT(N848,"dddd")="Saturday",TEXT(N848,"dddd")="Sunday"),"Weekend","Weekday")</f>
        <v>Weekday</v>
      </c>
    </row>
    <row r="849" spans="1:34" x14ac:dyDescent="0.3">
      <c r="A849">
        <v>862</v>
      </c>
      <c r="B849">
        <v>60</v>
      </c>
      <c r="C849" t="s">
        <v>21</v>
      </c>
      <c r="D849" t="s">
        <v>73</v>
      </c>
      <c r="E849" t="s">
        <v>74</v>
      </c>
      <c r="F849">
        <v>8000</v>
      </c>
      <c r="G849">
        <v>63</v>
      </c>
      <c r="H849" t="s">
        <v>38</v>
      </c>
      <c r="I849" t="s">
        <v>25</v>
      </c>
      <c r="J849">
        <v>3</v>
      </c>
      <c r="K849" t="s">
        <v>329</v>
      </c>
      <c r="L849" t="s">
        <v>1821</v>
      </c>
      <c r="M849" t="s">
        <v>1822</v>
      </c>
      <c r="N849" s="2">
        <v>46505</v>
      </c>
      <c r="O849" s="2">
        <v>46568</v>
      </c>
      <c r="P849" t="s">
        <v>29</v>
      </c>
      <c r="Q849" t="s">
        <v>30</v>
      </c>
      <c r="R849" t="s">
        <v>45</v>
      </c>
      <c r="S849" t="s">
        <v>53</v>
      </c>
      <c r="T849" t="s">
        <v>33</v>
      </c>
      <c r="U849" t="s">
        <v>34</v>
      </c>
      <c r="V849" t="str">
        <f>IF(B849&lt;=18,"Children",IF(B849&lt;=35,"Young adult",IF(B849&lt;=60,"Adult", "Senior Citizen")))</f>
        <v>Adult</v>
      </c>
      <c r="W849" t="str">
        <f t="shared" si="91"/>
        <v>Apr</v>
      </c>
      <c r="X849">
        <f t="shared" si="92"/>
        <v>4</v>
      </c>
      <c r="Y849" t="str">
        <f t="shared" si="93"/>
        <v>Q2</v>
      </c>
      <c r="Z849">
        <f t="shared" si="94"/>
        <v>2027</v>
      </c>
      <c r="AA849" t="str">
        <f t="shared" si="95"/>
        <v>Wednesday</v>
      </c>
      <c r="AB849">
        <f t="shared" si="96"/>
        <v>-63</v>
      </c>
      <c r="AC849" t="str">
        <f>IF(OR(D849="Heart Disease",D849="Cancer",D849="Stroke"),"High",IF(OR(D849="Diabetes",D849="Asthma"),"Medium","Low"))</f>
        <v>Low</v>
      </c>
      <c r="AD849" t="str">
        <f t="shared" si="97"/>
        <v>No</v>
      </c>
      <c r="AE849" t="str">
        <f>IF(G849&lt;=2,"Short Stay", IF(G849&lt;=7,"Normal Stay", "Long Stay"))</f>
        <v>Long Stay</v>
      </c>
      <c r="AF849" t="str">
        <f>IF(F849&gt;60000,"Expensive",IF(F849&gt;30000,"Moderate","Affordable"))</f>
        <v>Affordable</v>
      </c>
      <c r="AG849" t="str">
        <f>IF(J849&gt;=4.5,"Excellent",IF(J849&gt;=3.5,"Good",IF(J849&gt;=2.5,"Average","Poor")))</f>
        <v>Average</v>
      </c>
      <c r="AH849" t="str">
        <f>IF(OR(TEXT(N849,"dddd")="Saturday",TEXT(N849,"dddd")="Sunday"),"Weekend","Weekday")</f>
        <v>Weekday</v>
      </c>
    </row>
    <row r="850" spans="1:34" x14ac:dyDescent="0.3">
      <c r="A850">
        <v>863</v>
      </c>
      <c r="B850">
        <v>45</v>
      </c>
      <c r="C850" t="s">
        <v>35</v>
      </c>
      <c r="D850" t="s">
        <v>79</v>
      </c>
      <c r="E850" t="s">
        <v>80</v>
      </c>
      <c r="F850">
        <v>3000</v>
      </c>
      <c r="G850">
        <v>63</v>
      </c>
      <c r="H850" t="s">
        <v>24</v>
      </c>
      <c r="I850" t="s">
        <v>25</v>
      </c>
      <c r="J850">
        <v>4</v>
      </c>
      <c r="K850" t="s">
        <v>62</v>
      </c>
      <c r="L850" t="s">
        <v>1823</v>
      </c>
      <c r="M850" t="s">
        <v>1824</v>
      </c>
      <c r="N850" s="2">
        <v>46506</v>
      </c>
      <c r="O850" s="2">
        <v>46569</v>
      </c>
      <c r="P850" t="s">
        <v>43</v>
      </c>
      <c r="Q850" t="s">
        <v>139</v>
      </c>
      <c r="R850" t="s">
        <v>45</v>
      </c>
      <c r="S850" t="s">
        <v>72</v>
      </c>
      <c r="T850" t="s">
        <v>33</v>
      </c>
      <c r="U850" t="s">
        <v>104</v>
      </c>
      <c r="V850" t="str">
        <f>IF(B850&lt;=18,"Children",IF(B850&lt;=35,"Young adult",IF(B850&lt;=60,"Adult", "Senior Citizen")))</f>
        <v>Adult</v>
      </c>
      <c r="W850" t="str">
        <f t="shared" si="91"/>
        <v>Apr</v>
      </c>
      <c r="X850">
        <f t="shared" si="92"/>
        <v>4</v>
      </c>
      <c r="Y850" t="str">
        <f t="shared" si="93"/>
        <v>Q2</v>
      </c>
      <c r="Z850">
        <f t="shared" si="94"/>
        <v>2027</v>
      </c>
      <c r="AA850" t="str">
        <f t="shared" si="95"/>
        <v>Thursday</v>
      </c>
      <c r="AB850">
        <f t="shared" si="96"/>
        <v>-63</v>
      </c>
      <c r="AC850" t="str">
        <f>IF(OR(D850="Heart Disease",D850="Cancer",D850="Stroke"),"High",IF(OR(D850="Diabetes",D850="Asthma"),"Medium","Low"))</f>
        <v>Low</v>
      </c>
      <c r="AD850" t="str">
        <f t="shared" si="97"/>
        <v>No</v>
      </c>
      <c r="AE850" t="str">
        <f>IF(G850&lt;=2,"Short Stay", IF(G850&lt;=7,"Normal Stay", "Long Stay"))</f>
        <v>Long Stay</v>
      </c>
      <c r="AF850" t="str">
        <f>IF(F850&gt;60000,"Expensive",IF(F850&gt;30000,"Moderate","Affordable"))</f>
        <v>Affordable</v>
      </c>
      <c r="AG850" t="str">
        <f>IF(J850&gt;=4.5,"Excellent",IF(J850&gt;=3.5,"Good",IF(J850&gt;=2.5,"Average","Poor")))</f>
        <v>Good</v>
      </c>
      <c r="AH850" t="str">
        <f>IF(OR(TEXT(N850,"dddd")="Saturday",TEXT(N850,"dddd")="Sunday"),"Weekend","Weekday")</f>
        <v>Weekday</v>
      </c>
    </row>
    <row r="851" spans="1:34" x14ac:dyDescent="0.3">
      <c r="A851">
        <v>864</v>
      </c>
      <c r="B851">
        <v>75</v>
      </c>
      <c r="C851" t="s">
        <v>21</v>
      </c>
      <c r="D851" t="s">
        <v>85</v>
      </c>
      <c r="E851" t="s">
        <v>86</v>
      </c>
      <c r="F851">
        <v>18000</v>
      </c>
      <c r="G851">
        <v>65</v>
      </c>
      <c r="H851" t="s">
        <v>38</v>
      </c>
      <c r="I851" t="s">
        <v>39</v>
      </c>
      <c r="J851">
        <v>2</v>
      </c>
      <c r="K851" t="s">
        <v>317</v>
      </c>
      <c r="L851" t="s">
        <v>1825</v>
      </c>
      <c r="M851" t="s">
        <v>1826</v>
      </c>
      <c r="N851" s="2">
        <v>46507</v>
      </c>
      <c r="O851" s="2">
        <v>46572</v>
      </c>
      <c r="P851" t="s">
        <v>43</v>
      </c>
      <c r="Q851" t="s">
        <v>52</v>
      </c>
      <c r="R851" t="s">
        <v>45</v>
      </c>
      <c r="S851" t="s">
        <v>110</v>
      </c>
      <c r="T851" t="s">
        <v>33</v>
      </c>
      <c r="U851" t="s">
        <v>46</v>
      </c>
      <c r="V851" t="str">
        <f>IF(B851&lt;=18,"Children",IF(B851&lt;=35,"Young adult",IF(B851&lt;=60,"Adult", "Senior Citizen")))</f>
        <v>Senior Citizen</v>
      </c>
      <c r="W851" t="str">
        <f t="shared" si="91"/>
        <v>Apr</v>
      </c>
      <c r="X851">
        <f t="shared" si="92"/>
        <v>4</v>
      </c>
      <c r="Y851" t="str">
        <f t="shared" si="93"/>
        <v>Q2</v>
      </c>
      <c r="Z851">
        <f t="shared" si="94"/>
        <v>2027</v>
      </c>
      <c r="AA851" t="str">
        <f t="shared" si="95"/>
        <v>Friday</v>
      </c>
      <c r="AB851">
        <f t="shared" si="96"/>
        <v>-65</v>
      </c>
      <c r="AC851" t="str">
        <f>IF(OR(D851="Heart Disease",D851="Cancer",D851="Stroke"),"High",IF(OR(D851="Diabetes",D851="Asthma"),"Medium","Low"))</f>
        <v>Low</v>
      </c>
      <c r="AD851" t="str">
        <f t="shared" si="97"/>
        <v>No</v>
      </c>
      <c r="AE851" t="str">
        <f>IF(G851&lt;=2,"Short Stay", IF(G851&lt;=7,"Normal Stay", "Long Stay"))</f>
        <v>Long Stay</v>
      </c>
      <c r="AF851" t="str">
        <f>IF(F851&gt;60000,"Expensive",IF(F851&gt;30000,"Moderate","Affordable"))</f>
        <v>Affordable</v>
      </c>
      <c r="AG851" t="str">
        <f>IF(J851&gt;=4.5,"Excellent",IF(J851&gt;=3.5,"Good",IF(J851&gt;=2.5,"Average","Poor")))</f>
        <v>Poor</v>
      </c>
      <c r="AH851" t="str">
        <f>IF(OR(TEXT(N851,"dddd")="Saturday",TEXT(N851,"dddd")="Sunday"),"Weekend","Weekday")</f>
        <v>Weekday</v>
      </c>
    </row>
    <row r="852" spans="1:34" x14ac:dyDescent="0.3">
      <c r="A852">
        <v>865</v>
      </c>
      <c r="B852">
        <v>28</v>
      </c>
      <c r="C852" t="s">
        <v>35</v>
      </c>
      <c r="D852" t="s">
        <v>89</v>
      </c>
      <c r="E852" t="s">
        <v>90</v>
      </c>
      <c r="F852">
        <v>100</v>
      </c>
      <c r="G852">
        <v>58</v>
      </c>
      <c r="H852" t="s">
        <v>24</v>
      </c>
      <c r="I852" t="s">
        <v>25</v>
      </c>
      <c r="J852">
        <v>5</v>
      </c>
      <c r="K852" t="s">
        <v>172</v>
      </c>
      <c r="L852" t="s">
        <v>1827</v>
      </c>
      <c r="M852" t="s">
        <v>1828</v>
      </c>
      <c r="N852" s="2">
        <v>46508</v>
      </c>
      <c r="O852" s="2">
        <v>46566</v>
      </c>
      <c r="P852" t="s">
        <v>29</v>
      </c>
      <c r="Q852" t="s">
        <v>52</v>
      </c>
      <c r="R852" t="s">
        <v>45</v>
      </c>
      <c r="S852" t="s">
        <v>32</v>
      </c>
      <c r="T852" t="s">
        <v>33</v>
      </c>
      <c r="U852" t="s">
        <v>78</v>
      </c>
      <c r="V852" t="str">
        <f>IF(B852&lt;=18,"Children",IF(B852&lt;=35,"Young adult",IF(B852&lt;=60,"Adult", "Senior Citizen")))</f>
        <v>Young adult</v>
      </c>
      <c r="W852" t="str">
        <f t="shared" si="91"/>
        <v>May</v>
      </c>
      <c r="X852">
        <f t="shared" si="92"/>
        <v>5</v>
      </c>
      <c r="Y852" t="str">
        <f t="shared" si="93"/>
        <v>Q2</v>
      </c>
      <c r="Z852">
        <f t="shared" si="94"/>
        <v>2027</v>
      </c>
      <c r="AA852" t="str">
        <f t="shared" si="95"/>
        <v>Saturday</v>
      </c>
      <c r="AB852">
        <f t="shared" si="96"/>
        <v>-58</v>
      </c>
      <c r="AC852" t="str">
        <f>IF(OR(D852="Heart Disease",D852="Cancer",D852="Stroke"),"High",IF(OR(D852="Diabetes",D852="Asthma"),"Medium","Low"))</f>
        <v>Low</v>
      </c>
      <c r="AD852" t="str">
        <f t="shared" si="97"/>
        <v>No</v>
      </c>
      <c r="AE852" t="str">
        <f>IF(G852&lt;=2,"Short Stay", IF(G852&lt;=7,"Normal Stay", "Long Stay"))</f>
        <v>Long Stay</v>
      </c>
      <c r="AF852" t="str">
        <f>IF(F852&gt;60000,"Expensive",IF(F852&gt;30000,"Moderate","Affordable"))</f>
        <v>Affordable</v>
      </c>
      <c r="AG852" t="str">
        <f>IF(J852&gt;=4.5,"Excellent",IF(J852&gt;=3.5,"Good",IF(J852&gt;=2.5,"Average","Poor")))</f>
        <v>Excellent</v>
      </c>
      <c r="AH852" t="str">
        <f>IF(OR(TEXT(N852,"dddd")="Saturday",TEXT(N852,"dddd")="Sunday"),"Weekend","Weekday")</f>
        <v>Weekend</v>
      </c>
    </row>
    <row r="853" spans="1:34" x14ac:dyDescent="0.3">
      <c r="A853">
        <v>866</v>
      </c>
      <c r="B853">
        <v>52</v>
      </c>
      <c r="C853" t="s">
        <v>21</v>
      </c>
      <c r="D853" t="s">
        <v>94</v>
      </c>
      <c r="E853" t="s">
        <v>95</v>
      </c>
      <c r="F853">
        <v>800</v>
      </c>
      <c r="G853">
        <v>59</v>
      </c>
      <c r="H853" t="s">
        <v>24</v>
      </c>
      <c r="I853" t="s">
        <v>39</v>
      </c>
      <c r="J853">
        <v>4</v>
      </c>
      <c r="K853" t="s">
        <v>133</v>
      </c>
      <c r="L853" t="s">
        <v>1829</v>
      </c>
      <c r="M853" t="s">
        <v>1830</v>
      </c>
      <c r="N853" s="2">
        <v>46509</v>
      </c>
      <c r="O853" s="2">
        <v>46568</v>
      </c>
      <c r="P853" t="s">
        <v>29</v>
      </c>
      <c r="Q853" t="s">
        <v>44</v>
      </c>
      <c r="R853" t="s">
        <v>45</v>
      </c>
      <c r="S853" t="s">
        <v>53</v>
      </c>
      <c r="T853" t="s">
        <v>33</v>
      </c>
      <c r="U853" t="s">
        <v>34</v>
      </c>
      <c r="V853" t="str">
        <f>IF(B853&lt;=18,"Children",IF(B853&lt;=35,"Young adult",IF(B853&lt;=60,"Adult", "Senior Citizen")))</f>
        <v>Adult</v>
      </c>
      <c r="W853" t="str">
        <f t="shared" si="91"/>
        <v>May</v>
      </c>
      <c r="X853">
        <f t="shared" si="92"/>
        <v>5</v>
      </c>
      <c r="Y853" t="str">
        <f t="shared" si="93"/>
        <v>Q2</v>
      </c>
      <c r="Z853">
        <f t="shared" si="94"/>
        <v>2027</v>
      </c>
      <c r="AA853" t="str">
        <f t="shared" si="95"/>
        <v>Sunday</v>
      </c>
      <c r="AB853">
        <f t="shared" si="96"/>
        <v>-59</v>
      </c>
      <c r="AC853" t="str">
        <f>IF(OR(D853="Heart Disease",D853="Cancer",D853="Stroke"),"High",IF(OR(D853="Diabetes",D853="Asthma"),"Medium","Low"))</f>
        <v>Low</v>
      </c>
      <c r="AD853" t="str">
        <f t="shared" si="97"/>
        <v>No</v>
      </c>
      <c r="AE853" t="str">
        <f>IF(G853&lt;=2,"Short Stay", IF(G853&lt;=7,"Normal Stay", "Long Stay"))</f>
        <v>Long Stay</v>
      </c>
      <c r="AF853" t="str">
        <f>IF(F853&gt;60000,"Expensive",IF(F853&gt;30000,"Moderate","Affordable"))</f>
        <v>Affordable</v>
      </c>
      <c r="AG853" t="str">
        <f>IF(J853&gt;=4.5,"Excellent",IF(J853&gt;=3.5,"Good",IF(J853&gt;=2.5,"Average","Poor")))</f>
        <v>Good</v>
      </c>
      <c r="AH853" t="str">
        <f>IF(OR(TEXT(N853,"dddd")="Saturday",TEXT(N853,"dddd")="Sunday"),"Weekend","Weekday")</f>
        <v>Weekend</v>
      </c>
    </row>
    <row r="854" spans="1:34" x14ac:dyDescent="0.3">
      <c r="A854">
        <v>867</v>
      </c>
      <c r="B854">
        <v>67</v>
      </c>
      <c r="C854" t="s">
        <v>35</v>
      </c>
      <c r="D854" t="s">
        <v>99</v>
      </c>
      <c r="E854" t="s">
        <v>100</v>
      </c>
      <c r="F854">
        <v>20000</v>
      </c>
      <c r="G854">
        <v>66</v>
      </c>
      <c r="H854" t="s">
        <v>24</v>
      </c>
      <c r="I854" t="s">
        <v>25</v>
      </c>
      <c r="J854">
        <v>3</v>
      </c>
      <c r="K854" t="s">
        <v>380</v>
      </c>
      <c r="L854" t="s">
        <v>1831</v>
      </c>
      <c r="M854" t="s">
        <v>1832</v>
      </c>
      <c r="N854" s="2">
        <v>46510</v>
      </c>
      <c r="O854" s="2">
        <v>46576</v>
      </c>
      <c r="P854" t="s">
        <v>43</v>
      </c>
      <c r="Q854" t="s">
        <v>44</v>
      </c>
      <c r="R854" t="s">
        <v>45</v>
      </c>
      <c r="S854" t="s">
        <v>32</v>
      </c>
      <c r="T854" t="s">
        <v>33</v>
      </c>
      <c r="U854" t="s">
        <v>104</v>
      </c>
      <c r="V854" t="str">
        <f>IF(B854&lt;=18,"Children",IF(B854&lt;=35,"Young adult",IF(B854&lt;=60,"Adult", "Senior Citizen")))</f>
        <v>Senior Citizen</v>
      </c>
      <c r="W854" t="str">
        <f t="shared" si="91"/>
        <v>May</v>
      </c>
      <c r="X854">
        <f t="shared" si="92"/>
        <v>5</v>
      </c>
      <c r="Y854" t="str">
        <f t="shared" si="93"/>
        <v>Q2</v>
      </c>
      <c r="Z854">
        <f t="shared" si="94"/>
        <v>2027</v>
      </c>
      <c r="AA854" t="str">
        <f t="shared" si="95"/>
        <v>Monday</v>
      </c>
      <c r="AB854">
        <f t="shared" si="96"/>
        <v>-66</v>
      </c>
      <c r="AC854" t="str">
        <f>IF(OR(D854="Heart Disease",D854="Cancer",D854="Stroke"),"High",IF(OR(D854="Diabetes",D854="Asthma"),"Medium","Low"))</f>
        <v>Low</v>
      </c>
      <c r="AD854" t="str">
        <f t="shared" si="97"/>
        <v>No</v>
      </c>
      <c r="AE854" t="str">
        <f>IF(G854&lt;=2,"Short Stay", IF(G854&lt;=7,"Normal Stay", "Long Stay"))</f>
        <v>Long Stay</v>
      </c>
      <c r="AF854" t="str">
        <f>IF(F854&gt;60000,"Expensive",IF(F854&gt;30000,"Moderate","Affordable"))</f>
        <v>Affordable</v>
      </c>
      <c r="AG854" t="str">
        <f>IF(J854&gt;=4.5,"Excellent",IF(J854&gt;=3.5,"Good",IF(J854&gt;=2.5,"Average","Poor")))</f>
        <v>Average</v>
      </c>
      <c r="AH854" t="str">
        <f>IF(OR(TEXT(N854,"dddd")="Saturday",TEXT(N854,"dddd")="Sunday"),"Weekend","Weekday")</f>
        <v>Weekday</v>
      </c>
    </row>
    <row r="855" spans="1:34" x14ac:dyDescent="0.3">
      <c r="A855">
        <v>868</v>
      </c>
      <c r="B855">
        <v>35</v>
      </c>
      <c r="C855" t="s">
        <v>21</v>
      </c>
      <c r="D855" t="s">
        <v>105</v>
      </c>
      <c r="E855" t="s">
        <v>106</v>
      </c>
      <c r="F855">
        <v>12000</v>
      </c>
      <c r="G855">
        <v>60</v>
      </c>
      <c r="H855" t="s">
        <v>24</v>
      </c>
      <c r="I855" t="s">
        <v>25</v>
      </c>
      <c r="J855">
        <v>4</v>
      </c>
      <c r="K855" t="s">
        <v>194</v>
      </c>
      <c r="L855" t="s">
        <v>1833</v>
      </c>
      <c r="M855" t="s">
        <v>1834</v>
      </c>
      <c r="N855" s="2">
        <v>46511</v>
      </c>
      <c r="O855" s="2">
        <v>46571</v>
      </c>
      <c r="P855" t="s">
        <v>43</v>
      </c>
      <c r="Q855" t="s">
        <v>71</v>
      </c>
      <c r="R855" t="s">
        <v>45</v>
      </c>
      <c r="S855" t="s">
        <v>84</v>
      </c>
      <c r="T855" t="s">
        <v>33</v>
      </c>
      <c r="U855" t="s">
        <v>46</v>
      </c>
      <c r="V855" t="str">
        <f>IF(B855&lt;=18,"Children",IF(B855&lt;=35,"Young adult",IF(B855&lt;=60,"Adult", "Senior Citizen")))</f>
        <v>Young adult</v>
      </c>
      <c r="W855" t="str">
        <f t="shared" si="91"/>
        <v>May</v>
      </c>
      <c r="X855">
        <f t="shared" si="92"/>
        <v>5</v>
      </c>
      <c r="Y855" t="str">
        <f t="shared" si="93"/>
        <v>Q2</v>
      </c>
      <c r="Z855">
        <f t="shared" si="94"/>
        <v>2027</v>
      </c>
      <c r="AA855" t="str">
        <f t="shared" si="95"/>
        <v>Tuesday</v>
      </c>
      <c r="AB855">
        <f t="shared" si="96"/>
        <v>-60</v>
      </c>
      <c r="AC855" t="str">
        <f>IF(OR(D855="Heart Disease",D855="Cancer",D855="Stroke"),"High",IF(OR(D855="Diabetes",D855="Asthma"),"Medium","Low"))</f>
        <v>Low</v>
      </c>
      <c r="AD855" t="str">
        <f t="shared" si="97"/>
        <v>No</v>
      </c>
      <c r="AE855" t="str">
        <f>IF(G855&lt;=2,"Short Stay", IF(G855&lt;=7,"Normal Stay", "Long Stay"))</f>
        <v>Long Stay</v>
      </c>
      <c r="AF855" t="str">
        <f>IF(F855&gt;60000,"Expensive",IF(F855&gt;30000,"Moderate","Affordable"))</f>
        <v>Affordable</v>
      </c>
      <c r="AG855" t="str">
        <f>IF(J855&gt;=4.5,"Excellent",IF(J855&gt;=3.5,"Good",IF(J855&gt;=2.5,"Average","Poor")))</f>
        <v>Good</v>
      </c>
      <c r="AH855" t="str">
        <f>IF(OR(TEXT(N855,"dddd")="Saturday",TEXT(N855,"dddd")="Sunday"),"Weekend","Weekday")</f>
        <v>Weekday</v>
      </c>
    </row>
    <row r="856" spans="1:34" x14ac:dyDescent="0.3">
      <c r="A856">
        <v>869</v>
      </c>
      <c r="B856">
        <v>50</v>
      </c>
      <c r="C856" t="s">
        <v>35</v>
      </c>
      <c r="D856" t="s">
        <v>111</v>
      </c>
      <c r="E856" t="s">
        <v>112</v>
      </c>
      <c r="F856">
        <v>6000</v>
      </c>
      <c r="G856">
        <v>61</v>
      </c>
      <c r="H856" t="s">
        <v>24</v>
      </c>
      <c r="I856" t="s">
        <v>25</v>
      </c>
      <c r="J856">
        <v>3</v>
      </c>
      <c r="K856" t="s">
        <v>345</v>
      </c>
      <c r="L856" t="s">
        <v>1835</v>
      </c>
      <c r="M856" t="s">
        <v>1836</v>
      </c>
      <c r="N856" s="2">
        <v>46512</v>
      </c>
      <c r="O856" s="2">
        <v>46573</v>
      </c>
      <c r="P856" t="s">
        <v>29</v>
      </c>
      <c r="Q856" t="s">
        <v>139</v>
      </c>
      <c r="R856" t="s">
        <v>45</v>
      </c>
      <c r="S856" t="s">
        <v>53</v>
      </c>
      <c r="T856" t="s">
        <v>33</v>
      </c>
      <c r="U856" t="s">
        <v>46</v>
      </c>
      <c r="V856" t="str">
        <f>IF(B856&lt;=18,"Children",IF(B856&lt;=35,"Young adult",IF(B856&lt;=60,"Adult", "Senior Citizen")))</f>
        <v>Adult</v>
      </c>
      <c r="W856" t="str">
        <f t="shared" si="91"/>
        <v>May</v>
      </c>
      <c r="X856">
        <f t="shared" si="92"/>
        <v>5</v>
      </c>
      <c r="Y856" t="str">
        <f t="shared" si="93"/>
        <v>Q2</v>
      </c>
      <c r="Z856">
        <f t="shared" si="94"/>
        <v>2027</v>
      </c>
      <c r="AA856" t="str">
        <f t="shared" si="95"/>
        <v>Wednesday</v>
      </c>
      <c r="AB856">
        <f t="shared" si="96"/>
        <v>-61</v>
      </c>
      <c r="AC856" t="str">
        <f>IF(OR(D856="Heart Disease",D856="Cancer",D856="Stroke"),"High",IF(OR(D856="Diabetes",D856="Asthma"),"Medium","Low"))</f>
        <v>Low</v>
      </c>
      <c r="AD856" t="str">
        <f t="shared" si="97"/>
        <v>No</v>
      </c>
      <c r="AE856" t="str">
        <f>IF(G856&lt;=2,"Short Stay", IF(G856&lt;=7,"Normal Stay", "Long Stay"))</f>
        <v>Long Stay</v>
      </c>
      <c r="AF856" t="str">
        <f>IF(F856&gt;60000,"Expensive",IF(F856&gt;30000,"Moderate","Affordable"))</f>
        <v>Affordable</v>
      </c>
      <c r="AG856" t="str">
        <f>IF(J856&gt;=4.5,"Excellent",IF(J856&gt;=3.5,"Good",IF(J856&gt;=2.5,"Average","Poor")))</f>
        <v>Average</v>
      </c>
      <c r="AH856" t="str">
        <f>IF(OR(TEXT(N856,"dddd")="Saturday",TEXT(N856,"dddd")="Sunday"),"Weekend","Weekday")</f>
        <v>Weekday</v>
      </c>
    </row>
    <row r="857" spans="1:34" x14ac:dyDescent="0.3">
      <c r="A857">
        <v>870</v>
      </c>
      <c r="B857">
        <v>60</v>
      </c>
      <c r="C857" t="s">
        <v>21</v>
      </c>
      <c r="D857" t="s">
        <v>116</v>
      </c>
      <c r="E857" t="s">
        <v>117</v>
      </c>
      <c r="F857">
        <v>4000</v>
      </c>
      <c r="G857">
        <v>62</v>
      </c>
      <c r="H857" t="s">
        <v>24</v>
      </c>
      <c r="I857" t="s">
        <v>39</v>
      </c>
      <c r="J857">
        <v>4</v>
      </c>
      <c r="K857" t="s">
        <v>223</v>
      </c>
      <c r="L857" t="s">
        <v>1837</v>
      </c>
      <c r="M857" t="s">
        <v>1838</v>
      </c>
      <c r="N857" s="2">
        <v>46513</v>
      </c>
      <c r="O857" s="2">
        <v>46575</v>
      </c>
      <c r="P857" t="s">
        <v>29</v>
      </c>
      <c r="Q857" t="s">
        <v>139</v>
      </c>
      <c r="R857" t="s">
        <v>45</v>
      </c>
      <c r="S857" t="s">
        <v>53</v>
      </c>
      <c r="T857" t="s">
        <v>33</v>
      </c>
      <c r="U857" t="s">
        <v>78</v>
      </c>
      <c r="V857" t="str">
        <f>IF(B857&lt;=18,"Children",IF(B857&lt;=35,"Young adult",IF(B857&lt;=60,"Adult", "Senior Citizen")))</f>
        <v>Adult</v>
      </c>
      <c r="W857" t="str">
        <f t="shared" si="91"/>
        <v>May</v>
      </c>
      <c r="X857">
        <f t="shared" si="92"/>
        <v>5</v>
      </c>
      <c r="Y857" t="str">
        <f t="shared" si="93"/>
        <v>Q2</v>
      </c>
      <c r="Z857">
        <f t="shared" si="94"/>
        <v>2027</v>
      </c>
      <c r="AA857" t="str">
        <f t="shared" si="95"/>
        <v>Thursday</v>
      </c>
      <c r="AB857">
        <f t="shared" si="96"/>
        <v>-62</v>
      </c>
      <c r="AC857" t="str">
        <f>IF(OR(D857="Heart Disease",D857="Cancer",D857="Stroke"),"High",IF(OR(D857="Diabetes",D857="Asthma"),"Medium","Low"))</f>
        <v>Low</v>
      </c>
      <c r="AD857" t="str">
        <f t="shared" si="97"/>
        <v>No</v>
      </c>
      <c r="AE857" t="str">
        <f>IF(G857&lt;=2,"Short Stay", IF(G857&lt;=7,"Normal Stay", "Long Stay"))</f>
        <v>Long Stay</v>
      </c>
      <c r="AF857" t="str">
        <f>IF(F857&gt;60000,"Expensive",IF(F857&gt;30000,"Moderate","Affordable"))</f>
        <v>Affordable</v>
      </c>
      <c r="AG857" t="str">
        <f>IF(J857&gt;=4.5,"Excellent",IF(J857&gt;=3.5,"Good",IF(J857&gt;=2.5,"Average","Poor")))</f>
        <v>Good</v>
      </c>
      <c r="AH857" t="str">
        <f>IF(OR(TEXT(N857,"dddd")="Saturday",TEXT(N857,"dddd")="Sunday"),"Weekend","Weekday")</f>
        <v>Weekday</v>
      </c>
    </row>
    <row r="858" spans="1:34" x14ac:dyDescent="0.3">
      <c r="A858">
        <v>871</v>
      </c>
      <c r="B858">
        <v>48</v>
      </c>
      <c r="C858" t="s">
        <v>21</v>
      </c>
      <c r="D858" t="s">
        <v>22</v>
      </c>
      <c r="E858" t="s">
        <v>23</v>
      </c>
      <c r="F858">
        <v>15000</v>
      </c>
      <c r="G858">
        <v>63</v>
      </c>
      <c r="H858" t="s">
        <v>38</v>
      </c>
      <c r="I858" t="s">
        <v>25</v>
      </c>
      <c r="J858">
        <v>4</v>
      </c>
      <c r="K858" t="s">
        <v>197</v>
      </c>
      <c r="L858" t="s">
        <v>1839</v>
      </c>
      <c r="M858" t="s">
        <v>1840</v>
      </c>
      <c r="N858" s="2">
        <v>46514</v>
      </c>
      <c r="O858" s="2">
        <v>46577</v>
      </c>
      <c r="P858" t="s">
        <v>43</v>
      </c>
      <c r="Q858" t="s">
        <v>139</v>
      </c>
      <c r="R858" t="s">
        <v>31</v>
      </c>
      <c r="S858" t="s">
        <v>72</v>
      </c>
      <c r="T858" t="s">
        <v>33</v>
      </c>
      <c r="U858" t="s">
        <v>46</v>
      </c>
      <c r="V858" t="str">
        <f>IF(B858&lt;=18,"Children",IF(B858&lt;=35,"Young adult",IF(B858&lt;=60,"Adult", "Senior Citizen")))</f>
        <v>Adult</v>
      </c>
      <c r="W858" t="str">
        <f t="shared" si="91"/>
        <v>May</v>
      </c>
      <c r="X858">
        <f t="shared" si="92"/>
        <v>5</v>
      </c>
      <c r="Y858" t="str">
        <f t="shared" si="93"/>
        <v>Q2</v>
      </c>
      <c r="Z858">
        <f t="shared" si="94"/>
        <v>2027</v>
      </c>
      <c r="AA858" t="str">
        <f t="shared" si="95"/>
        <v>Friday</v>
      </c>
      <c r="AB858">
        <f t="shared" si="96"/>
        <v>-63</v>
      </c>
      <c r="AC858" t="str">
        <f>IF(OR(D858="Heart Disease",D858="Cancer",D858="Stroke"),"High",IF(OR(D858="Diabetes",D858="Asthma"),"Medium","Low"))</f>
        <v>High</v>
      </c>
      <c r="AD858" t="str">
        <f t="shared" si="97"/>
        <v>Yes</v>
      </c>
      <c r="AE858" t="str">
        <f>IF(G858&lt;=2,"Short Stay", IF(G858&lt;=7,"Normal Stay", "Long Stay"))</f>
        <v>Long Stay</v>
      </c>
      <c r="AF858" t="str">
        <f>IF(F858&gt;60000,"Expensive",IF(F858&gt;30000,"Moderate","Affordable"))</f>
        <v>Affordable</v>
      </c>
      <c r="AG858" t="str">
        <f>IF(J858&gt;=4.5,"Excellent",IF(J858&gt;=3.5,"Good",IF(J858&gt;=2.5,"Average","Poor")))</f>
        <v>Good</v>
      </c>
      <c r="AH858" t="str">
        <f>IF(OR(TEXT(N858,"dddd")="Saturday",TEXT(N858,"dddd")="Sunday"),"Weekend","Weekday")</f>
        <v>Weekday</v>
      </c>
    </row>
    <row r="859" spans="1:34" x14ac:dyDescent="0.3">
      <c r="A859">
        <v>872</v>
      </c>
      <c r="B859">
        <v>65</v>
      </c>
      <c r="C859" t="s">
        <v>35</v>
      </c>
      <c r="D859" t="s">
        <v>36</v>
      </c>
      <c r="E859" t="s">
        <v>37</v>
      </c>
      <c r="F859">
        <v>2000</v>
      </c>
      <c r="G859">
        <v>61</v>
      </c>
      <c r="H859" t="s">
        <v>24</v>
      </c>
      <c r="I859" t="s">
        <v>39</v>
      </c>
      <c r="J859">
        <v>3</v>
      </c>
      <c r="K859" t="s">
        <v>210</v>
      </c>
      <c r="L859" t="s">
        <v>1841</v>
      </c>
      <c r="M859" t="s">
        <v>1842</v>
      </c>
      <c r="N859" s="2">
        <v>46515</v>
      </c>
      <c r="O859" s="2">
        <v>46576</v>
      </c>
      <c r="P859" t="s">
        <v>43</v>
      </c>
      <c r="Q859" t="s">
        <v>44</v>
      </c>
      <c r="R859" t="s">
        <v>45</v>
      </c>
      <c r="S859" t="s">
        <v>32</v>
      </c>
      <c r="T859" t="s">
        <v>33</v>
      </c>
      <c r="U859" t="s">
        <v>46</v>
      </c>
      <c r="V859" t="str">
        <f>IF(B859&lt;=18,"Children",IF(B859&lt;=35,"Young adult",IF(B859&lt;=60,"Adult", "Senior Citizen")))</f>
        <v>Senior Citizen</v>
      </c>
      <c r="W859" t="str">
        <f t="shared" si="91"/>
        <v>May</v>
      </c>
      <c r="X859">
        <f t="shared" si="92"/>
        <v>5</v>
      </c>
      <c r="Y859" t="str">
        <f t="shared" si="93"/>
        <v>Q2</v>
      </c>
      <c r="Z859">
        <f t="shared" si="94"/>
        <v>2027</v>
      </c>
      <c r="AA859" t="str">
        <f t="shared" si="95"/>
        <v>Saturday</v>
      </c>
      <c r="AB859">
        <f t="shared" si="96"/>
        <v>-61</v>
      </c>
      <c r="AC859" t="str">
        <f>IF(OR(D859="Heart Disease",D859="Cancer",D859="Stroke"),"High",IF(OR(D859="Diabetes",D859="Asthma"),"Medium","Low"))</f>
        <v>Medium</v>
      </c>
      <c r="AD859" t="str">
        <f t="shared" si="97"/>
        <v>No</v>
      </c>
      <c r="AE859" t="str">
        <f>IF(G859&lt;=2,"Short Stay", IF(G859&lt;=7,"Normal Stay", "Long Stay"))</f>
        <v>Long Stay</v>
      </c>
      <c r="AF859" t="str">
        <f>IF(F859&gt;60000,"Expensive",IF(F859&gt;30000,"Moderate","Affordable"))</f>
        <v>Affordable</v>
      </c>
      <c r="AG859" t="str">
        <f>IF(J859&gt;=4.5,"Excellent",IF(J859&gt;=3.5,"Good",IF(J859&gt;=2.5,"Average","Poor")))</f>
        <v>Average</v>
      </c>
      <c r="AH859" t="str">
        <f>IF(OR(TEXT(N859,"dddd")="Saturday",TEXT(N859,"dddd")="Sunday"),"Weekend","Weekday")</f>
        <v>Weekend</v>
      </c>
    </row>
    <row r="860" spans="1:34" x14ac:dyDescent="0.3">
      <c r="A860">
        <v>873</v>
      </c>
      <c r="B860">
        <v>30</v>
      </c>
      <c r="C860" t="s">
        <v>21</v>
      </c>
      <c r="D860" t="s">
        <v>47</v>
      </c>
      <c r="E860" t="s">
        <v>48</v>
      </c>
      <c r="F860">
        <v>500</v>
      </c>
      <c r="G860">
        <v>59</v>
      </c>
      <c r="H860" t="s">
        <v>24</v>
      </c>
      <c r="I860" t="s">
        <v>25</v>
      </c>
      <c r="J860">
        <v>5</v>
      </c>
      <c r="K860" t="s">
        <v>281</v>
      </c>
      <c r="L860" t="s">
        <v>1843</v>
      </c>
      <c r="M860" t="s">
        <v>1844</v>
      </c>
      <c r="N860" s="2">
        <v>46516</v>
      </c>
      <c r="O860" s="2">
        <v>46575</v>
      </c>
      <c r="P860" t="s">
        <v>43</v>
      </c>
      <c r="Q860" t="s">
        <v>52</v>
      </c>
      <c r="R860" t="s">
        <v>45</v>
      </c>
      <c r="S860" t="s">
        <v>77</v>
      </c>
      <c r="T860" t="s">
        <v>33</v>
      </c>
      <c r="U860" t="s">
        <v>78</v>
      </c>
      <c r="V860" t="str">
        <f>IF(B860&lt;=18,"Children",IF(B860&lt;=35,"Young adult",IF(B860&lt;=60,"Adult", "Senior Citizen")))</f>
        <v>Young adult</v>
      </c>
      <c r="W860" t="str">
        <f t="shared" si="91"/>
        <v>May</v>
      </c>
      <c r="X860">
        <f t="shared" si="92"/>
        <v>5</v>
      </c>
      <c r="Y860" t="str">
        <f t="shared" si="93"/>
        <v>Q2</v>
      </c>
      <c r="Z860">
        <f t="shared" si="94"/>
        <v>2027</v>
      </c>
      <c r="AA860" t="str">
        <f t="shared" si="95"/>
        <v>Sunday</v>
      </c>
      <c r="AB860">
        <f t="shared" si="96"/>
        <v>-59</v>
      </c>
      <c r="AC860" t="str">
        <f>IF(OR(D860="Heart Disease",D860="Cancer",D860="Stroke"),"High",IF(OR(D860="Diabetes",D860="Asthma"),"Medium","Low"))</f>
        <v>Low</v>
      </c>
      <c r="AD860" t="str">
        <f t="shared" si="97"/>
        <v>No</v>
      </c>
      <c r="AE860" t="str">
        <f>IF(G860&lt;=2,"Short Stay", IF(G860&lt;=7,"Normal Stay", "Long Stay"))</f>
        <v>Long Stay</v>
      </c>
      <c r="AF860" t="str">
        <f>IF(F860&gt;60000,"Expensive",IF(F860&gt;30000,"Moderate","Affordable"))</f>
        <v>Affordable</v>
      </c>
      <c r="AG860" t="str">
        <f>IF(J860&gt;=4.5,"Excellent",IF(J860&gt;=3.5,"Good",IF(J860&gt;=2.5,"Average","Poor")))</f>
        <v>Excellent</v>
      </c>
      <c r="AH860" t="str">
        <f>IF(OR(TEXT(N860,"dddd")="Saturday",TEXT(N860,"dddd")="Sunday"),"Weekend","Weekday")</f>
        <v>Weekend</v>
      </c>
    </row>
    <row r="861" spans="1:34" x14ac:dyDescent="0.3">
      <c r="A861">
        <v>874</v>
      </c>
      <c r="B861">
        <v>70</v>
      </c>
      <c r="C861" t="s">
        <v>35</v>
      </c>
      <c r="D861" t="s">
        <v>54</v>
      </c>
      <c r="E861" t="s">
        <v>55</v>
      </c>
      <c r="F861">
        <v>10000</v>
      </c>
      <c r="G861">
        <v>66</v>
      </c>
      <c r="H861" t="s">
        <v>38</v>
      </c>
      <c r="I861" t="s">
        <v>39</v>
      </c>
      <c r="J861">
        <v>2</v>
      </c>
      <c r="K861" t="s">
        <v>107</v>
      </c>
      <c r="L861" t="s">
        <v>1845</v>
      </c>
      <c r="M861" t="s">
        <v>1846</v>
      </c>
      <c r="N861" s="2">
        <v>46517</v>
      </c>
      <c r="O861" s="2">
        <v>46583</v>
      </c>
      <c r="P861" t="s">
        <v>43</v>
      </c>
      <c r="Q861" t="s">
        <v>52</v>
      </c>
      <c r="R861" t="s">
        <v>59</v>
      </c>
      <c r="S861" t="s">
        <v>72</v>
      </c>
      <c r="T861" t="s">
        <v>33</v>
      </c>
      <c r="U861" t="s">
        <v>46</v>
      </c>
      <c r="V861" t="str">
        <f>IF(B861&lt;=18,"Children",IF(B861&lt;=35,"Young adult",IF(B861&lt;=60,"Adult", "Senior Citizen")))</f>
        <v>Senior Citizen</v>
      </c>
      <c r="W861" t="str">
        <f t="shared" si="91"/>
        <v>May</v>
      </c>
      <c r="X861">
        <f t="shared" si="92"/>
        <v>5</v>
      </c>
      <c r="Y861" t="str">
        <f t="shared" si="93"/>
        <v>Q2</v>
      </c>
      <c r="Z861">
        <f t="shared" si="94"/>
        <v>2027</v>
      </c>
      <c r="AA861" t="str">
        <f t="shared" si="95"/>
        <v>Monday</v>
      </c>
      <c r="AB861">
        <f t="shared" si="96"/>
        <v>-66</v>
      </c>
      <c r="AC861" t="str">
        <f>IF(OR(D861="Heart Disease",D861="Cancer",D861="Stroke"),"High",IF(OR(D861="Diabetes",D861="Asthma"),"Medium","Low"))</f>
        <v>High</v>
      </c>
      <c r="AD861" t="str">
        <f t="shared" si="97"/>
        <v>Yes</v>
      </c>
      <c r="AE861" t="str">
        <f>IF(G861&lt;=2,"Short Stay", IF(G861&lt;=7,"Normal Stay", "Long Stay"))</f>
        <v>Long Stay</v>
      </c>
      <c r="AF861" t="str">
        <f>IF(F861&gt;60000,"Expensive",IF(F861&gt;30000,"Moderate","Affordable"))</f>
        <v>Affordable</v>
      </c>
      <c r="AG861" t="str">
        <f>IF(J861&gt;=4.5,"Excellent",IF(J861&gt;=3.5,"Good",IF(J861&gt;=2.5,"Average","Poor")))</f>
        <v>Poor</v>
      </c>
      <c r="AH861" t="str">
        <f>IF(OR(TEXT(N861,"dddd")="Saturday",TEXT(N861,"dddd")="Sunday"),"Weekend","Weekday")</f>
        <v>Weekday</v>
      </c>
    </row>
    <row r="862" spans="1:34" x14ac:dyDescent="0.3">
      <c r="A862">
        <v>875</v>
      </c>
      <c r="B862">
        <v>55</v>
      </c>
      <c r="C862" t="s">
        <v>21</v>
      </c>
      <c r="D862" t="s">
        <v>60</v>
      </c>
      <c r="E862" t="s">
        <v>61</v>
      </c>
      <c r="F862">
        <v>25000</v>
      </c>
      <c r="G862">
        <v>68</v>
      </c>
      <c r="H862" t="s">
        <v>24</v>
      </c>
      <c r="I862" t="s">
        <v>25</v>
      </c>
      <c r="J862">
        <v>4</v>
      </c>
      <c r="K862" t="s">
        <v>429</v>
      </c>
      <c r="L862" t="s">
        <v>1847</v>
      </c>
      <c r="M862" t="s">
        <v>1848</v>
      </c>
      <c r="N862" s="2">
        <v>46518</v>
      </c>
      <c r="O862" s="2">
        <v>46586</v>
      </c>
      <c r="P862" t="s">
        <v>29</v>
      </c>
      <c r="Q862" t="s">
        <v>71</v>
      </c>
      <c r="R862" t="s">
        <v>65</v>
      </c>
      <c r="S862" t="s">
        <v>84</v>
      </c>
      <c r="T862" t="s">
        <v>33</v>
      </c>
      <c r="U862" t="s">
        <v>104</v>
      </c>
      <c r="V862" t="str">
        <f>IF(B862&lt;=18,"Children",IF(B862&lt;=35,"Young adult",IF(B862&lt;=60,"Adult", "Senior Citizen")))</f>
        <v>Adult</v>
      </c>
      <c r="W862" t="str">
        <f t="shared" si="91"/>
        <v>May</v>
      </c>
      <c r="X862">
        <f t="shared" si="92"/>
        <v>5</v>
      </c>
      <c r="Y862" t="str">
        <f t="shared" si="93"/>
        <v>Q2</v>
      </c>
      <c r="Z862">
        <f t="shared" si="94"/>
        <v>2027</v>
      </c>
      <c r="AA862" t="str">
        <f t="shared" si="95"/>
        <v>Tuesday</v>
      </c>
      <c r="AB862">
        <f t="shared" si="96"/>
        <v>-68</v>
      </c>
      <c r="AC862" t="str">
        <f>IF(OR(D862="Heart Disease",D862="Cancer",D862="Stroke"),"High",IF(OR(D862="Diabetes",D862="Asthma"),"Medium","Low"))</f>
        <v>High</v>
      </c>
      <c r="AD862" t="str">
        <f t="shared" si="97"/>
        <v>Yes</v>
      </c>
      <c r="AE862" t="str">
        <f>IF(G862&lt;=2,"Short Stay", IF(G862&lt;=7,"Normal Stay", "Long Stay"))</f>
        <v>Long Stay</v>
      </c>
      <c r="AF862" t="str">
        <f>IF(F862&gt;60000,"Expensive",IF(F862&gt;30000,"Moderate","Affordable"))</f>
        <v>Affordable</v>
      </c>
      <c r="AG862" t="str">
        <f>IF(J862&gt;=4.5,"Excellent",IF(J862&gt;=3.5,"Good",IF(J862&gt;=2.5,"Average","Poor")))</f>
        <v>Good</v>
      </c>
      <c r="AH862" t="str">
        <f>IF(OR(TEXT(N862,"dddd")="Saturday",TEXT(N862,"dddd")="Sunday"),"Weekend","Weekday")</f>
        <v>Weekday</v>
      </c>
    </row>
    <row r="863" spans="1:34" x14ac:dyDescent="0.3">
      <c r="A863">
        <v>876</v>
      </c>
      <c r="B863">
        <v>68</v>
      </c>
      <c r="C863" t="s">
        <v>35</v>
      </c>
      <c r="D863" t="s">
        <v>66</v>
      </c>
      <c r="E863" t="s">
        <v>67</v>
      </c>
      <c r="F863">
        <v>1000</v>
      </c>
      <c r="G863">
        <v>62</v>
      </c>
      <c r="H863" t="s">
        <v>24</v>
      </c>
      <c r="I863" t="s">
        <v>39</v>
      </c>
      <c r="J863">
        <v>4</v>
      </c>
      <c r="K863" t="s">
        <v>345</v>
      </c>
      <c r="L863" t="s">
        <v>1849</v>
      </c>
      <c r="M863" t="s">
        <v>1850</v>
      </c>
      <c r="N863" s="2">
        <v>46519</v>
      </c>
      <c r="O863" s="2">
        <v>46581</v>
      </c>
      <c r="P863" t="s">
        <v>43</v>
      </c>
      <c r="Q863" t="s">
        <v>71</v>
      </c>
      <c r="R863" t="s">
        <v>45</v>
      </c>
      <c r="S863" t="s">
        <v>72</v>
      </c>
      <c r="T863" t="s">
        <v>33</v>
      </c>
      <c r="U863" t="s">
        <v>34</v>
      </c>
      <c r="V863" t="str">
        <f>IF(B863&lt;=18,"Children",IF(B863&lt;=35,"Young adult",IF(B863&lt;=60,"Adult", "Senior Citizen")))</f>
        <v>Senior Citizen</v>
      </c>
      <c r="W863" t="str">
        <f t="shared" si="91"/>
        <v>May</v>
      </c>
      <c r="X863">
        <f t="shared" si="92"/>
        <v>5</v>
      </c>
      <c r="Y863" t="str">
        <f t="shared" si="93"/>
        <v>Q2</v>
      </c>
      <c r="Z863">
        <f t="shared" si="94"/>
        <v>2027</v>
      </c>
      <c r="AA863" t="str">
        <f t="shared" si="95"/>
        <v>Wednesday</v>
      </c>
      <c r="AB863">
        <f t="shared" si="96"/>
        <v>-62</v>
      </c>
      <c r="AC863" t="str">
        <f>IF(OR(D863="Heart Disease",D863="Cancer",D863="Stroke"),"High",IF(OR(D863="Diabetes",D863="Asthma"),"Medium","Low"))</f>
        <v>Low</v>
      </c>
      <c r="AD863" t="str">
        <f t="shared" si="97"/>
        <v>No</v>
      </c>
      <c r="AE863" t="str">
        <f>IF(G863&lt;=2,"Short Stay", IF(G863&lt;=7,"Normal Stay", "Long Stay"))</f>
        <v>Long Stay</v>
      </c>
      <c r="AF863" t="str">
        <f>IF(F863&gt;60000,"Expensive",IF(F863&gt;30000,"Moderate","Affordable"))</f>
        <v>Affordable</v>
      </c>
      <c r="AG863" t="str">
        <f>IF(J863&gt;=4.5,"Excellent",IF(J863&gt;=3.5,"Good",IF(J863&gt;=2.5,"Average","Poor")))</f>
        <v>Good</v>
      </c>
      <c r="AH863" t="str">
        <f>IF(OR(TEXT(N863,"dddd")="Saturday",TEXT(N863,"dddd")="Sunday"),"Weekend","Weekday")</f>
        <v>Weekday</v>
      </c>
    </row>
    <row r="864" spans="1:34" x14ac:dyDescent="0.3">
      <c r="A864">
        <v>877</v>
      </c>
      <c r="B864">
        <v>45</v>
      </c>
      <c r="C864" t="s">
        <v>21</v>
      </c>
      <c r="D864" t="s">
        <v>73</v>
      </c>
      <c r="E864" t="s">
        <v>74</v>
      </c>
      <c r="F864">
        <v>8000</v>
      </c>
      <c r="G864">
        <v>64</v>
      </c>
      <c r="H864" t="s">
        <v>24</v>
      </c>
      <c r="I864" t="s">
        <v>25</v>
      </c>
      <c r="J864">
        <v>3</v>
      </c>
      <c r="K864" t="s">
        <v>178</v>
      </c>
      <c r="L864" t="s">
        <v>1851</v>
      </c>
      <c r="M864" t="s">
        <v>1852</v>
      </c>
      <c r="N864" s="2">
        <v>46520</v>
      </c>
      <c r="O864" s="2">
        <v>46584</v>
      </c>
      <c r="P864" t="s">
        <v>29</v>
      </c>
      <c r="Q864" t="s">
        <v>30</v>
      </c>
      <c r="R864" t="s">
        <v>45</v>
      </c>
      <c r="S864" t="s">
        <v>110</v>
      </c>
      <c r="T864" t="s">
        <v>33</v>
      </c>
      <c r="U864" t="s">
        <v>34</v>
      </c>
      <c r="V864" t="str">
        <f>IF(B864&lt;=18,"Children",IF(B864&lt;=35,"Young adult",IF(B864&lt;=60,"Adult", "Senior Citizen")))</f>
        <v>Adult</v>
      </c>
      <c r="W864" t="str">
        <f t="shared" si="91"/>
        <v>May</v>
      </c>
      <c r="X864">
        <f t="shared" si="92"/>
        <v>5</v>
      </c>
      <c r="Y864" t="str">
        <f t="shared" si="93"/>
        <v>Q2</v>
      </c>
      <c r="Z864">
        <f t="shared" si="94"/>
        <v>2027</v>
      </c>
      <c r="AA864" t="str">
        <f t="shared" si="95"/>
        <v>Thursday</v>
      </c>
      <c r="AB864">
        <f t="shared" si="96"/>
        <v>-64</v>
      </c>
      <c r="AC864" t="str">
        <f>IF(OR(D864="Heart Disease",D864="Cancer",D864="Stroke"),"High",IF(OR(D864="Diabetes",D864="Asthma"),"Medium","Low"))</f>
        <v>Low</v>
      </c>
      <c r="AD864" t="str">
        <f t="shared" si="97"/>
        <v>No</v>
      </c>
      <c r="AE864" t="str">
        <f>IF(G864&lt;=2,"Short Stay", IF(G864&lt;=7,"Normal Stay", "Long Stay"))</f>
        <v>Long Stay</v>
      </c>
      <c r="AF864" t="str">
        <f>IF(F864&gt;60000,"Expensive",IF(F864&gt;30000,"Moderate","Affordable"))</f>
        <v>Affordable</v>
      </c>
      <c r="AG864" t="str">
        <f>IF(J864&gt;=4.5,"Excellent",IF(J864&gt;=3.5,"Good",IF(J864&gt;=2.5,"Average","Poor")))</f>
        <v>Average</v>
      </c>
      <c r="AH864" t="str">
        <f>IF(OR(TEXT(N864,"dddd")="Saturday",TEXT(N864,"dddd")="Sunday"),"Weekend","Weekday")</f>
        <v>Weekday</v>
      </c>
    </row>
    <row r="865" spans="1:34" x14ac:dyDescent="0.3">
      <c r="A865">
        <v>878</v>
      </c>
      <c r="B865">
        <v>40</v>
      </c>
      <c r="C865" t="s">
        <v>35</v>
      </c>
      <c r="D865" t="s">
        <v>79</v>
      </c>
      <c r="E865" t="s">
        <v>80</v>
      </c>
      <c r="F865">
        <v>3000</v>
      </c>
      <c r="G865">
        <v>64</v>
      </c>
      <c r="H865" t="s">
        <v>24</v>
      </c>
      <c r="I865" t="s">
        <v>25</v>
      </c>
      <c r="J865">
        <v>4</v>
      </c>
      <c r="K865" t="s">
        <v>40</v>
      </c>
      <c r="L865" t="s">
        <v>1853</v>
      </c>
      <c r="M865" t="s">
        <v>1854</v>
      </c>
      <c r="N865" s="2">
        <v>46521</v>
      </c>
      <c r="O865" s="2">
        <v>46585</v>
      </c>
      <c r="P865" t="s">
        <v>43</v>
      </c>
      <c r="Q865" t="s">
        <v>139</v>
      </c>
      <c r="R865" t="s">
        <v>45</v>
      </c>
      <c r="S865" t="s">
        <v>72</v>
      </c>
      <c r="T865" t="s">
        <v>33</v>
      </c>
      <c r="U865" t="s">
        <v>104</v>
      </c>
      <c r="V865" t="str">
        <f>IF(B865&lt;=18,"Children",IF(B865&lt;=35,"Young adult",IF(B865&lt;=60,"Adult", "Senior Citizen")))</f>
        <v>Adult</v>
      </c>
      <c r="W865" t="str">
        <f t="shared" si="91"/>
        <v>May</v>
      </c>
      <c r="X865">
        <f t="shared" si="92"/>
        <v>5</v>
      </c>
      <c r="Y865" t="str">
        <f t="shared" si="93"/>
        <v>Q2</v>
      </c>
      <c r="Z865">
        <f t="shared" si="94"/>
        <v>2027</v>
      </c>
      <c r="AA865" t="str">
        <f t="shared" si="95"/>
        <v>Friday</v>
      </c>
      <c r="AB865">
        <f t="shared" si="96"/>
        <v>-64</v>
      </c>
      <c r="AC865" t="str">
        <f>IF(OR(D865="Heart Disease",D865="Cancer",D865="Stroke"),"High",IF(OR(D865="Diabetes",D865="Asthma"),"Medium","Low"))</f>
        <v>Low</v>
      </c>
      <c r="AD865" t="str">
        <f t="shared" si="97"/>
        <v>No</v>
      </c>
      <c r="AE865" t="str">
        <f>IF(G865&lt;=2,"Short Stay", IF(G865&lt;=7,"Normal Stay", "Long Stay"))</f>
        <v>Long Stay</v>
      </c>
      <c r="AF865" t="str">
        <f>IF(F865&gt;60000,"Expensive",IF(F865&gt;30000,"Moderate","Affordable"))</f>
        <v>Affordable</v>
      </c>
      <c r="AG865" t="str">
        <f>IF(J865&gt;=4.5,"Excellent",IF(J865&gt;=3.5,"Good",IF(J865&gt;=2.5,"Average","Poor")))</f>
        <v>Good</v>
      </c>
      <c r="AH865" t="str">
        <f>IF(OR(TEXT(N865,"dddd")="Saturday",TEXT(N865,"dddd")="Sunday"),"Weekend","Weekday")</f>
        <v>Weekday</v>
      </c>
    </row>
    <row r="866" spans="1:34" x14ac:dyDescent="0.3">
      <c r="A866">
        <v>879</v>
      </c>
      <c r="B866">
        <v>78</v>
      </c>
      <c r="C866" t="s">
        <v>21</v>
      </c>
      <c r="D866" t="s">
        <v>85</v>
      </c>
      <c r="E866" t="s">
        <v>86</v>
      </c>
      <c r="F866">
        <v>18000</v>
      </c>
      <c r="G866">
        <v>66</v>
      </c>
      <c r="H866" t="s">
        <v>38</v>
      </c>
      <c r="I866" t="s">
        <v>39</v>
      </c>
      <c r="J866">
        <v>2</v>
      </c>
      <c r="K866" t="s">
        <v>49</v>
      </c>
      <c r="L866" t="s">
        <v>1855</v>
      </c>
      <c r="M866" t="s">
        <v>1856</v>
      </c>
      <c r="N866" s="2">
        <v>46522</v>
      </c>
      <c r="O866" s="2">
        <v>46588</v>
      </c>
      <c r="P866" t="s">
        <v>43</v>
      </c>
      <c r="Q866" t="s">
        <v>30</v>
      </c>
      <c r="R866" t="s">
        <v>45</v>
      </c>
      <c r="S866" t="s">
        <v>72</v>
      </c>
      <c r="T866" t="s">
        <v>33</v>
      </c>
      <c r="U866" t="s">
        <v>34</v>
      </c>
      <c r="V866" t="str">
        <f>IF(B866&lt;=18,"Children",IF(B866&lt;=35,"Young adult",IF(B866&lt;=60,"Adult", "Senior Citizen")))</f>
        <v>Senior Citizen</v>
      </c>
      <c r="W866" t="str">
        <f t="shared" si="91"/>
        <v>May</v>
      </c>
      <c r="X866">
        <f t="shared" si="92"/>
        <v>5</v>
      </c>
      <c r="Y866" t="str">
        <f t="shared" si="93"/>
        <v>Q2</v>
      </c>
      <c r="Z866">
        <f t="shared" si="94"/>
        <v>2027</v>
      </c>
      <c r="AA866" t="str">
        <f t="shared" si="95"/>
        <v>Saturday</v>
      </c>
      <c r="AB866">
        <f t="shared" si="96"/>
        <v>-66</v>
      </c>
      <c r="AC866" t="str">
        <f>IF(OR(D866="Heart Disease",D866="Cancer",D866="Stroke"),"High",IF(OR(D866="Diabetes",D866="Asthma"),"Medium","Low"))</f>
        <v>Low</v>
      </c>
      <c r="AD866" t="str">
        <f t="shared" si="97"/>
        <v>No</v>
      </c>
      <c r="AE866" t="str">
        <f>IF(G866&lt;=2,"Short Stay", IF(G866&lt;=7,"Normal Stay", "Long Stay"))</f>
        <v>Long Stay</v>
      </c>
      <c r="AF866" t="str">
        <f>IF(F866&gt;60000,"Expensive",IF(F866&gt;30000,"Moderate","Affordable"))</f>
        <v>Affordable</v>
      </c>
      <c r="AG866" t="str">
        <f>IF(J866&gt;=4.5,"Excellent",IF(J866&gt;=3.5,"Good",IF(J866&gt;=2.5,"Average","Poor")))</f>
        <v>Poor</v>
      </c>
      <c r="AH866" t="str">
        <f>IF(OR(TEXT(N866,"dddd")="Saturday",TEXT(N866,"dddd")="Sunday"),"Weekend","Weekday")</f>
        <v>Weekend</v>
      </c>
    </row>
    <row r="867" spans="1:34" x14ac:dyDescent="0.3">
      <c r="A867">
        <v>880</v>
      </c>
      <c r="B867">
        <v>25</v>
      </c>
      <c r="C867" t="s">
        <v>35</v>
      </c>
      <c r="D867" t="s">
        <v>89</v>
      </c>
      <c r="E867" t="s">
        <v>90</v>
      </c>
      <c r="F867">
        <v>100</v>
      </c>
      <c r="G867">
        <v>59</v>
      </c>
      <c r="H867" t="s">
        <v>24</v>
      </c>
      <c r="I867" t="s">
        <v>25</v>
      </c>
      <c r="J867">
        <v>5</v>
      </c>
      <c r="K867" t="s">
        <v>133</v>
      </c>
      <c r="L867" t="s">
        <v>1857</v>
      </c>
      <c r="M867" t="s">
        <v>1858</v>
      </c>
      <c r="N867" s="2">
        <v>46523</v>
      </c>
      <c r="O867" s="2">
        <v>46582</v>
      </c>
      <c r="P867" t="s">
        <v>43</v>
      </c>
      <c r="Q867" t="s">
        <v>71</v>
      </c>
      <c r="R867" t="s">
        <v>45</v>
      </c>
      <c r="S867" t="s">
        <v>32</v>
      </c>
      <c r="T867" t="s">
        <v>33</v>
      </c>
      <c r="U867" t="s">
        <v>104</v>
      </c>
      <c r="V867" t="str">
        <f>IF(B867&lt;=18,"Children",IF(B867&lt;=35,"Young adult",IF(B867&lt;=60,"Adult", "Senior Citizen")))</f>
        <v>Young adult</v>
      </c>
      <c r="W867" t="str">
        <f t="shared" si="91"/>
        <v>May</v>
      </c>
      <c r="X867">
        <f t="shared" si="92"/>
        <v>5</v>
      </c>
      <c r="Y867" t="str">
        <f t="shared" si="93"/>
        <v>Q2</v>
      </c>
      <c r="Z867">
        <f t="shared" si="94"/>
        <v>2027</v>
      </c>
      <c r="AA867" t="str">
        <f t="shared" si="95"/>
        <v>Sunday</v>
      </c>
      <c r="AB867">
        <f t="shared" si="96"/>
        <v>-59</v>
      </c>
      <c r="AC867" t="str">
        <f>IF(OR(D867="Heart Disease",D867="Cancer",D867="Stroke"),"High",IF(OR(D867="Diabetes",D867="Asthma"),"Medium","Low"))</f>
        <v>Low</v>
      </c>
      <c r="AD867" t="str">
        <f t="shared" si="97"/>
        <v>No</v>
      </c>
      <c r="AE867" t="str">
        <f>IF(G867&lt;=2,"Short Stay", IF(G867&lt;=7,"Normal Stay", "Long Stay"))</f>
        <v>Long Stay</v>
      </c>
      <c r="AF867" t="str">
        <f>IF(F867&gt;60000,"Expensive",IF(F867&gt;30000,"Moderate","Affordable"))</f>
        <v>Affordable</v>
      </c>
      <c r="AG867" t="str">
        <f>IF(J867&gt;=4.5,"Excellent",IF(J867&gt;=3.5,"Good",IF(J867&gt;=2.5,"Average","Poor")))</f>
        <v>Excellent</v>
      </c>
      <c r="AH867" t="str">
        <f>IF(OR(TEXT(N867,"dddd")="Saturday",TEXT(N867,"dddd")="Sunday"),"Weekend","Weekday")</f>
        <v>Weekend</v>
      </c>
    </row>
    <row r="868" spans="1:34" x14ac:dyDescent="0.3">
      <c r="A868">
        <v>881</v>
      </c>
      <c r="B868">
        <v>52</v>
      </c>
      <c r="C868" t="s">
        <v>21</v>
      </c>
      <c r="D868" t="s">
        <v>94</v>
      </c>
      <c r="E868" t="s">
        <v>95</v>
      </c>
      <c r="F868">
        <v>800</v>
      </c>
      <c r="G868">
        <v>60</v>
      </c>
      <c r="H868" t="s">
        <v>24</v>
      </c>
      <c r="I868" t="s">
        <v>39</v>
      </c>
      <c r="J868">
        <v>4</v>
      </c>
      <c r="K868" t="s">
        <v>96</v>
      </c>
      <c r="L868" t="s">
        <v>1859</v>
      </c>
      <c r="M868" t="s">
        <v>1860</v>
      </c>
      <c r="N868" s="2">
        <v>46524</v>
      </c>
      <c r="O868" s="2">
        <v>46584</v>
      </c>
      <c r="P868" t="s">
        <v>43</v>
      </c>
      <c r="Q868" t="s">
        <v>71</v>
      </c>
      <c r="R868" t="s">
        <v>45</v>
      </c>
      <c r="S868" t="s">
        <v>110</v>
      </c>
      <c r="T868" t="s">
        <v>33</v>
      </c>
      <c r="U868" t="s">
        <v>78</v>
      </c>
      <c r="V868" t="str">
        <f>IF(B868&lt;=18,"Children",IF(B868&lt;=35,"Young adult",IF(B868&lt;=60,"Adult", "Senior Citizen")))</f>
        <v>Adult</v>
      </c>
      <c r="W868" t="str">
        <f t="shared" si="91"/>
        <v>May</v>
      </c>
      <c r="X868">
        <f t="shared" si="92"/>
        <v>5</v>
      </c>
      <c r="Y868" t="str">
        <f t="shared" si="93"/>
        <v>Q2</v>
      </c>
      <c r="Z868">
        <f t="shared" si="94"/>
        <v>2027</v>
      </c>
      <c r="AA868" t="str">
        <f t="shared" si="95"/>
        <v>Monday</v>
      </c>
      <c r="AB868">
        <f t="shared" si="96"/>
        <v>-60</v>
      </c>
      <c r="AC868" t="str">
        <f>IF(OR(D868="Heart Disease",D868="Cancer",D868="Stroke"),"High",IF(OR(D868="Diabetes",D868="Asthma"),"Medium","Low"))</f>
        <v>Low</v>
      </c>
      <c r="AD868" t="str">
        <f t="shared" si="97"/>
        <v>No</v>
      </c>
      <c r="AE868" t="str">
        <f>IF(G868&lt;=2,"Short Stay", IF(G868&lt;=7,"Normal Stay", "Long Stay"))</f>
        <v>Long Stay</v>
      </c>
      <c r="AF868" t="str">
        <f>IF(F868&gt;60000,"Expensive",IF(F868&gt;30000,"Moderate","Affordable"))</f>
        <v>Affordable</v>
      </c>
      <c r="AG868" t="str">
        <f>IF(J868&gt;=4.5,"Excellent",IF(J868&gt;=3.5,"Good",IF(J868&gt;=2.5,"Average","Poor")))</f>
        <v>Good</v>
      </c>
      <c r="AH868" t="str">
        <f>IF(OR(TEXT(N868,"dddd")="Saturday",TEXT(N868,"dddd")="Sunday"),"Weekend","Weekday")</f>
        <v>Weekday</v>
      </c>
    </row>
    <row r="869" spans="1:34" x14ac:dyDescent="0.3">
      <c r="A869">
        <v>882</v>
      </c>
      <c r="B869">
        <v>58</v>
      </c>
      <c r="C869" t="s">
        <v>35</v>
      </c>
      <c r="D869" t="s">
        <v>99</v>
      </c>
      <c r="E869" t="s">
        <v>100</v>
      </c>
      <c r="F869">
        <v>20000</v>
      </c>
      <c r="G869">
        <v>67</v>
      </c>
      <c r="H869" t="s">
        <v>24</v>
      </c>
      <c r="I869" t="s">
        <v>25</v>
      </c>
      <c r="J869">
        <v>3</v>
      </c>
      <c r="K869" t="s">
        <v>26</v>
      </c>
      <c r="L869" t="s">
        <v>1861</v>
      </c>
      <c r="M869" t="s">
        <v>1862</v>
      </c>
      <c r="N869" s="2">
        <v>46525</v>
      </c>
      <c r="O869" s="2">
        <v>46592</v>
      </c>
      <c r="P869" t="s">
        <v>29</v>
      </c>
      <c r="Q869" t="s">
        <v>71</v>
      </c>
      <c r="R869" t="s">
        <v>45</v>
      </c>
      <c r="S869" t="s">
        <v>77</v>
      </c>
      <c r="T869" t="s">
        <v>33</v>
      </c>
      <c r="U869" t="s">
        <v>104</v>
      </c>
      <c r="V869" t="str">
        <f>IF(B869&lt;=18,"Children",IF(B869&lt;=35,"Young adult",IF(B869&lt;=60,"Adult", "Senior Citizen")))</f>
        <v>Adult</v>
      </c>
      <c r="W869" t="str">
        <f t="shared" si="91"/>
        <v>May</v>
      </c>
      <c r="X869">
        <f t="shared" si="92"/>
        <v>5</v>
      </c>
      <c r="Y869" t="str">
        <f t="shared" si="93"/>
        <v>Q2</v>
      </c>
      <c r="Z869">
        <f t="shared" si="94"/>
        <v>2027</v>
      </c>
      <c r="AA869" t="str">
        <f t="shared" si="95"/>
        <v>Tuesday</v>
      </c>
      <c r="AB869">
        <f t="shared" si="96"/>
        <v>-67</v>
      </c>
      <c r="AC869" t="str">
        <f>IF(OR(D869="Heart Disease",D869="Cancer",D869="Stroke"),"High",IF(OR(D869="Diabetes",D869="Asthma"),"Medium","Low"))</f>
        <v>Low</v>
      </c>
      <c r="AD869" t="str">
        <f t="shared" si="97"/>
        <v>No</v>
      </c>
      <c r="AE869" t="str">
        <f>IF(G869&lt;=2,"Short Stay", IF(G869&lt;=7,"Normal Stay", "Long Stay"))</f>
        <v>Long Stay</v>
      </c>
      <c r="AF869" t="str">
        <f>IF(F869&gt;60000,"Expensive",IF(F869&gt;30000,"Moderate","Affordable"))</f>
        <v>Affordable</v>
      </c>
      <c r="AG869" t="str">
        <f>IF(J869&gt;=4.5,"Excellent",IF(J869&gt;=3.5,"Good",IF(J869&gt;=2.5,"Average","Poor")))</f>
        <v>Average</v>
      </c>
      <c r="AH869" t="str">
        <f>IF(OR(TEXT(N869,"dddd")="Saturday",TEXT(N869,"dddd")="Sunday"),"Weekend","Weekday")</f>
        <v>Weekday</v>
      </c>
    </row>
    <row r="870" spans="1:34" x14ac:dyDescent="0.3">
      <c r="A870">
        <v>883</v>
      </c>
      <c r="B870">
        <v>32</v>
      </c>
      <c r="C870" t="s">
        <v>21</v>
      </c>
      <c r="D870" t="s">
        <v>105</v>
      </c>
      <c r="E870" t="s">
        <v>106</v>
      </c>
      <c r="F870">
        <v>12000</v>
      </c>
      <c r="G870">
        <v>61</v>
      </c>
      <c r="H870" t="s">
        <v>24</v>
      </c>
      <c r="I870" t="s">
        <v>25</v>
      </c>
      <c r="J870">
        <v>4</v>
      </c>
      <c r="K870" t="s">
        <v>324</v>
      </c>
      <c r="L870" t="s">
        <v>1863</v>
      </c>
      <c r="M870" t="s">
        <v>1864</v>
      </c>
      <c r="N870" s="2">
        <v>46526</v>
      </c>
      <c r="O870" s="2">
        <v>46587</v>
      </c>
      <c r="P870" t="s">
        <v>43</v>
      </c>
      <c r="Q870" t="s">
        <v>71</v>
      </c>
      <c r="R870" t="s">
        <v>45</v>
      </c>
      <c r="S870" t="s">
        <v>110</v>
      </c>
      <c r="T870" t="s">
        <v>33</v>
      </c>
      <c r="U870" t="s">
        <v>46</v>
      </c>
      <c r="V870" t="str">
        <f>IF(B870&lt;=18,"Children",IF(B870&lt;=35,"Young adult",IF(B870&lt;=60,"Adult", "Senior Citizen")))</f>
        <v>Young adult</v>
      </c>
      <c r="W870" t="str">
        <f t="shared" si="91"/>
        <v>May</v>
      </c>
      <c r="X870">
        <f t="shared" si="92"/>
        <v>5</v>
      </c>
      <c r="Y870" t="str">
        <f t="shared" si="93"/>
        <v>Q2</v>
      </c>
      <c r="Z870">
        <f t="shared" si="94"/>
        <v>2027</v>
      </c>
      <c r="AA870" t="str">
        <f t="shared" si="95"/>
        <v>Wednesday</v>
      </c>
      <c r="AB870">
        <f t="shared" si="96"/>
        <v>-61</v>
      </c>
      <c r="AC870" t="str">
        <f>IF(OR(D870="Heart Disease",D870="Cancer",D870="Stroke"),"High",IF(OR(D870="Diabetes",D870="Asthma"),"Medium","Low"))</f>
        <v>Low</v>
      </c>
      <c r="AD870" t="str">
        <f t="shared" si="97"/>
        <v>No</v>
      </c>
      <c r="AE870" t="str">
        <f>IF(G870&lt;=2,"Short Stay", IF(G870&lt;=7,"Normal Stay", "Long Stay"))</f>
        <v>Long Stay</v>
      </c>
      <c r="AF870" t="str">
        <f>IF(F870&gt;60000,"Expensive",IF(F870&gt;30000,"Moderate","Affordable"))</f>
        <v>Affordable</v>
      </c>
      <c r="AG870" t="str">
        <f>IF(J870&gt;=4.5,"Excellent",IF(J870&gt;=3.5,"Good",IF(J870&gt;=2.5,"Average","Poor")))</f>
        <v>Good</v>
      </c>
      <c r="AH870" t="str">
        <f>IF(OR(TEXT(N870,"dddd")="Saturday",TEXT(N870,"dddd")="Sunday"),"Weekend","Weekday")</f>
        <v>Weekday</v>
      </c>
    </row>
    <row r="871" spans="1:34" x14ac:dyDescent="0.3">
      <c r="A871">
        <v>884</v>
      </c>
      <c r="B871">
        <v>55</v>
      </c>
      <c r="C871" t="s">
        <v>35</v>
      </c>
      <c r="D871" t="s">
        <v>111</v>
      </c>
      <c r="E871" t="s">
        <v>112</v>
      </c>
      <c r="F871">
        <v>6000</v>
      </c>
      <c r="G871">
        <v>62</v>
      </c>
      <c r="H871" t="s">
        <v>24</v>
      </c>
      <c r="I871" t="s">
        <v>25</v>
      </c>
      <c r="J871">
        <v>3</v>
      </c>
      <c r="K871" t="s">
        <v>218</v>
      </c>
      <c r="L871" t="s">
        <v>1865</v>
      </c>
      <c r="M871" t="s">
        <v>1866</v>
      </c>
      <c r="N871" s="2">
        <v>46527</v>
      </c>
      <c r="O871" s="2">
        <v>46589</v>
      </c>
      <c r="P871" t="s">
        <v>29</v>
      </c>
      <c r="Q871" t="s">
        <v>71</v>
      </c>
      <c r="R871" t="s">
        <v>45</v>
      </c>
      <c r="S871" t="s">
        <v>77</v>
      </c>
      <c r="T871" t="s">
        <v>33</v>
      </c>
      <c r="U871" t="s">
        <v>46</v>
      </c>
      <c r="V871" t="str">
        <f>IF(B871&lt;=18,"Children",IF(B871&lt;=35,"Young adult",IF(B871&lt;=60,"Adult", "Senior Citizen")))</f>
        <v>Adult</v>
      </c>
      <c r="W871" t="str">
        <f t="shared" si="91"/>
        <v>May</v>
      </c>
      <c r="X871">
        <f t="shared" si="92"/>
        <v>5</v>
      </c>
      <c r="Y871" t="str">
        <f t="shared" si="93"/>
        <v>Q2</v>
      </c>
      <c r="Z871">
        <f t="shared" si="94"/>
        <v>2027</v>
      </c>
      <c r="AA871" t="str">
        <f t="shared" si="95"/>
        <v>Thursday</v>
      </c>
      <c r="AB871">
        <f t="shared" si="96"/>
        <v>-62</v>
      </c>
      <c r="AC871" t="str">
        <f>IF(OR(D871="Heart Disease",D871="Cancer",D871="Stroke"),"High",IF(OR(D871="Diabetes",D871="Asthma"),"Medium","Low"))</f>
        <v>Low</v>
      </c>
      <c r="AD871" t="str">
        <f t="shared" si="97"/>
        <v>No</v>
      </c>
      <c r="AE871" t="str">
        <f>IF(G871&lt;=2,"Short Stay", IF(G871&lt;=7,"Normal Stay", "Long Stay"))</f>
        <v>Long Stay</v>
      </c>
      <c r="AF871" t="str">
        <f>IF(F871&gt;60000,"Expensive",IF(F871&gt;30000,"Moderate","Affordable"))</f>
        <v>Affordable</v>
      </c>
      <c r="AG871" t="str">
        <f>IF(J871&gt;=4.5,"Excellent",IF(J871&gt;=3.5,"Good",IF(J871&gt;=2.5,"Average","Poor")))</f>
        <v>Average</v>
      </c>
      <c r="AH871" t="str">
        <f>IF(OR(TEXT(N871,"dddd")="Saturday",TEXT(N871,"dddd")="Sunday"),"Weekend","Weekday")</f>
        <v>Weekday</v>
      </c>
    </row>
    <row r="872" spans="1:34" x14ac:dyDescent="0.3">
      <c r="A872">
        <v>885</v>
      </c>
      <c r="B872">
        <v>65</v>
      </c>
      <c r="C872" t="s">
        <v>21</v>
      </c>
      <c r="D872" t="s">
        <v>116</v>
      </c>
      <c r="E872" t="s">
        <v>117</v>
      </c>
      <c r="F872">
        <v>4000</v>
      </c>
      <c r="G872">
        <v>63</v>
      </c>
      <c r="H872" t="s">
        <v>24</v>
      </c>
      <c r="I872" t="s">
        <v>39</v>
      </c>
      <c r="J872">
        <v>4</v>
      </c>
      <c r="K872" t="s">
        <v>113</v>
      </c>
      <c r="L872" t="s">
        <v>1867</v>
      </c>
      <c r="M872" t="s">
        <v>1868</v>
      </c>
      <c r="N872" s="2">
        <v>46528</v>
      </c>
      <c r="O872" s="2">
        <v>46591</v>
      </c>
      <c r="P872" t="s">
        <v>43</v>
      </c>
      <c r="Q872" t="s">
        <v>30</v>
      </c>
      <c r="R872" t="s">
        <v>45</v>
      </c>
      <c r="S872" t="s">
        <v>84</v>
      </c>
      <c r="T872" t="s">
        <v>33</v>
      </c>
      <c r="U872" t="s">
        <v>34</v>
      </c>
      <c r="V872" t="str">
        <f>IF(B872&lt;=18,"Children",IF(B872&lt;=35,"Young adult",IF(B872&lt;=60,"Adult", "Senior Citizen")))</f>
        <v>Senior Citizen</v>
      </c>
      <c r="W872" t="str">
        <f t="shared" si="91"/>
        <v>May</v>
      </c>
      <c r="X872">
        <f t="shared" si="92"/>
        <v>5</v>
      </c>
      <c r="Y872" t="str">
        <f t="shared" si="93"/>
        <v>Q2</v>
      </c>
      <c r="Z872">
        <f t="shared" si="94"/>
        <v>2027</v>
      </c>
      <c r="AA872" t="str">
        <f t="shared" si="95"/>
        <v>Friday</v>
      </c>
      <c r="AB872">
        <f t="shared" si="96"/>
        <v>-63</v>
      </c>
      <c r="AC872" t="str">
        <f>IF(OR(D872="Heart Disease",D872="Cancer",D872="Stroke"),"High",IF(OR(D872="Diabetes",D872="Asthma"),"Medium","Low"))</f>
        <v>Low</v>
      </c>
      <c r="AD872" t="str">
        <f t="shared" si="97"/>
        <v>No</v>
      </c>
      <c r="AE872" t="str">
        <f>IF(G872&lt;=2,"Short Stay", IF(G872&lt;=7,"Normal Stay", "Long Stay"))</f>
        <v>Long Stay</v>
      </c>
      <c r="AF872" t="str">
        <f>IF(F872&gt;60000,"Expensive",IF(F872&gt;30000,"Moderate","Affordable"))</f>
        <v>Affordable</v>
      </c>
      <c r="AG872" t="str">
        <f>IF(J872&gt;=4.5,"Excellent",IF(J872&gt;=3.5,"Good",IF(J872&gt;=2.5,"Average","Poor")))</f>
        <v>Good</v>
      </c>
      <c r="AH872" t="str">
        <f>IF(OR(TEXT(N872,"dddd")="Saturday",TEXT(N872,"dddd")="Sunday"),"Weekend","Weekday")</f>
        <v>Weekday</v>
      </c>
    </row>
    <row r="873" spans="1:34" x14ac:dyDescent="0.3">
      <c r="A873">
        <v>886</v>
      </c>
      <c r="B873">
        <v>55</v>
      </c>
      <c r="C873" t="s">
        <v>21</v>
      </c>
      <c r="D873" t="s">
        <v>22</v>
      </c>
      <c r="E873" t="s">
        <v>23</v>
      </c>
      <c r="F873">
        <v>15000</v>
      </c>
      <c r="G873">
        <v>64</v>
      </c>
      <c r="H873" t="s">
        <v>38</v>
      </c>
      <c r="I873" t="s">
        <v>25</v>
      </c>
      <c r="J873">
        <v>3</v>
      </c>
      <c r="K873" t="s">
        <v>26</v>
      </c>
      <c r="L873" t="s">
        <v>1869</v>
      </c>
      <c r="M873" t="s">
        <v>1870</v>
      </c>
      <c r="N873" s="2">
        <v>46529</v>
      </c>
      <c r="O873" s="2">
        <v>46593</v>
      </c>
      <c r="P873" t="s">
        <v>29</v>
      </c>
      <c r="Q873" t="s">
        <v>52</v>
      </c>
      <c r="R873" t="s">
        <v>31</v>
      </c>
      <c r="S873" t="s">
        <v>84</v>
      </c>
      <c r="T873" t="s">
        <v>33</v>
      </c>
      <c r="U873" t="s">
        <v>78</v>
      </c>
      <c r="V873" t="str">
        <f>IF(B873&lt;=18,"Children",IF(B873&lt;=35,"Young adult",IF(B873&lt;=60,"Adult", "Senior Citizen")))</f>
        <v>Adult</v>
      </c>
      <c r="W873" t="str">
        <f t="shared" si="91"/>
        <v>May</v>
      </c>
      <c r="X873">
        <f t="shared" si="92"/>
        <v>5</v>
      </c>
      <c r="Y873" t="str">
        <f t="shared" si="93"/>
        <v>Q2</v>
      </c>
      <c r="Z873">
        <f t="shared" si="94"/>
        <v>2027</v>
      </c>
      <c r="AA873" t="str">
        <f t="shared" si="95"/>
        <v>Saturday</v>
      </c>
      <c r="AB873">
        <f t="shared" si="96"/>
        <v>-64</v>
      </c>
      <c r="AC873" t="str">
        <f>IF(OR(D873="Heart Disease",D873="Cancer",D873="Stroke"),"High",IF(OR(D873="Diabetes",D873="Asthma"),"Medium","Low"))</f>
        <v>High</v>
      </c>
      <c r="AD873" t="str">
        <f t="shared" si="97"/>
        <v>Yes</v>
      </c>
      <c r="AE873" t="str">
        <f>IF(G873&lt;=2,"Short Stay", IF(G873&lt;=7,"Normal Stay", "Long Stay"))</f>
        <v>Long Stay</v>
      </c>
      <c r="AF873" t="str">
        <f>IF(F873&gt;60000,"Expensive",IF(F873&gt;30000,"Moderate","Affordable"))</f>
        <v>Affordable</v>
      </c>
      <c r="AG873" t="str">
        <f>IF(J873&gt;=4.5,"Excellent",IF(J873&gt;=3.5,"Good",IF(J873&gt;=2.5,"Average","Poor")))</f>
        <v>Average</v>
      </c>
      <c r="AH873" t="str">
        <f>IF(OR(TEXT(N873,"dddd")="Saturday",TEXT(N873,"dddd")="Sunday"),"Weekend","Weekday")</f>
        <v>Weekend</v>
      </c>
    </row>
    <row r="874" spans="1:34" x14ac:dyDescent="0.3">
      <c r="A874">
        <v>887</v>
      </c>
      <c r="B874">
        <v>62</v>
      </c>
      <c r="C874" t="s">
        <v>35</v>
      </c>
      <c r="D874" t="s">
        <v>36</v>
      </c>
      <c r="E874" t="s">
        <v>37</v>
      </c>
      <c r="F874">
        <v>2000</v>
      </c>
      <c r="G874">
        <v>62</v>
      </c>
      <c r="H874" t="s">
        <v>24</v>
      </c>
      <c r="I874" t="s">
        <v>39</v>
      </c>
      <c r="J874">
        <v>4</v>
      </c>
      <c r="K874" t="s">
        <v>96</v>
      </c>
      <c r="L874" t="s">
        <v>1871</v>
      </c>
      <c r="M874" t="s">
        <v>1872</v>
      </c>
      <c r="N874" s="2">
        <v>46530</v>
      </c>
      <c r="O874" s="2">
        <v>46592</v>
      </c>
      <c r="P874" t="s">
        <v>43</v>
      </c>
      <c r="Q874" t="s">
        <v>52</v>
      </c>
      <c r="R874" t="s">
        <v>45</v>
      </c>
      <c r="S874" t="s">
        <v>110</v>
      </c>
      <c r="T874" t="s">
        <v>33</v>
      </c>
      <c r="U874" t="s">
        <v>78</v>
      </c>
      <c r="V874" t="str">
        <f>IF(B874&lt;=18,"Children",IF(B874&lt;=35,"Young adult",IF(B874&lt;=60,"Adult", "Senior Citizen")))</f>
        <v>Senior Citizen</v>
      </c>
      <c r="W874" t="str">
        <f t="shared" si="91"/>
        <v>May</v>
      </c>
      <c r="X874">
        <f t="shared" si="92"/>
        <v>5</v>
      </c>
      <c r="Y874" t="str">
        <f t="shared" si="93"/>
        <v>Q2</v>
      </c>
      <c r="Z874">
        <f t="shared" si="94"/>
        <v>2027</v>
      </c>
      <c r="AA874" t="str">
        <f t="shared" si="95"/>
        <v>Sunday</v>
      </c>
      <c r="AB874">
        <f t="shared" si="96"/>
        <v>-62</v>
      </c>
      <c r="AC874" t="str">
        <f>IF(OR(D874="Heart Disease",D874="Cancer",D874="Stroke"),"High",IF(OR(D874="Diabetes",D874="Asthma"),"Medium","Low"))</f>
        <v>Medium</v>
      </c>
      <c r="AD874" t="str">
        <f t="shared" si="97"/>
        <v>No</v>
      </c>
      <c r="AE874" t="str">
        <f>IF(G874&lt;=2,"Short Stay", IF(G874&lt;=7,"Normal Stay", "Long Stay"))</f>
        <v>Long Stay</v>
      </c>
      <c r="AF874" t="str">
        <f>IF(F874&gt;60000,"Expensive",IF(F874&gt;30000,"Moderate","Affordable"))</f>
        <v>Affordable</v>
      </c>
      <c r="AG874" t="str">
        <f>IF(J874&gt;=4.5,"Excellent",IF(J874&gt;=3.5,"Good",IF(J874&gt;=2.5,"Average","Poor")))</f>
        <v>Good</v>
      </c>
      <c r="AH874" t="str">
        <f>IF(OR(TEXT(N874,"dddd")="Saturday",TEXT(N874,"dddd")="Sunday"),"Weekend","Weekday")</f>
        <v>Weekend</v>
      </c>
    </row>
    <row r="875" spans="1:34" x14ac:dyDescent="0.3">
      <c r="A875">
        <v>888</v>
      </c>
      <c r="B875">
        <v>35</v>
      </c>
      <c r="C875" t="s">
        <v>21</v>
      </c>
      <c r="D875" t="s">
        <v>47</v>
      </c>
      <c r="E875" t="s">
        <v>48</v>
      </c>
      <c r="F875">
        <v>500</v>
      </c>
      <c r="G875">
        <v>60</v>
      </c>
      <c r="H875" t="s">
        <v>38</v>
      </c>
      <c r="I875" t="s">
        <v>25</v>
      </c>
      <c r="J875">
        <v>5</v>
      </c>
      <c r="K875" t="s">
        <v>136</v>
      </c>
      <c r="L875" t="s">
        <v>1873</v>
      </c>
      <c r="M875" t="s">
        <v>1874</v>
      </c>
      <c r="N875" s="2">
        <v>46531</v>
      </c>
      <c r="O875" s="2">
        <v>46591</v>
      </c>
      <c r="P875" t="s">
        <v>43</v>
      </c>
      <c r="Q875" t="s">
        <v>52</v>
      </c>
      <c r="R875" t="s">
        <v>45</v>
      </c>
      <c r="S875" t="s">
        <v>53</v>
      </c>
      <c r="T875" t="s">
        <v>33</v>
      </c>
      <c r="U875" t="s">
        <v>34</v>
      </c>
      <c r="V875" t="str">
        <f>IF(B875&lt;=18,"Children",IF(B875&lt;=35,"Young adult",IF(B875&lt;=60,"Adult", "Senior Citizen")))</f>
        <v>Young adult</v>
      </c>
      <c r="W875" t="str">
        <f t="shared" si="91"/>
        <v>May</v>
      </c>
      <c r="X875">
        <f t="shared" si="92"/>
        <v>5</v>
      </c>
      <c r="Y875" t="str">
        <f t="shared" si="93"/>
        <v>Q2</v>
      </c>
      <c r="Z875">
        <f t="shared" si="94"/>
        <v>2027</v>
      </c>
      <c r="AA875" t="str">
        <f t="shared" si="95"/>
        <v>Monday</v>
      </c>
      <c r="AB875">
        <f t="shared" si="96"/>
        <v>-60</v>
      </c>
      <c r="AC875" t="str">
        <f>IF(OR(D875="Heart Disease",D875="Cancer",D875="Stroke"),"High",IF(OR(D875="Diabetes",D875="Asthma"),"Medium","Low"))</f>
        <v>Low</v>
      </c>
      <c r="AD875" t="str">
        <f t="shared" si="97"/>
        <v>No</v>
      </c>
      <c r="AE875" t="str">
        <f>IF(G875&lt;=2,"Short Stay", IF(G875&lt;=7,"Normal Stay", "Long Stay"))</f>
        <v>Long Stay</v>
      </c>
      <c r="AF875" t="str">
        <f>IF(F875&gt;60000,"Expensive",IF(F875&gt;30000,"Moderate","Affordable"))</f>
        <v>Affordable</v>
      </c>
      <c r="AG875" t="str">
        <f>IF(J875&gt;=4.5,"Excellent",IF(J875&gt;=3.5,"Good",IF(J875&gt;=2.5,"Average","Poor")))</f>
        <v>Excellent</v>
      </c>
      <c r="AH875" t="str">
        <f>IF(OR(TEXT(N875,"dddd")="Saturday",TEXT(N875,"dddd")="Sunday"),"Weekend","Weekday")</f>
        <v>Weekday</v>
      </c>
    </row>
    <row r="876" spans="1:34" x14ac:dyDescent="0.3">
      <c r="A876">
        <v>889</v>
      </c>
      <c r="B876">
        <v>78</v>
      </c>
      <c r="C876" t="s">
        <v>35</v>
      </c>
      <c r="D876" t="s">
        <v>54</v>
      </c>
      <c r="E876" t="s">
        <v>55</v>
      </c>
      <c r="F876">
        <v>10000</v>
      </c>
      <c r="G876">
        <v>67</v>
      </c>
      <c r="H876" t="s">
        <v>24</v>
      </c>
      <c r="I876" t="s">
        <v>39</v>
      </c>
      <c r="J876">
        <v>2</v>
      </c>
      <c r="K876" t="s">
        <v>215</v>
      </c>
      <c r="L876" t="s">
        <v>1875</v>
      </c>
      <c r="M876" t="s">
        <v>1876</v>
      </c>
      <c r="N876" s="2">
        <v>46532</v>
      </c>
      <c r="O876" s="2">
        <v>46599</v>
      </c>
      <c r="P876" t="s">
        <v>43</v>
      </c>
      <c r="Q876" t="s">
        <v>52</v>
      </c>
      <c r="R876" t="s">
        <v>59</v>
      </c>
      <c r="S876" t="s">
        <v>72</v>
      </c>
      <c r="T876" t="s">
        <v>33</v>
      </c>
      <c r="U876" t="s">
        <v>46</v>
      </c>
      <c r="V876" t="str">
        <f>IF(B876&lt;=18,"Children",IF(B876&lt;=35,"Young adult",IF(B876&lt;=60,"Adult", "Senior Citizen")))</f>
        <v>Senior Citizen</v>
      </c>
      <c r="W876" t="str">
        <f t="shared" si="91"/>
        <v>May</v>
      </c>
      <c r="X876">
        <f t="shared" si="92"/>
        <v>5</v>
      </c>
      <c r="Y876" t="str">
        <f t="shared" si="93"/>
        <v>Q2</v>
      </c>
      <c r="Z876">
        <f t="shared" si="94"/>
        <v>2027</v>
      </c>
      <c r="AA876" t="str">
        <f t="shared" si="95"/>
        <v>Tuesday</v>
      </c>
      <c r="AB876">
        <f t="shared" si="96"/>
        <v>-67</v>
      </c>
      <c r="AC876" t="str">
        <f>IF(OR(D876="Heart Disease",D876="Cancer",D876="Stroke"),"High",IF(OR(D876="Diabetes",D876="Asthma"),"Medium","Low"))</f>
        <v>High</v>
      </c>
      <c r="AD876" t="str">
        <f t="shared" si="97"/>
        <v>Yes</v>
      </c>
      <c r="AE876" t="str">
        <f>IF(G876&lt;=2,"Short Stay", IF(G876&lt;=7,"Normal Stay", "Long Stay"))</f>
        <v>Long Stay</v>
      </c>
      <c r="AF876" t="str">
        <f>IF(F876&gt;60000,"Expensive",IF(F876&gt;30000,"Moderate","Affordable"))</f>
        <v>Affordable</v>
      </c>
      <c r="AG876" t="str">
        <f>IF(J876&gt;=4.5,"Excellent",IF(J876&gt;=3.5,"Good",IF(J876&gt;=2.5,"Average","Poor")))</f>
        <v>Poor</v>
      </c>
      <c r="AH876" t="str">
        <f>IF(OR(TEXT(N876,"dddd")="Saturday",TEXT(N876,"dddd")="Sunday"),"Weekend","Weekday")</f>
        <v>Weekday</v>
      </c>
    </row>
    <row r="877" spans="1:34" x14ac:dyDescent="0.3">
      <c r="A877">
        <v>890</v>
      </c>
      <c r="B877">
        <v>53</v>
      </c>
      <c r="C877" t="s">
        <v>21</v>
      </c>
      <c r="D877" t="s">
        <v>60</v>
      </c>
      <c r="E877" t="s">
        <v>61</v>
      </c>
      <c r="F877">
        <v>25000</v>
      </c>
      <c r="G877">
        <v>69</v>
      </c>
      <c r="H877" t="s">
        <v>38</v>
      </c>
      <c r="I877" t="s">
        <v>25</v>
      </c>
      <c r="J877">
        <v>4</v>
      </c>
      <c r="K877" t="s">
        <v>245</v>
      </c>
      <c r="L877" t="s">
        <v>1877</v>
      </c>
      <c r="M877" t="s">
        <v>1878</v>
      </c>
      <c r="N877" s="2">
        <v>46533</v>
      </c>
      <c r="O877" s="2">
        <v>46602</v>
      </c>
      <c r="P877" t="s">
        <v>29</v>
      </c>
      <c r="Q877" t="s">
        <v>52</v>
      </c>
      <c r="R877" t="s">
        <v>65</v>
      </c>
      <c r="S877" t="s">
        <v>32</v>
      </c>
      <c r="T877" t="s">
        <v>33</v>
      </c>
      <c r="U877" t="s">
        <v>46</v>
      </c>
      <c r="V877" t="str">
        <f>IF(B877&lt;=18,"Children",IF(B877&lt;=35,"Young adult",IF(B877&lt;=60,"Adult", "Senior Citizen")))</f>
        <v>Adult</v>
      </c>
      <c r="W877" t="str">
        <f t="shared" si="91"/>
        <v>May</v>
      </c>
      <c r="X877">
        <f t="shared" si="92"/>
        <v>5</v>
      </c>
      <c r="Y877" t="str">
        <f t="shared" si="93"/>
        <v>Q2</v>
      </c>
      <c r="Z877">
        <f t="shared" si="94"/>
        <v>2027</v>
      </c>
      <c r="AA877" t="str">
        <f t="shared" si="95"/>
        <v>Wednesday</v>
      </c>
      <c r="AB877">
        <f t="shared" si="96"/>
        <v>-69</v>
      </c>
      <c r="AC877" t="str">
        <f>IF(OR(D877="Heart Disease",D877="Cancer",D877="Stroke"),"High",IF(OR(D877="Diabetes",D877="Asthma"),"Medium","Low"))</f>
        <v>High</v>
      </c>
      <c r="AD877" t="str">
        <f t="shared" si="97"/>
        <v>Yes</v>
      </c>
      <c r="AE877" t="str">
        <f>IF(G877&lt;=2,"Short Stay", IF(G877&lt;=7,"Normal Stay", "Long Stay"))</f>
        <v>Long Stay</v>
      </c>
      <c r="AF877" t="str">
        <f>IF(F877&gt;60000,"Expensive",IF(F877&gt;30000,"Moderate","Affordable"))</f>
        <v>Affordable</v>
      </c>
      <c r="AG877" t="str">
        <f>IF(J877&gt;=4.5,"Excellent",IF(J877&gt;=3.5,"Good",IF(J877&gt;=2.5,"Average","Poor")))</f>
        <v>Good</v>
      </c>
      <c r="AH877" t="str">
        <f>IF(OR(TEXT(N877,"dddd")="Saturday",TEXT(N877,"dddd")="Sunday"),"Weekend","Weekday")</f>
        <v>Weekday</v>
      </c>
    </row>
    <row r="878" spans="1:34" x14ac:dyDescent="0.3">
      <c r="A878">
        <v>891</v>
      </c>
      <c r="B878">
        <v>72</v>
      </c>
      <c r="C878" t="s">
        <v>35</v>
      </c>
      <c r="D878" t="s">
        <v>66</v>
      </c>
      <c r="E878" t="s">
        <v>67</v>
      </c>
      <c r="F878">
        <v>1000</v>
      </c>
      <c r="G878">
        <v>63</v>
      </c>
      <c r="H878" t="s">
        <v>24</v>
      </c>
      <c r="I878" t="s">
        <v>39</v>
      </c>
      <c r="J878">
        <v>4</v>
      </c>
      <c r="K878" t="s">
        <v>294</v>
      </c>
      <c r="L878" t="s">
        <v>1879</v>
      </c>
      <c r="M878" t="s">
        <v>1880</v>
      </c>
      <c r="N878" s="2">
        <v>46534</v>
      </c>
      <c r="O878" s="2">
        <v>46597</v>
      </c>
      <c r="P878" t="s">
        <v>29</v>
      </c>
      <c r="Q878" t="s">
        <v>52</v>
      </c>
      <c r="R878" t="s">
        <v>45</v>
      </c>
      <c r="S878" t="s">
        <v>77</v>
      </c>
      <c r="T878" t="s">
        <v>33</v>
      </c>
      <c r="U878" t="s">
        <v>104</v>
      </c>
      <c r="V878" t="str">
        <f>IF(B878&lt;=18,"Children",IF(B878&lt;=35,"Young adult",IF(B878&lt;=60,"Adult", "Senior Citizen")))</f>
        <v>Senior Citizen</v>
      </c>
      <c r="W878" t="str">
        <f t="shared" si="91"/>
        <v>May</v>
      </c>
      <c r="X878">
        <f t="shared" si="92"/>
        <v>5</v>
      </c>
      <c r="Y878" t="str">
        <f t="shared" si="93"/>
        <v>Q2</v>
      </c>
      <c r="Z878">
        <f t="shared" si="94"/>
        <v>2027</v>
      </c>
      <c r="AA878" t="str">
        <f t="shared" si="95"/>
        <v>Thursday</v>
      </c>
      <c r="AB878">
        <f t="shared" si="96"/>
        <v>-63</v>
      </c>
      <c r="AC878" t="str">
        <f>IF(OR(D878="Heart Disease",D878="Cancer",D878="Stroke"),"High",IF(OR(D878="Diabetes",D878="Asthma"),"Medium","Low"))</f>
        <v>Low</v>
      </c>
      <c r="AD878" t="str">
        <f t="shared" si="97"/>
        <v>No</v>
      </c>
      <c r="AE878" t="str">
        <f>IF(G878&lt;=2,"Short Stay", IF(G878&lt;=7,"Normal Stay", "Long Stay"))</f>
        <v>Long Stay</v>
      </c>
      <c r="AF878" t="str">
        <f>IF(F878&gt;60000,"Expensive",IF(F878&gt;30000,"Moderate","Affordable"))</f>
        <v>Affordable</v>
      </c>
      <c r="AG878" t="str">
        <f>IF(J878&gt;=4.5,"Excellent",IF(J878&gt;=3.5,"Good",IF(J878&gt;=2.5,"Average","Poor")))</f>
        <v>Good</v>
      </c>
      <c r="AH878" t="str">
        <f>IF(OR(TEXT(N878,"dddd")="Saturday",TEXT(N878,"dddd")="Sunday"),"Weekend","Weekday")</f>
        <v>Weekday</v>
      </c>
    </row>
    <row r="879" spans="1:34" x14ac:dyDescent="0.3">
      <c r="A879">
        <v>892</v>
      </c>
      <c r="B879">
        <v>60</v>
      </c>
      <c r="C879" t="s">
        <v>21</v>
      </c>
      <c r="D879" t="s">
        <v>73</v>
      </c>
      <c r="E879" t="s">
        <v>74</v>
      </c>
      <c r="F879">
        <v>8000</v>
      </c>
      <c r="G879">
        <v>65</v>
      </c>
      <c r="H879" t="s">
        <v>38</v>
      </c>
      <c r="I879" t="s">
        <v>25</v>
      </c>
      <c r="J879">
        <v>3</v>
      </c>
      <c r="K879" t="s">
        <v>160</v>
      </c>
      <c r="L879" t="s">
        <v>1881</v>
      </c>
      <c r="M879" t="s">
        <v>1882</v>
      </c>
      <c r="N879" s="2">
        <v>46535</v>
      </c>
      <c r="O879" s="2">
        <v>46600</v>
      </c>
      <c r="P879" t="s">
        <v>43</v>
      </c>
      <c r="Q879" t="s">
        <v>139</v>
      </c>
      <c r="R879" t="s">
        <v>45</v>
      </c>
      <c r="S879" t="s">
        <v>84</v>
      </c>
      <c r="T879" t="s">
        <v>33</v>
      </c>
      <c r="U879" t="s">
        <v>78</v>
      </c>
      <c r="V879" t="str">
        <f>IF(B879&lt;=18,"Children",IF(B879&lt;=35,"Young adult",IF(B879&lt;=60,"Adult", "Senior Citizen")))</f>
        <v>Adult</v>
      </c>
      <c r="W879" t="str">
        <f t="shared" si="91"/>
        <v>May</v>
      </c>
      <c r="X879">
        <f t="shared" si="92"/>
        <v>5</v>
      </c>
      <c r="Y879" t="str">
        <f t="shared" si="93"/>
        <v>Q2</v>
      </c>
      <c r="Z879">
        <f t="shared" si="94"/>
        <v>2027</v>
      </c>
      <c r="AA879" t="str">
        <f t="shared" si="95"/>
        <v>Friday</v>
      </c>
      <c r="AB879">
        <f t="shared" si="96"/>
        <v>-65</v>
      </c>
      <c r="AC879" t="str">
        <f>IF(OR(D879="Heart Disease",D879="Cancer",D879="Stroke"),"High",IF(OR(D879="Diabetes",D879="Asthma"),"Medium","Low"))</f>
        <v>Low</v>
      </c>
      <c r="AD879" t="str">
        <f t="shared" si="97"/>
        <v>No</v>
      </c>
      <c r="AE879" t="str">
        <f>IF(G879&lt;=2,"Short Stay", IF(G879&lt;=7,"Normal Stay", "Long Stay"))</f>
        <v>Long Stay</v>
      </c>
      <c r="AF879" t="str">
        <f>IF(F879&gt;60000,"Expensive",IF(F879&gt;30000,"Moderate","Affordable"))</f>
        <v>Affordable</v>
      </c>
      <c r="AG879" t="str">
        <f>IF(J879&gt;=4.5,"Excellent",IF(J879&gt;=3.5,"Good",IF(J879&gt;=2.5,"Average","Poor")))</f>
        <v>Average</v>
      </c>
      <c r="AH879" t="str">
        <f>IF(OR(TEXT(N879,"dddd")="Saturday",TEXT(N879,"dddd")="Sunday"),"Weekend","Weekday")</f>
        <v>Weekday</v>
      </c>
    </row>
    <row r="880" spans="1:34" x14ac:dyDescent="0.3">
      <c r="A880">
        <v>893</v>
      </c>
      <c r="B880">
        <v>45</v>
      </c>
      <c r="C880" t="s">
        <v>35</v>
      </c>
      <c r="D880" t="s">
        <v>79</v>
      </c>
      <c r="E880" t="s">
        <v>80</v>
      </c>
      <c r="F880">
        <v>3000</v>
      </c>
      <c r="G880">
        <v>65</v>
      </c>
      <c r="H880" t="s">
        <v>24</v>
      </c>
      <c r="I880" t="s">
        <v>25</v>
      </c>
      <c r="J880">
        <v>4</v>
      </c>
      <c r="K880" t="s">
        <v>120</v>
      </c>
      <c r="L880" t="s">
        <v>1883</v>
      </c>
      <c r="M880" t="s">
        <v>1884</v>
      </c>
      <c r="N880" s="2">
        <v>46536</v>
      </c>
      <c r="O880" s="2">
        <v>46601</v>
      </c>
      <c r="P880" t="s">
        <v>43</v>
      </c>
      <c r="Q880" t="s">
        <v>71</v>
      </c>
      <c r="R880" t="s">
        <v>45</v>
      </c>
      <c r="S880" t="s">
        <v>53</v>
      </c>
      <c r="T880" t="s">
        <v>33</v>
      </c>
      <c r="U880" t="s">
        <v>78</v>
      </c>
      <c r="V880" t="str">
        <f>IF(B880&lt;=18,"Children",IF(B880&lt;=35,"Young adult",IF(B880&lt;=60,"Adult", "Senior Citizen")))</f>
        <v>Adult</v>
      </c>
      <c r="W880" t="str">
        <f t="shared" si="91"/>
        <v>May</v>
      </c>
      <c r="X880">
        <f t="shared" si="92"/>
        <v>5</v>
      </c>
      <c r="Y880" t="str">
        <f t="shared" si="93"/>
        <v>Q2</v>
      </c>
      <c r="Z880">
        <f t="shared" si="94"/>
        <v>2027</v>
      </c>
      <c r="AA880" t="str">
        <f t="shared" si="95"/>
        <v>Saturday</v>
      </c>
      <c r="AB880">
        <f t="shared" si="96"/>
        <v>-65</v>
      </c>
      <c r="AC880" t="str">
        <f>IF(OR(D880="Heart Disease",D880="Cancer",D880="Stroke"),"High",IF(OR(D880="Diabetes",D880="Asthma"),"Medium","Low"))</f>
        <v>Low</v>
      </c>
      <c r="AD880" t="str">
        <f t="shared" si="97"/>
        <v>No</v>
      </c>
      <c r="AE880" t="str">
        <f>IF(G880&lt;=2,"Short Stay", IF(G880&lt;=7,"Normal Stay", "Long Stay"))</f>
        <v>Long Stay</v>
      </c>
      <c r="AF880" t="str">
        <f>IF(F880&gt;60000,"Expensive",IF(F880&gt;30000,"Moderate","Affordable"))</f>
        <v>Affordable</v>
      </c>
      <c r="AG880" t="str">
        <f>IF(J880&gt;=4.5,"Excellent",IF(J880&gt;=3.5,"Good",IF(J880&gt;=2.5,"Average","Poor")))</f>
        <v>Good</v>
      </c>
      <c r="AH880" t="str">
        <f>IF(OR(TEXT(N880,"dddd")="Saturday",TEXT(N880,"dddd")="Sunday"),"Weekend","Weekday")</f>
        <v>Weekend</v>
      </c>
    </row>
    <row r="881" spans="1:34" x14ac:dyDescent="0.3">
      <c r="A881">
        <v>894</v>
      </c>
      <c r="B881">
        <v>75</v>
      </c>
      <c r="C881" t="s">
        <v>21</v>
      </c>
      <c r="D881" t="s">
        <v>85</v>
      </c>
      <c r="E881" t="s">
        <v>86</v>
      </c>
      <c r="F881">
        <v>18000</v>
      </c>
      <c r="G881">
        <v>67</v>
      </c>
      <c r="H881" t="s">
        <v>38</v>
      </c>
      <c r="I881" t="s">
        <v>39</v>
      </c>
      <c r="J881">
        <v>2</v>
      </c>
      <c r="K881" t="s">
        <v>26</v>
      </c>
      <c r="L881" t="s">
        <v>1885</v>
      </c>
      <c r="M881" t="s">
        <v>1886</v>
      </c>
      <c r="N881" s="2">
        <v>46537</v>
      </c>
      <c r="O881" s="2">
        <v>46604</v>
      </c>
      <c r="P881" t="s">
        <v>29</v>
      </c>
      <c r="Q881" t="s">
        <v>71</v>
      </c>
      <c r="R881" t="s">
        <v>45</v>
      </c>
      <c r="S881" t="s">
        <v>84</v>
      </c>
      <c r="T881" t="s">
        <v>33</v>
      </c>
      <c r="U881" t="s">
        <v>104</v>
      </c>
      <c r="V881" t="str">
        <f>IF(B881&lt;=18,"Children",IF(B881&lt;=35,"Young adult",IF(B881&lt;=60,"Adult", "Senior Citizen")))</f>
        <v>Senior Citizen</v>
      </c>
      <c r="W881" t="str">
        <f t="shared" si="91"/>
        <v>May</v>
      </c>
      <c r="X881">
        <f t="shared" si="92"/>
        <v>5</v>
      </c>
      <c r="Y881" t="str">
        <f t="shared" si="93"/>
        <v>Q2</v>
      </c>
      <c r="Z881">
        <f t="shared" si="94"/>
        <v>2027</v>
      </c>
      <c r="AA881" t="str">
        <f t="shared" si="95"/>
        <v>Sunday</v>
      </c>
      <c r="AB881">
        <f t="shared" si="96"/>
        <v>-67</v>
      </c>
      <c r="AC881" t="str">
        <f>IF(OR(D881="Heart Disease",D881="Cancer",D881="Stroke"),"High",IF(OR(D881="Diabetes",D881="Asthma"),"Medium","Low"))</f>
        <v>Low</v>
      </c>
      <c r="AD881" t="str">
        <f t="shared" si="97"/>
        <v>No</v>
      </c>
      <c r="AE881" t="str">
        <f>IF(G881&lt;=2,"Short Stay", IF(G881&lt;=7,"Normal Stay", "Long Stay"))</f>
        <v>Long Stay</v>
      </c>
      <c r="AF881" t="str">
        <f>IF(F881&gt;60000,"Expensive",IF(F881&gt;30000,"Moderate","Affordable"))</f>
        <v>Affordable</v>
      </c>
      <c r="AG881" t="str">
        <f>IF(J881&gt;=4.5,"Excellent",IF(J881&gt;=3.5,"Good",IF(J881&gt;=2.5,"Average","Poor")))</f>
        <v>Poor</v>
      </c>
      <c r="AH881" t="str">
        <f>IF(OR(TEXT(N881,"dddd")="Saturday",TEXT(N881,"dddd")="Sunday"),"Weekend","Weekday")</f>
        <v>Weekend</v>
      </c>
    </row>
    <row r="882" spans="1:34" x14ac:dyDescent="0.3">
      <c r="A882">
        <v>895</v>
      </c>
      <c r="B882">
        <v>28</v>
      </c>
      <c r="C882" t="s">
        <v>35</v>
      </c>
      <c r="D882" t="s">
        <v>89</v>
      </c>
      <c r="E882" t="s">
        <v>90</v>
      </c>
      <c r="F882">
        <v>100</v>
      </c>
      <c r="G882">
        <v>60</v>
      </c>
      <c r="H882" t="s">
        <v>24</v>
      </c>
      <c r="I882" t="s">
        <v>25</v>
      </c>
      <c r="J882">
        <v>5</v>
      </c>
      <c r="K882" t="s">
        <v>200</v>
      </c>
      <c r="L882" t="s">
        <v>1887</v>
      </c>
      <c r="M882" t="s">
        <v>1888</v>
      </c>
      <c r="N882" s="2">
        <v>46538</v>
      </c>
      <c r="O882" s="2">
        <v>46598</v>
      </c>
      <c r="P882" t="s">
        <v>29</v>
      </c>
      <c r="Q882" t="s">
        <v>139</v>
      </c>
      <c r="R882" t="s">
        <v>45</v>
      </c>
      <c r="S882" t="s">
        <v>32</v>
      </c>
      <c r="T882" t="s">
        <v>33</v>
      </c>
      <c r="U882" t="s">
        <v>46</v>
      </c>
      <c r="V882" t="str">
        <f>IF(B882&lt;=18,"Children",IF(B882&lt;=35,"Young adult",IF(B882&lt;=60,"Adult", "Senior Citizen")))</f>
        <v>Young adult</v>
      </c>
      <c r="W882" t="str">
        <f t="shared" si="91"/>
        <v>May</v>
      </c>
      <c r="X882">
        <f t="shared" si="92"/>
        <v>5</v>
      </c>
      <c r="Y882" t="str">
        <f t="shared" si="93"/>
        <v>Q2</v>
      </c>
      <c r="Z882">
        <f t="shared" si="94"/>
        <v>2027</v>
      </c>
      <c r="AA882" t="str">
        <f t="shared" si="95"/>
        <v>Monday</v>
      </c>
      <c r="AB882">
        <f t="shared" si="96"/>
        <v>-60</v>
      </c>
      <c r="AC882" t="str">
        <f>IF(OR(D882="Heart Disease",D882="Cancer",D882="Stroke"),"High",IF(OR(D882="Diabetes",D882="Asthma"),"Medium","Low"))</f>
        <v>Low</v>
      </c>
      <c r="AD882" t="str">
        <f t="shared" si="97"/>
        <v>No</v>
      </c>
      <c r="AE882" t="str">
        <f>IF(G882&lt;=2,"Short Stay", IF(G882&lt;=7,"Normal Stay", "Long Stay"))</f>
        <v>Long Stay</v>
      </c>
      <c r="AF882" t="str">
        <f>IF(F882&gt;60000,"Expensive",IF(F882&gt;30000,"Moderate","Affordable"))</f>
        <v>Affordable</v>
      </c>
      <c r="AG882" t="str">
        <f>IF(J882&gt;=4.5,"Excellent",IF(J882&gt;=3.5,"Good",IF(J882&gt;=2.5,"Average","Poor")))</f>
        <v>Excellent</v>
      </c>
      <c r="AH882" t="str">
        <f>IF(OR(TEXT(N882,"dddd")="Saturday",TEXT(N882,"dddd")="Sunday"),"Weekend","Weekday")</f>
        <v>Weekday</v>
      </c>
    </row>
    <row r="883" spans="1:34" x14ac:dyDescent="0.3">
      <c r="A883">
        <v>896</v>
      </c>
      <c r="B883">
        <v>52</v>
      </c>
      <c r="C883" t="s">
        <v>21</v>
      </c>
      <c r="D883" t="s">
        <v>94</v>
      </c>
      <c r="E883" t="s">
        <v>95</v>
      </c>
      <c r="F883">
        <v>800</v>
      </c>
      <c r="G883">
        <v>61</v>
      </c>
      <c r="H883" t="s">
        <v>24</v>
      </c>
      <c r="I883" t="s">
        <v>39</v>
      </c>
      <c r="J883">
        <v>4</v>
      </c>
      <c r="K883" t="s">
        <v>245</v>
      </c>
      <c r="L883" t="s">
        <v>1889</v>
      </c>
      <c r="M883" t="s">
        <v>1890</v>
      </c>
      <c r="N883" s="2">
        <v>46539</v>
      </c>
      <c r="O883" s="2">
        <v>46600</v>
      </c>
      <c r="P883" t="s">
        <v>29</v>
      </c>
      <c r="Q883" t="s">
        <v>139</v>
      </c>
      <c r="R883" t="s">
        <v>45</v>
      </c>
      <c r="S883" t="s">
        <v>32</v>
      </c>
      <c r="T883" t="s">
        <v>33</v>
      </c>
      <c r="U883" t="s">
        <v>34</v>
      </c>
      <c r="V883" t="str">
        <f>IF(B883&lt;=18,"Children",IF(B883&lt;=35,"Young adult",IF(B883&lt;=60,"Adult", "Senior Citizen")))</f>
        <v>Adult</v>
      </c>
      <c r="W883" t="str">
        <f t="shared" si="91"/>
        <v>Jun</v>
      </c>
      <c r="X883">
        <f t="shared" si="92"/>
        <v>6</v>
      </c>
      <c r="Y883" t="str">
        <f t="shared" si="93"/>
        <v>Q2</v>
      </c>
      <c r="Z883">
        <f t="shared" si="94"/>
        <v>2027</v>
      </c>
      <c r="AA883" t="str">
        <f t="shared" si="95"/>
        <v>Tuesday</v>
      </c>
      <c r="AB883">
        <f t="shared" si="96"/>
        <v>-61</v>
      </c>
      <c r="AC883" t="str">
        <f>IF(OR(D883="Heart Disease",D883="Cancer",D883="Stroke"),"High",IF(OR(D883="Diabetes",D883="Asthma"),"Medium","Low"))</f>
        <v>Low</v>
      </c>
      <c r="AD883" t="str">
        <f t="shared" si="97"/>
        <v>No</v>
      </c>
      <c r="AE883" t="str">
        <f>IF(G883&lt;=2,"Short Stay", IF(G883&lt;=7,"Normal Stay", "Long Stay"))</f>
        <v>Long Stay</v>
      </c>
      <c r="AF883" t="str">
        <f>IF(F883&gt;60000,"Expensive",IF(F883&gt;30000,"Moderate","Affordable"))</f>
        <v>Affordable</v>
      </c>
      <c r="AG883" t="str">
        <f>IF(J883&gt;=4.5,"Excellent",IF(J883&gt;=3.5,"Good",IF(J883&gt;=2.5,"Average","Poor")))</f>
        <v>Good</v>
      </c>
      <c r="AH883" t="str">
        <f>IF(OR(TEXT(N883,"dddd")="Saturday",TEXT(N883,"dddd")="Sunday"),"Weekend","Weekday")</f>
        <v>Weekday</v>
      </c>
    </row>
    <row r="884" spans="1:34" x14ac:dyDescent="0.3">
      <c r="A884">
        <v>897</v>
      </c>
      <c r="B884">
        <v>67</v>
      </c>
      <c r="C884" t="s">
        <v>35</v>
      </c>
      <c r="D884" t="s">
        <v>99</v>
      </c>
      <c r="E884" t="s">
        <v>100</v>
      </c>
      <c r="F884">
        <v>20000</v>
      </c>
      <c r="G884">
        <v>68</v>
      </c>
      <c r="H884" t="s">
        <v>24</v>
      </c>
      <c r="I884" t="s">
        <v>25</v>
      </c>
      <c r="J884">
        <v>3</v>
      </c>
      <c r="K884" t="s">
        <v>200</v>
      </c>
      <c r="L884" t="s">
        <v>1891</v>
      </c>
      <c r="M884" t="s">
        <v>1892</v>
      </c>
      <c r="N884" s="2">
        <v>46540</v>
      </c>
      <c r="O884" s="2">
        <v>46608</v>
      </c>
      <c r="P884" t="s">
        <v>29</v>
      </c>
      <c r="Q884" t="s">
        <v>139</v>
      </c>
      <c r="R884" t="s">
        <v>45</v>
      </c>
      <c r="S884" t="s">
        <v>110</v>
      </c>
      <c r="T884" t="s">
        <v>33</v>
      </c>
      <c r="U884" t="s">
        <v>104</v>
      </c>
      <c r="V884" t="str">
        <f>IF(B884&lt;=18,"Children",IF(B884&lt;=35,"Young adult",IF(B884&lt;=60,"Adult", "Senior Citizen")))</f>
        <v>Senior Citizen</v>
      </c>
      <c r="W884" t="str">
        <f t="shared" si="91"/>
        <v>Jun</v>
      </c>
      <c r="X884">
        <f t="shared" si="92"/>
        <v>6</v>
      </c>
      <c r="Y884" t="str">
        <f t="shared" si="93"/>
        <v>Q2</v>
      </c>
      <c r="Z884">
        <f t="shared" si="94"/>
        <v>2027</v>
      </c>
      <c r="AA884" t="str">
        <f t="shared" si="95"/>
        <v>Wednesday</v>
      </c>
      <c r="AB884">
        <f t="shared" si="96"/>
        <v>-68</v>
      </c>
      <c r="AC884" t="str">
        <f>IF(OR(D884="Heart Disease",D884="Cancer",D884="Stroke"),"High",IF(OR(D884="Diabetes",D884="Asthma"),"Medium","Low"))</f>
        <v>Low</v>
      </c>
      <c r="AD884" t="str">
        <f t="shared" si="97"/>
        <v>No</v>
      </c>
      <c r="AE884" t="str">
        <f>IF(G884&lt;=2,"Short Stay", IF(G884&lt;=7,"Normal Stay", "Long Stay"))</f>
        <v>Long Stay</v>
      </c>
      <c r="AF884" t="str">
        <f>IF(F884&gt;60000,"Expensive",IF(F884&gt;30000,"Moderate","Affordable"))</f>
        <v>Affordable</v>
      </c>
      <c r="AG884" t="str">
        <f>IF(J884&gt;=4.5,"Excellent",IF(J884&gt;=3.5,"Good",IF(J884&gt;=2.5,"Average","Poor")))</f>
        <v>Average</v>
      </c>
      <c r="AH884" t="str">
        <f>IF(OR(TEXT(N884,"dddd")="Saturday",TEXT(N884,"dddd")="Sunday"),"Weekend","Weekday")</f>
        <v>Weekday</v>
      </c>
    </row>
    <row r="885" spans="1:34" x14ac:dyDescent="0.3">
      <c r="A885">
        <v>898</v>
      </c>
      <c r="B885">
        <v>35</v>
      </c>
      <c r="C885" t="s">
        <v>21</v>
      </c>
      <c r="D885" t="s">
        <v>105</v>
      </c>
      <c r="E885" t="s">
        <v>106</v>
      </c>
      <c r="F885">
        <v>12000</v>
      </c>
      <c r="G885">
        <v>62</v>
      </c>
      <c r="H885" t="s">
        <v>24</v>
      </c>
      <c r="I885" t="s">
        <v>25</v>
      </c>
      <c r="J885">
        <v>4</v>
      </c>
      <c r="K885" t="s">
        <v>120</v>
      </c>
      <c r="L885" t="s">
        <v>1893</v>
      </c>
      <c r="M885" t="s">
        <v>1894</v>
      </c>
      <c r="N885" s="2">
        <v>46541</v>
      </c>
      <c r="O885" s="2">
        <v>46603</v>
      </c>
      <c r="P885" t="s">
        <v>29</v>
      </c>
      <c r="Q885" t="s">
        <v>71</v>
      </c>
      <c r="R885" t="s">
        <v>45</v>
      </c>
      <c r="S885" t="s">
        <v>53</v>
      </c>
      <c r="T885" t="s">
        <v>33</v>
      </c>
      <c r="U885" t="s">
        <v>78</v>
      </c>
      <c r="V885" t="str">
        <f>IF(B885&lt;=18,"Children",IF(B885&lt;=35,"Young adult",IF(B885&lt;=60,"Adult", "Senior Citizen")))</f>
        <v>Young adult</v>
      </c>
      <c r="W885" t="str">
        <f t="shared" si="91"/>
        <v>Jun</v>
      </c>
      <c r="X885">
        <f t="shared" si="92"/>
        <v>6</v>
      </c>
      <c r="Y885" t="str">
        <f t="shared" si="93"/>
        <v>Q2</v>
      </c>
      <c r="Z885">
        <f t="shared" si="94"/>
        <v>2027</v>
      </c>
      <c r="AA885" t="str">
        <f t="shared" si="95"/>
        <v>Thursday</v>
      </c>
      <c r="AB885">
        <f t="shared" si="96"/>
        <v>-62</v>
      </c>
      <c r="AC885" t="str">
        <f>IF(OR(D885="Heart Disease",D885="Cancer",D885="Stroke"),"High",IF(OR(D885="Diabetes",D885="Asthma"),"Medium","Low"))</f>
        <v>Low</v>
      </c>
      <c r="AD885" t="str">
        <f t="shared" si="97"/>
        <v>No</v>
      </c>
      <c r="AE885" t="str">
        <f>IF(G885&lt;=2,"Short Stay", IF(G885&lt;=7,"Normal Stay", "Long Stay"))</f>
        <v>Long Stay</v>
      </c>
      <c r="AF885" t="str">
        <f>IF(F885&gt;60000,"Expensive",IF(F885&gt;30000,"Moderate","Affordable"))</f>
        <v>Affordable</v>
      </c>
      <c r="AG885" t="str">
        <f>IF(J885&gt;=4.5,"Excellent",IF(J885&gt;=3.5,"Good",IF(J885&gt;=2.5,"Average","Poor")))</f>
        <v>Good</v>
      </c>
      <c r="AH885" t="str">
        <f>IF(OR(TEXT(N885,"dddd")="Saturday",TEXT(N885,"dddd")="Sunday"),"Weekend","Weekday")</f>
        <v>Weekday</v>
      </c>
    </row>
    <row r="886" spans="1:34" x14ac:dyDescent="0.3">
      <c r="A886">
        <v>899</v>
      </c>
      <c r="B886">
        <v>50</v>
      </c>
      <c r="C886" t="s">
        <v>35</v>
      </c>
      <c r="D886" t="s">
        <v>111</v>
      </c>
      <c r="E886" t="s">
        <v>112</v>
      </c>
      <c r="F886">
        <v>6000</v>
      </c>
      <c r="G886">
        <v>63</v>
      </c>
      <c r="H886" t="s">
        <v>24</v>
      </c>
      <c r="I886" t="s">
        <v>25</v>
      </c>
      <c r="J886">
        <v>3</v>
      </c>
      <c r="K886" t="s">
        <v>281</v>
      </c>
      <c r="L886" t="s">
        <v>1895</v>
      </c>
      <c r="M886" t="s">
        <v>1896</v>
      </c>
      <c r="N886" s="2">
        <v>46542</v>
      </c>
      <c r="O886" s="2">
        <v>46605</v>
      </c>
      <c r="P886" t="s">
        <v>29</v>
      </c>
      <c r="Q886" t="s">
        <v>139</v>
      </c>
      <c r="R886" t="s">
        <v>45</v>
      </c>
      <c r="S886" t="s">
        <v>110</v>
      </c>
      <c r="T886" t="s">
        <v>33</v>
      </c>
      <c r="U886" t="s">
        <v>104</v>
      </c>
      <c r="V886" t="str">
        <f>IF(B886&lt;=18,"Children",IF(B886&lt;=35,"Young adult",IF(B886&lt;=60,"Adult", "Senior Citizen")))</f>
        <v>Adult</v>
      </c>
      <c r="W886" t="str">
        <f t="shared" si="91"/>
        <v>Jun</v>
      </c>
      <c r="X886">
        <f t="shared" si="92"/>
        <v>6</v>
      </c>
      <c r="Y886" t="str">
        <f t="shared" si="93"/>
        <v>Q2</v>
      </c>
      <c r="Z886">
        <f t="shared" si="94"/>
        <v>2027</v>
      </c>
      <c r="AA886" t="str">
        <f t="shared" si="95"/>
        <v>Friday</v>
      </c>
      <c r="AB886">
        <f t="shared" si="96"/>
        <v>-63</v>
      </c>
      <c r="AC886" t="str">
        <f>IF(OR(D886="Heart Disease",D886="Cancer",D886="Stroke"),"High",IF(OR(D886="Diabetes",D886="Asthma"),"Medium","Low"))</f>
        <v>Low</v>
      </c>
      <c r="AD886" t="str">
        <f t="shared" si="97"/>
        <v>No</v>
      </c>
      <c r="AE886" t="str">
        <f>IF(G886&lt;=2,"Short Stay", IF(G886&lt;=7,"Normal Stay", "Long Stay"))</f>
        <v>Long Stay</v>
      </c>
      <c r="AF886" t="str">
        <f>IF(F886&gt;60000,"Expensive",IF(F886&gt;30000,"Moderate","Affordable"))</f>
        <v>Affordable</v>
      </c>
      <c r="AG886" t="str">
        <f>IF(J886&gt;=4.5,"Excellent",IF(J886&gt;=3.5,"Good",IF(J886&gt;=2.5,"Average","Poor")))</f>
        <v>Average</v>
      </c>
      <c r="AH886" t="str">
        <f>IF(OR(TEXT(N886,"dddd")="Saturday",TEXT(N886,"dddd")="Sunday"),"Weekend","Weekday")</f>
        <v>Weekday</v>
      </c>
    </row>
    <row r="887" spans="1:34" x14ac:dyDescent="0.3">
      <c r="A887">
        <v>900</v>
      </c>
      <c r="B887">
        <v>60</v>
      </c>
      <c r="C887" t="s">
        <v>21</v>
      </c>
      <c r="D887" t="s">
        <v>116</v>
      </c>
      <c r="E887" t="s">
        <v>117</v>
      </c>
      <c r="F887">
        <v>4000</v>
      </c>
      <c r="G887">
        <v>64</v>
      </c>
      <c r="H887" t="s">
        <v>24</v>
      </c>
      <c r="I887" t="s">
        <v>39</v>
      </c>
      <c r="J887">
        <v>4</v>
      </c>
      <c r="K887" t="s">
        <v>294</v>
      </c>
      <c r="L887" t="s">
        <v>1897</v>
      </c>
      <c r="M887" t="s">
        <v>1898</v>
      </c>
      <c r="N887" s="2">
        <v>46543</v>
      </c>
      <c r="O887" s="2">
        <v>46607</v>
      </c>
      <c r="P887" t="s">
        <v>43</v>
      </c>
      <c r="Q887" t="s">
        <v>139</v>
      </c>
      <c r="R887" t="s">
        <v>45</v>
      </c>
      <c r="S887" t="s">
        <v>72</v>
      </c>
      <c r="T887" t="s">
        <v>33</v>
      </c>
      <c r="U887" t="s">
        <v>104</v>
      </c>
      <c r="V887" t="str">
        <f>IF(B887&lt;=18,"Children",IF(B887&lt;=35,"Young adult",IF(B887&lt;=60,"Adult", "Senior Citizen")))</f>
        <v>Adult</v>
      </c>
      <c r="W887" t="str">
        <f t="shared" si="91"/>
        <v>Jun</v>
      </c>
      <c r="X887">
        <f t="shared" si="92"/>
        <v>6</v>
      </c>
      <c r="Y887" t="str">
        <f t="shared" si="93"/>
        <v>Q2</v>
      </c>
      <c r="Z887">
        <f t="shared" si="94"/>
        <v>2027</v>
      </c>
      <c r="AA887" t="str">
        <f t="shared" si="95"/>
        <v>Saturday</v>
      </c>
      <c r="AB887">
        <f t="shared" si="96"/>
        <v>-64</v>
      </c>
      <c r="AC887" t="str">
        <f>IF(OR(D887="Heart Disease",D887="Cancer",D887="Stroke"),"High",IF(OR(D887="Diabetes",D887="Asthma"),"Medium","Low"))</f>
        <v>Low</v>
      </c>
      <c r="AD887" t="str">
        <f t="shared" si="97"/>
        <v>No</v>
      </c>
      <c r="AE887" t="str">
        <f>IF(G887&lt;=2,"Short Stay", IF(G887&lt;=7,"Normal Stay", "Long Stay"))</f>
        <v>Long Stay</v>
      </c>
      <c r="AF887" t="str">
        <f>IF(F887&gt;60000,"Expensive",IF(F887&gt;30000,"Moderate","Affordable"))</f>
        <v>Affordable</v>
      </c>
      <c r="AG887" t="str">
        <f>IF(J887&gt;=4.5,"Excellent",IF(J887&gt;=3.5,"Good",IF(J887&gt;=2.5,"Average","Poor")))</f>
        <v>Good</v>
      </c>
      <c r="AH887" t="str">
        <f>IF(OR(TEXT(N887,"dddd")="Saturday",TEXT(N887,"dddd")="Sunday"),"Weekend","Weekday")</f>
        <v>Weekend</v>
      </c>
    </row>
    <row r="888" spans="1:34" x14ac:dyDescent="0.3">
      <c r="A888">
        <v>901</v>
      </c>
      <c r="B888">
        <v>48</v>
      </c>
      <c r="C888" t="s">
        <v>21</v>
      </c>
      <c r="D888" t="s">
        <v>22</v>
      </c>
      <c r="E888" t="s">
        <v>23</v>
      </c>
      <c r="F888">
        <v>15000</v>
      </c>
      <c r="G888">
        <v>65</v>
      </c>
      <c r="H888" t="s">
        <v>38</v>
      </c>
      <c r="I888" t="s">
        <v>25</v>
      </c>
      <c r="J888">
        <v>4</v>
      </c>
      <c r="K888" t="s">
        <v>329</v>
      </c>
      <c r="L888" t="s">
        <v>1899</v>
      </c>
      <c r="M888" t="s">
        <v>1900</v>
      </c>
      <c r="N888" s="2">
        <v>46544</v>
      </c>
      <c r="O888" s="2">
        <v>46609</v>
      </c>
      <c r="P888" t="s">
        <v>29</v>
      </c>
      <c r="Q888" t="s">
        <v>30</v>
      </c>
      <c r="R888" t="s">
        <v>31</v>
      </c>
      <c r="S888" t="s">
        <v>110</v>
      </c>
      <c r="T888" t="s">
        <v>33</v>
      </c>
      <c r="U888" t="s">
        <v>34</v>
      </c>
      <c r="V888" t="str">
        <f>IF(B888&lt;=18,"Children",IF(B888&lt;=35,"Young adult",IF(B888&lt;=60,"Adult", "Senior Citizen")))</f>
        <v>Adult</v>
      </c>
      <c r="W888" t="str">
        <f t="shared" si="91"/>
        <v>Jun</v>
      </c>
      <c r="X888">
        <f t="shared" si="92"/>
        <v>6</v>
      </c>
      <c r="Y888" t="str">
        <f t="shared" si="93"/>
        <v>Q2</v>
      </c>
      <c r="Z888">
        <f t="shared" si="94"/>
        <v>2027</v>
      </c>
      <c r="AA888" t="str">
        <f t="shared" si="95"/>
        <v>Sunday</v>
      </c>
      <c r="AB888">
        <f t="shared" si="96"/>
        <v>-65</v>
      </c>
      <c r="AC888" t="str">
        <f>IF(OR(D888="Heart Disease",D888="Cancer",D888="Stroke"),"High",IF(OR(D888="Diabetes",D888="Asthma"),"Medium","Low"))</f>
        <v>High</v>
      </c>
      <c r="AD888" t="str">
        <f t="shared" si="97"/>
        <v>Yes</v>
      </c>
      <c r="AE888" t="str">
        <f>IF(G888&lt;=2,"Short Stay", IF(G888&lt;=7,"Normal Stay", "Long Stay"))</f>
        <v>Long Stay</v>
      </c>
      <c r="AF888" t="str">
        <f>IF(F888&gt;60000,"Expensive",IF(F888&gt;30000,"Moderate","Affordable"))</f>
        <v>Affordable</v>
      </c>
      <c r="AG888" t="str">
        <f>IF(J888&gt;=4.5,"Excellent",IF(J888&gt;=3.5,"Good",IF(J888&gt;=2.5,"Average","Poor")))</f>
        <v>Good</v>
      </c>
      <c r="AH888" t="str">
        <f>IF(OR(TEXT(N888,"dddd")="Saturday",TEXT(N888,"dddd")="Sunday"),"Weekend","Weekday")</f>
        <v>Weekend</v>
      </c>
    </row>
    <row r="889" spans="1:34" x14ac:dyDescent="0.3">
      <c r="A889">
        <v>902</v>
      </c>
      <c r="B889">
        <v>65</v>
      </c>
      <c r="C889" t="s">
        <v>35</v>
      </c>
      <c r="D889" t="s">
        <v>36</v>
      </c>
      <c r="E889" t="s">
        <v>37</v>
      </c>
      <c r="F889">
        <v>2000</v>
      </c>
      <c r="G889">
        <v>63</v>
      </c>
      <c r="H889" t="s">
        <v>24</v>
      </c>
      <c r="I889" t="s">
        <v>39</v>
      </c>
      <c r="J889">
        <v>3</v>
      </c>
      <c r="K889" t="s">
        <v>324</v>
      </c>
      <c r="L889" t="s">
        <v>1901</v>
      </c>
      <c r="M889" t="s">
        <v>1902</v>
      </c>
      <c r="N889" s="2">
        <v>46545</v>
      </c>
      <c r="O889" s="2">
        <v>46608</v>
      </c>
      <c r="P889" t="s">
        <v>43</v>
      </c>
      <c r="Q889" t="s">
        <v>139</v>
      </c>
      <c r="R889" t="s">
        <v>45</v>
      </c>
      <c r="S889" t="s">
        <v>72</v>
      </c>
      <c r="T889" t="s">
        <v>33</v>
      </c>
      <c r="U889" t="s">
        <v>78</v>
      </c>
      <c r="V889" t="str">
        <f>IF(B889&lt;=18,"Children",IF(B889&lt;=35,"Young adult",IF(B889&lt;=60,"Adult", "Senior Citizen")))</f>
        <v>Senior Citizen</v>
      </c>
      <c r="W889" t="str">
        <f t="shared" si="91"/>
        <v>Jun</v>
      </c>
      <c r="X889">
        <f t="shared" si="92"/>
        <v>6</v>
      </c>
      <c r="Y889" t="str">
        <f t="shared" si="93"/>
        <v>Q2</v>
      </c>
      <c r="Z889">
        <f t="shared" si="94"/>
        <v>2027</v>
      </c>
      <c r="AA889" t="str">
        <f t="shared" si="95"/>
        <v>Monday</v>
      </c>
      <c r="AB889">
        <f t="shared" si="96"/>
        <v>-63</v>
      </c>
      <c r="AC889" t="str">
        <f>IF(OR(D889="Heart Disease",D889="Cancer",D889="Stroke"),"High",IF(OR(D889="Diabetes",D889="Asthma"),"Medium","Low"))</f>
        <v>Medium</v>
      </c>
      <c r="AD889" t="str">
        <f t="shared" si="97"/>
        <v>No</v>
      </c>
      <c r="AE889" t="str">
        <f>IF(G889&lt;=2,"Short Stay", IF(G889&lt;=7,"Normal Stay", "Long Stay"))</f>
        <v>Long Stay</v>
      </c>
      <c r="AF889" t="str">
        <f>IF(F889&gt;60000,"Expensive",IF(F889&gt;30000,"Moderate","Affordable"))</f>
        <v>Affordable</v>
      </c>
      <c r="AG889" t="str">
        <f>IF(J889&gt;=4.5,"Excellent",IF(J889&gt;=3.5,"Good",IF(J889&gt;=2.5,"Average","Poor")))</f>
        <v>Average</v>
      </c>
      <c r="AH889" t="str">
        <f>IF(OR(TEXT(N889,"dddd")="Saturday",TEXT(N889,"dddd")="Sunday"),"Weekend","Weekday")</f>
        <v>Weekday</v>
      </c>
    </row>
    <row r="890" spans="1:34" x14ac:dyDescent="0.3">
      <c r="A890">
        <v>903</v>
      </c>
      <c r="B890">
        <v>30</v>
      </c>
      <c r="C890" t="s">
        <v>21</v>
      </c>
      <c r="D890" t="s">
        <v>47</v>
      </c>
      <c r="E890" t="s">
        <v>48</v>
      </c>
      <c r="F890">
        <v>500</v>
      </c>
      <c r="G890">
        <v>61</v>
      </c>
      <c r="H890" t="s">
        <v>24</v>
      </c>
      <c r="I890" t="s">
        <v>25</v>
      </c>
      <c r="J890">
        <v>5</v>
      </c>
      <c r="K890" t="s">
        <v>154</v>
      </c>
      <c r="L890" t="s">
        <v>1903</v>
      </c>
      <c r="M890" t="s">
        <v>1904</v>
      </c>
      <c r="N890" s="2">
        <v>46546</v>
      </c>
      <c r="O890" s="2">
        <v>46607</v>
      </c>
      <c r="P890" t="s">
        <v>43</v>
      </c>
      <c r="Q890" t="s">
        <v>44</v>
      </c>
      <c r="R890" t="s">
        <v>45</v>
      </c>
      <c r="S890" t="s">
        <v>72</v>
      </c>
      <c r="T890" t="s">
        <v>33</v>
      </c>
      <c r="U890" t="s">
        <v>46</v>
      </c>
      <c r="V890" t="str">
        <f>IF(B890&lt;=18,"Children",IF(B890&lt;=35,"Young adult",IF(B890&lt;=60,"Adult", "Senior Citizen")))</f>
        <v>Young adult</v>
      </c>
      <c r="W890" t="str">
        <f t="shared" si="91"/>
        <v>Jun</v>
      </c>
      <c r="X890">
        <f t="shared" si="92"/>
        <v>6</v>
      </c>
      <c r="Y890" t="str">
        <f t="shared" si="93"/>
        <v>Q2</v>
      </c>
      <c r="Z890">
        <f t="shared" si="94"/>
        <v>2027</v>
      </c>
      <c r="AA890" t="str">
        <f t="shared" si="95"/>
        <v>Tuesday</v>
      </c>
      <c r="AB890">
        <f t="shared" si="96"/>
        <v>-61</v>
      </c>
      <c r="AC890" t="str">
        <f>IF(OR(D890="Heart Disease",D890="Cancer",D890="Stroke"),"High",IF(OR(D890="Diabetes",D890="Asthma"),"Medium","Low"))</f>
        <v>Low</v>
      </c>
      <c r="AD890" t="str">
        <f t="shared" si="97"/>
        <v>No</v>
      </c>
      <c r="AE890" t="str">
        <f>IF(G890&lt;=2,"Short Stay", IF(G890&lt;=7,"Normal Stay", "Long Stay"))</f>
        <v>Long Stay</v>
      </c>
      <c r="AF890" t="str">
        <f>IF(F890&gt;60000,"Expensive",IF(F890&gt;30000,"Moderate","Affordable"))</f>
        <v>Affordable</v>
      </c>
      <c r="AG890" t="str">
        <f>IF(J890&gt;=4.5,"Excellent",IF(J890&gt;=3.5,"Good",IF(J890&gt;=2.5,"Average","Poor")))</f>
        <v>Excellent</v>
      </c>
      <c r="AH890" t="str">
        <f>IF(OR(TEXT(N890,"dddd")="Saturday",TEXT(N890,"dddd")="Sunday"),"Weekend","Weekday")</f>
        <v>Weekday</v>
      </c>
    </row>
    <row r="891" spans="1:34" x14ac:dyDescent="0.3">
      <c r="A891">
        <v>904</v>
      </c>
      <c r="B891">
        <v>70</v>
      </c>
      <c r="C891" t="s">
        <v>35</v>
      </c>
      <c r="D891" t="s">
        <v>54</v>
      </c>
      <c r="E891" t="s">
        <v>55</v>
      </c>
      <c r="F891">
        <v>10000</v>
      </c>
      <c r="G891">
        <v>68</v>
      </c>
      <c r="H891" t="s">
        <v>38</v>
      </c>
      <c r="I891" t="s">
        <v>39</v>
      </c>
      <c r="J891">
        <v>2</v>
      </c>
      <c r="K891" t="s">
        <v>101</v>
      </c>
      <c r="L891" t="s">
        <v>1905</v>
      </c>
      <c r="M891" t="s">
        <v>1906</v>
      </c>
      <c r="N891" s="2">
        <v>46547</v>
      </c>
      <c r="O891" s="2">
        <v>46615</v>
      </c>
      <c r="P891" t="s">
        <v>29</v>
      </c>
      <c r="Q891" t="s">
        <v>30</v>
      </c>
      <c r="R891" t="s">
        <v>59</v>
      </c>
      <c r="S891" t="s">
        <v>110</v>
      </c>
      <c r="T891" t="s">
        <v>33</v>
      </c>
      <c r="U891" t="s">
        <v>104</v>
      </c>
      <c r="V891" t="str">
        <f>IF(B891&lt;=18,"Children",IF(B891&lt;=35,"Young adult",IF(B891&lt;=60,"Adult", "Senior Citizen")))</f>
        <v>Senior Citizen</v>
      </c>
      <c r="W891" t="str">
        <f t="shared" si="91"/>
        <v>Jun</v>
      </c>
      <c r="X891">
        <f t="shared" si="92"/>
        <v>6</v>
      </c>
      <c r="Y891" t="str">
        <f t="shared" si="93"/>
        <v>Q2</v>
      </c>
      <c r="Z891">
        <f t="shared" si="94"/>
        <v>2027</v>
      </c>
      <c r="AA891" t="str">
        <f t="shared" si="95"/>
        <v>Wednesday</v>
      </c>
      <c r="AB891">
        <f t="shared" si="96"/>
        <v>-68</v>
      </c>
      <c r="AC891" t="str">
        <f>IF(OR(D891="Heart Disease",D891="Cancer",D891="Stroke"),"High",IF(OR(D891="Diabetes",D891="Asthma"),"Medium","Low"))</f>
        <v>High</v>
      </c>
      <c r="AD891" t="str">
        <f t="shared" si="97"/>
        <v>Yes</v>
      </c>
      <c r="AE891" t="str">
        <f>IF(G891&lt;=2,"Short Stay", IF(G891&lt;=7,"Normal Stay", "Long Stay"))</f>
        <v>Long Stay</v>
      </c>
      <c r="AF891" t="str">
        <f>IF(F891&gt;60000,"Expensive",IF(F891&gt;30000,"Moderate","Affordable"))</f>
        <v>Affordable</v>
      </c>
      <c r="AG891" t="str">
        <f>IF(J891&gt;=4.5,"Excellent",IF(J891&gt;=3.5,"Good",IF(J891&gt;=2.5,"Average","Poor")))</f>
        <v>Poor</v>
      </c>
      <c r="AH891" t="str">
        <f>IF(OR(TEXT(N891,"dddd")="Saturday",TEXT(N891,"dddd")="Sunday"),"Weekend","Weekday")</f>
        <v>Weekday</v>
      </c>
    </row>
    <row r="892" spans="1:34" x14ac:dyDescent="0.3">
      <c r="A892">
        <v>905</v>
      </c>
      <c r="B892">
        <v>55</v>
      </c>
      <c r="C892" t="s">
        <v>21</v>
      </c>
      <c r="D892" t="s">
        <v>60</v>
      </c>
      <c r="E892" t="s">
        <v>61</v>
      </c>
      <c r="F892">
        <v>25000</v>
      </c>
      <c r="G892">
        <v>70</v>
      </c>
      <c r="H892" t="s">
        <v>24</v>
      </c>
      <c r="I892" t="s">
        <v>25</v>
      </c>
      <c r="J892">
        <v>4</v>
      </c>
      <c r="K892" t="s">
        <v>125</v>
      </c>
      <c r="L892" t="s">
        <v>1907</v>
      </c>
      <c r="M892" t="s">
        <v>1908</v>
      </c>
      <c r="N892" s="2">
        <v>46548</v>
      </c>
      <c r="O892" s="2">
        <v>46618</v>
      </c>
      <c r="P892" t="s">
        <v>43</v>
      </c>
      <c r="Q892" t="s">
        <v>71</v>
      </c>
      <c r="R892" t="s">
        <v>65</v>
      </c>
      <c r="S892" t="s">
        <v>77</v>
      </c>
      <c r="T892" t="s">
        <v>33</v>
      </c>
      <c r="U892" t="s">
        <v>104</v>
      </c>
      <c r="V892" t="str">
        <f>IF(B892&lt;=18,"Children",IF(B892&lt;=35,"Young adult",IF(B892&lt;=60,"Adult", "Senior Citizen")))</f>
        <v>Adult</v>
      </c>
      <c r="W892" t="str">
        <f t="shared" si="91"/>
        <v>Jun</v>
      </c>
      <c r="X892">
        <f t="shared" si="92"/>
        <v>6</v>
      </c>
      <c r="Y892" t="str">
        <f t="shared" si="93"/>
        <v>Q2</v>
      </c>
      <c r="Z892">
        <f t="shared" si="94"/>
        <v>2027</v>
      </c>
      <c r="AA892" t="str">
        <f t="shared" si="95"/>
        <v>Thursday</v>
      </c>
      <c r="AB892">
        <f t="shared" si="96"/>
        <v>-70</v>
      </c>
      <c r="AC892" t="str">
        <f>IF(OR(D892="Heart Disease",D892="Cancer",D892="Stroke"),"High",IF(OR(D892="Diabetes",D892="Asthma"),"Medium","Low"))</f>
        <v>High</v>
      </c>
      <c r="AD892" t="str">
        <f t="shared" si="97"/>
        <v>Yes</v>
      </c>
      <c r="AE892" t="str">
        <f>IF(G892&lt;=2,"Short Stay", IF(G892&lt;=7,"Normal Stay", "Long Stay"))</f>
        <v>Long Stay</v>
      </c>
      <c r="AF892" t="str">
        <f>IF(F892&gt;60000,"Expensive",IF(F892&gt;30000,"Moderate","Affordable"))</f>
        <v>Affordable</v>
      </c>
      <c r="AG892" t="str">
        <f>IF(J892&gt;=4.5,"Excellent",IF(J892&gt;=3.5,"Good",IF(J892&gt;=2.5,"Average","Poor")))</f>
        <v>Good</v>
      </c>
      <c r="AH892" t="str">
        <f>IF(OR(TEXT(N892,"dddd")="Saturday",TEXT(N892,"dddd")="Sunday"),"Weekend","Weekday")</f>
        <v>Weekday</v>
      </c>
    </row>
    <row r="893" spans="1:34" x14ac:dyDescent="0.3">
      <c r="A893">
        <v>907</v>
      </c>
      <c r="B893">
        <v>45</v>
      </c>
      <c r="C893" t="s">
        <v>21</v>
      </c>
      <c r="D893" t="s">
        <v>73</v>
      </c>
      <c r="E893" t="s">
        <v>74</v>
      </c>
      <c r="F893">
        <v>8000</v>
      </c>
      <c r="G893">
        <v>66</v>
      </c>
      <c r="H893" t="s">
        <v>24</v>
      </c>
      <c r="I893" t="s">
        <v>25</v>
      </c>
      <c r="J893">
        <v>3</v>
      </c>
      <c r="K893" t="s">
        <v>157</v>
      </c>
      <c r="L893" t="s">
        <v>1909</v>
      </c>
      <c r="M893" t="s">
        <v>1910</v>
      </c>
      <c r="N893" s="2">
        <v>46549</v>
      </c>
      <c r="O893" s="2">
        <v>46615</v>
      </c>
      <c r="P893" t="s">
        <v>29</v>
      </c>
      <c r="Q893" t="s">
        <v>44</v>
      </c>
      <c r="R893" t="s">
        <v>45</v>
      </c>
      <c r="S893" t="s">
        <v>77</v>
      </c>
      <c r="T893" t="s">
        <v>33</v>
      </c>
      <c r="U893" t="s">
        <v>34</v>
      </c>
      <c r="V893" t="str">
        <f>IF(B893&lt;=18,"Children",IF(B893&lt;=35,"Young adult",IF(B893&lt;=60,"Adult", "Senior Citizen")))</f>
        <v>Adult</v>
      </c>
      <c r="W893" t="str">
        <f t="shared" si="91"/>
        <v>Jun</v>
      </c>
      <c r="X893">
        <f t="shared" si="92"/>
        <v>6</v>
      </c>
      <c r="Y893" t="str">
        <f t="shared" si="93"/>
        <v>Q2</v>
      </c>
      <c r="Z893">
        <f t="shared" si="94"/>
        <v>2027</v>
      </c>
      <c r="AA893" t="str">
        <f t="shared" si="95"/>
        <v>Friday</v>
      </c>
      <c r="AB893">
        <f t="shared" si="96"/>
        <v>-66</v>
      </c>
      <c r="AC893" t="str">
        <f>IF(OR(D893="Heart Disease",D893="Cancer",D893="Stroke"),"High",IF(OR(D893="Diabetes",D893="Asthma"),"Medium","Low"))</f>
        <v>Low</v>
      </c>
      <c r="AD893" t="str">
        <f t="shared" si="97"/>
        <v>No</v>
      </c>
      <c r="AE893" t="str">
        <f>IF(G893&lt;=2,"Short Stay", IF(G893&lt;=7,"Normal Stay", "Long Stay"))</f>
        <v>Long Stay</v>
      </c>
      <c r="AF893" t="str">
        <f>IF(F893&gt;60000,"Expensive",IF(F893&gt;30000,"Moderate","Affordable"))</f>
        <v>Affordable</v>
      </c>
      <c r="AG893" t="str">
        <f>IF(J893&gt;=4.5,"Excellent",IF(J893&gt;=3.5,"Good",IF(J893&gt;=2.5,"Average","Poor")))</f>
        <v>Average</v>
      </c>
      <c r="AH893" t="str">
        <f>IF(OR(TEXT(N893,"dddd")="Saturday",TEXT(N893,"dddd")="Sunday"),"Weekend","Weekday")</f>
        <v>Weekday</v>
      </c>
    </row>
    <row r="894" spans="1:34" x14ac:dyDescent="0.3">
      <c r="A894">
        <v>908</v>
      </c>
      <c r="B894">
        <v>40</v>
      </c>
      <c r="C894" t="s">
        <v>35</v>
      </c>
      <c r="D894" t="s">
        <v>79</v>
      </c>
      <c r="E894" t="s">
        <v>80</v>
      </c>
      <c r="F894">
        <v>3000</v>
      </c>
      <c r="G894">
        <v>66</v>
      </c>
      <c r="H894" t="s">
        <v>24</v>
      </c>
      <c r="I894" t="s">
        <v>25</v>
      </c>
      <c r="J894">
        <v>4</v>
      </c>
      <c r="K894" t="s">
        <v>281</v>
      </c>
      <c r="L894" t="s">
        <v>1911</v>
      </c>
      <c r="M894" t="s">
        <v>1912</v>
      </c>
      <c r="N894" s="2">
        <v>46550</v>
      </c>
      <c r="O894" s="2">
        <v>46616</v>
      </c>
      <c r="P894" t="s">
        <v>43</v>
      </c>
      <c r="Q894" t="s">
        <v>139</v>
      </c>
      <c r="R894" t="s">
        <v>45</v>
      </c>
      <c r="S894" t="s">
        <v>72</v>
      </c>
      <c r="T894" t="s">
        <v>33</v>
      </c>
      <c r="U894" t="s">
        <v>34</v>
      </c>
      <c r="V894" t="str">
        <f>IF(B894&lt;=18,"Children",IF(B894&lt;=35,"Young adult",IF(B894&lt;=60,"Adult", "Senior Citizen")))</f>
        <v>Adult</v>
      </c>
      <c r="W894" t="str">
        <f t="shared" si="91"/>
        <v>Jun</v>
      </c>
      <c r="X894">
        <f t="shared" si="92"/>
        <v>6</v>
      </c>
      <c r="Y894" t="str">
        <f t="shared" si="93"/>
        <v>Q2</v>
      </c>
      <c r="Z894">
        <f t="shared" si="94"/>
        <v>2027</v>
      </c>
      <c r="AA894" t="str">
        <f t="shared" si="95"/>
        <v>Saturday</v>
      </c>
      <c r="AB894">
        <f t="shared" si="96"/>
        <v>-66</v>
      </c>
      <c r="AC894" t="str">
        <f>IF(OR(D894="Heart Disease",D894="Cancer",D894="Stroke"),"High",IF(OR(D894="Diabetes",D894="Asthma"),"Medium","Low"))</f>
        <v>Low</v>
      </c>
      <c r="AD894" t="str">
        <f t="shared" si="97"/>
        <v>No</v>
      </c>
      <c r="AE894" t="str">
        <f>IF(G894&lt;=2,"Short Stay", IF(G894&lt;=7,"Normal Stay", "Long Stay"))</f>
        <v>Long Stay</v>
      </c>
      <c r="AF894" t="str">
        <f>IF(F894&gt;60000,"Expensive",IF(F894&gt;30000,"Moderate","Affordable"))</f>
        <v>Affordable</v>
      </c>
      <c r="AG894" t="str">
        <f>IF(J894&gt;=4.5,"Excellent",IF(J894&gt;=3.5,"Good",IF(J894&gt;=2.5,"Average","Poor")))</f>
        <v>Good</v>
      </c>
      <c r="AH894" t="str">
        <f>IF(OR(TEXT(N894,"dddd")="Saturday",TEXT(N894,"dddd")="Sunday"),"Weekend","Weekday")</f>
        <v>Weekend</v>
      </c>
    </row>
    <row r="895" spans="1:34" x14ac:dyDescent="0.3">
      <c r="A895">
        <v>909</v>
      </c>
      <c r="B895">
        <v>78</v>
      </c>
      <c r="C895" t="s">
        <v>21</v>
      </c>
      <c r="D895" t="s">
        <v>85</v>
      </c>
      <c r="E895" t="s">
        <v>86</v>
      </c>
      <c r="F895">
        <v>18000</v>
      </c>
      <c r="G895">
        <v>68</v>
      </c>
      <c r="H895" t="s">
        <v>38</v>
      </c>
      <c r="I895" t="s">
        <v>39</v>
      </c>
      <c r="J895">
        <v>2</v>
      </c>
      <c r="K895" t="s">
        <v>200</v>
      </c>
      <c r="L895" t="s">
        <v>1913</v>
      </c>
      <c r="M895" t="s">
        <v>1914</v>
      </c>
      <c r="N895" s="2">
        <v>46551</v>
      </c>
      <c r="O895" s="2">
        <v>46619</v>
      </c>
      <c r="P895" t="s">
        <v>43</v>
      </c>
      <c r="Q895" t="s">
        <v>30</v>
      </c>
      <c r="R895" t="s">
        <v>45</v>
      </c>
      <c r="S895" t="s">
        <v>53</v>
      </c>
      <c r="T895" t="s">
        <v>33</v>
      </c>
      <c r="U895" t="s">
        <v>78</v>
      </c>
      <c r="V895" t="str">
        <f>IF(B895&lt;=18,"Children",IF(B895&lt;=35,"Young adult",IF(B895&lt;=60,"Adult", "Senior Citizen")))</f>
        <v>Senior Citizen</v>
      </c>
      <c r="W895" t="str">
        <f t="shared" si="91"/>
        <v>Jun</v>
      </c>
      <c r="X895">
        <f t="shared" si="92"/>
        <v>6</v>
      </c>
      <c r="Y895" t="str">
        <f t="shared" si="93"/>
        <v>Q2</v>
      </c>
      <c r="Z895">
        <f t="shared" si="94"/>
        <v>2027</v>
      </c>
      <c r="AA895" t="str">
        <f t="shared" si="95"/>
        <v>Sunday</v>
      </c>
      <c r="AB895">
        <f t="shared" si="96"/>
        <v>-68</v>
      </c>
      <c r="AC895" t="str">
        <f>IF(OR(D895="Heart Disease",D895="Cancer",D895="Stroke"),"High",IF(OR(D895="Diabetes",D895="Asthma"),"Medium","Low"))</f>
        <v>Low</v>
      </c>
      <c r="AD895" t="str">
        <f t="shared" si="97"/>
        <v>No</v>
      </c>
      <c r="AE895" t="str">
        <f>IF(G895&lt;=2,"Short Stay", IF(G895&lt;=7,"Normal Stay", "Long Stay"))</f>
        <v>Long Stay</v>
      </c>
      <c r="AF895" t="str">
        <f>IF(F895&gt;60000,"Expensive",IF(F895&gt;30000,"Moderate","Affordable"))</f>
        <v>Affordable</v>
      </c>
      <c r="AG895" t="str">
        <f>IF(J895&gt;=4.5,"Excellent",IF(J895&gt;=3.5,"Good",IF(J895&gt;=2.5,"Average","Poor")))</f>
        <v>Poor</v>
      </c>
      <c r="AH895" t="str">
        <f>IF(OR(TEXT(N895,"dddd")="Saturday",TEXT(N895,"dddd")="Sunday"),"Weekend","Weekday")</f>
        <v>Weekend</v>
      </c>
    </row>
    <row r="896" spans="1:34" x14ac:dyDescent="0.3">
      <c r="A896">
        <v>910</v>
      </c>
      <c r="B896">
        <v>25</v>
      </c>
      <c r="C896" t="s">
        <v>35</v>
      </c>
      <c r="D896" t="s">
        <v>89</v>
      </c>
      <c r="E896" t="s">
        <v>90</v>
      </c>
      <c r="F896">
        <v>100</v>
      </c>
      <c r="G896">
        <v>61</v>
      </c>
      <c r="H896" t="s">
        <v>24</v>
      </c>
      <c r="I896" t="s">
        <v>25</v>
      </c>
      <c r="J896">
        <v>5</v>
      </c>
      <c r="K896" t="s">
        <v>380</v>
      </c>
      <c r="L896" t="s">
        <v>1915</v>
      </c>
      <c r="M896" t="s">
        <v>1916</v>
      </c>
      <c r="N896" s="2">
        <v>46552</v>
      </c>
      <c r="O896" s="2">
        <v>46613</v>
      </c>
      <c r="P896" t="s">
        <v>29</v>
      </c>
      <c r="Q896" t="s">
        <v>139</v>
      </c>
      <c r="R896" t="s">
        <v>45</v>
      </c>
      <c r="S896" t="s">
        <v>53</v>
      </c>
      <c r="T896" t="s">
        <v>33</v>
      </c>
      <c r="U896" t="s">
        <v>78</v>
      </c>
      <c r="V896" t="str">
        <f>IF(B896&lt;=18,"Children",IF(B896&lt;=35,"Young adult",IF(B896&lt;=60,"Adult", "Senior Citizen")))</f>
        <v>Young adult</v>
      </c>
      <c r="W896" t="str">
        <f t="shared" si="91"/>
        <v>Jun</v>
      </c>
      <c r="X896">
        <f t="shared" si="92"/>
        <v>6</v>
      </c>
      <c r="Y896" t="str">
        <f t="shared" si="93"/>
        <v>Q2</v>
      </c>
      <c r="Z896">
        <f t="shared" si="94"/>
        <v>2027</v>
      </c>
      <c r="AA896" t="str">
        <f t="shared" si="95"/>
        <v>Monday</v>
      </c>
      <c r="AB896">
        <f t="shared" si="96"/>
        <v>-61</v>
      </c>
      <c r="AC896" t="str">
        <f>IF(OR(D896="Heart Disease",D896="Cancer",D896="Stroke"),"High",IF(OR(D896="Diabetes",D896="Asthma"),"Medium","Low"))</f>
        <v>Low</v>
      </c>
      <c r="AD896" t="str">
        <f t="shared" si="97"/>
        <v>No</v>
      </c>
      <c r="AE896" t="str">
        <f>IF(G896&lt;=2,"Short Stay", IF(G896&lt;=7,"Normal Stay", "Long Stay"))</f>
        <v>Long Stay</v>
      </c>
      <c r="AF896" t="str">
        <f>IF(F896&gt;60000,"Expensive",IF(F896&gt;30000,"Moderate","Affordable"))</f>
        <v>Affordable</v>
      </c>
      <c r="AG896" t="str">
        <f>IF(J896&gt;=4.5,"Excellent",IF(J896&gt;=3.5,"Good",IF(J896&gt;=2.5,"Average","Poor")))</f>
        <v>Excellent</v>
      </c>
      <c r="AH896" t="str">
        <f>IF(OR(TEXT(N896,"dddd")="Saturday",TEXT(N896,"dddd")="Sunday"),"Weekend","Weekday")</f>
        <v>Weekday</v>
      </c>
    </row>
    <row r="897" spans="1:34" x14ac:dyDescent="0.3">
      <c r="A897">
        <v>911</v>
      </c>
      <c r="B897">
        <v>52</v>
      </c>
      <c r="C897" t="s">
        <v>21</v>
      </c>
      <c r="D897" t="s">
        <v>94</v>
      </c>
      <c r="E897" t="s">
        <v>95</v>
      </c>
      <c r="F897">
        <v>800</v>
      </c>
      <c r="G897">
        <v>62</v>
      </c>
      <c r="H897" t="s">
        <v>24</v>
      </c>
      <c r="I897" t="s">
        <v>39</v>
      </c>
      <c r="J897">
        <v>4</v>
      </c>
      <c r="K897" t="s">
        <v>482</v>
      </c>
      <c r="L897" t="s">
        <v>1917</v>
      </c>
      <c r="M897" t="s">
        <v>1918</v>
      </c>
      <c r="N897" s="2">
        <v>46553</v>
      </c>
      <c r="O897" s="2">
        <v>46615</v>
      </c>
      <c r="P897" t="s">
        <v>29</v>
      </c>
      <c r="Q897" t="s">
        <v>30</v>
      </c>
      <c r="R897" t="s">
        <v>45</v>
      </c>
      <c r="S897" t="s">
        <v>77</v>
      </c>
      <c r="T897" t="s">
        <v>33</v>
      </c>
      <c r="U897" t="s">
        <v>78</v>
      </c>
      <c r="V897" t="str">
        <f>IF(B897&lt;=18,"Children",IF(B897&lt;=35,"Young adult",IF(B897&lt;=60,"Adult", "Senior Citizen")))</f>
        <v>Adult</v>
      </c>
      <c r="W897" t="str">
        <f t="shared" si="91"/>
        <v>Jun</v>
      </c>
      <c r="X897">
        <f t="shared" si="92"/>
        <v>6</v>
      </c>
      <c r="Y897" t="str">
        <f t="shared" si="93"/>
        <v>Q2</v>
      </c>
      <c r="Z897">
        <f t="shared" si="94"/>
        <v>2027</v>
      </c>
      <c r="AA897" t="str">
        <f t="shared" si="95"/>
        <v>Tuesday</v>
      </c>
      <c r="AB897">
        <f t="shared" si="96"/>
        <v>-62</v>
      </c>
      <c r="AC897" t="str">
        <f>IF(OR(D897="Heart Disease",D897="Cancer",D897="Stroke"),"High",IF(OR(D897="Diabetes",D897="Asthma"),"Medium","Low"))</f>
        <v>Low</v>
      </c>
      <c r="AD897" t="str">
        <f t="shared" si="97"/>
        <v>No</v>
      </c>
      <c r="AE897" t="str">
        <f>IF(G897&lt;=2,"Short Stay", IF(G897&lt;=7,"Normal Stay", "Long Stay"))</f>
        <v>Long Stay</v>
      </c>
      <c r="AF897" t="str">
        <f>IF(F897&gt;60000,"Expensive",IF(F897&gt;30000,"Moderate","Affordable"))</f>
        <v>Affordable</v>
      </c>
      <c r="AG897" t="str">
        <f>IF(J897&gt;=4.5,"Excellent",IF(J897&gt;=3.5,"Good",IF(J897&gt;=2.5,"Average","Poor")))</f>
        <v>Good</v>
      </c>
      <c r="AH897" t="str">
        <f>IF(OR(TEXT(N897,"dddd")="Saturday",TEXT(N897,"dddd")="Sunday"),"Weekend","Weekday")</f>
        <v>Weekday</v>
      </c>
    </row>
    <row r="898" spans="1:34" x14ac:dyDescent="0.3">
      <c r="A898">
        <v>912</v>
      </c>
      <c r="B898">
        <v>58</v>
      </c>
      <c r="C898" t="s">
        <v>35</v>
      </c>
      <c r="D898" t="s">
        <v>99</v>
      </c>
      <c r="E898" t="s">
        <v>100</v>
      </c>
      <c r="F898">
        <v>20000</v>
      </c>
      <c r="G898">
        <v>69</v>
      </c>
      <c r="H898" t="s">
        <v>24</v>
      </c>
      <c r="I898" t="s">
        <v>25</v>
      </c>
      <c r="J898">
        <v>3</v>
      </c>
      <c r="K898" t="s">
        <v>125</v>
      </c>
      <c r="L898" t="s">
        <v>1919</v>
      </c>
      <c r="M898" t="s">
        <v>1920</v>
      </c>
      <c r="N898" s="2">
        <v>46554</v>
      </c>
      <c r="O898" s="2">
        <v>46623</v>
      </c>
      <c r="P898" t="s">
        <v>43</v>
      </c>
      <c r="Q898" t="s">
        <v>52</v>
      </c>
      <c r="R898" t="s">
        <v>45</v>
      </c>
      <c r="S898" t="s">
        <v>110</v>
      </c>
      <c r="T898" t="s">
        <v>33</v>
      </c>
      <c r="U898" t="s">
        <v>46</v>
      </c>
      <c r="V898" t="str">
        <f>IF(B898&lt;=18,"Children",IF(B898&lt;=35,"Young adult",IF(B898&lt;=60,"Adult", "Senior Citizen")))</f>
        <v>Adult</v>
      </c>
      <c r="W898" t="str">
        <f t="shared" si="91"/>
        <v>Jun</v>
      </c>
      <c r="X898">
        <f t="shared" si="92"/>
        <v>6</v>
      </c>
      <c r="Y898" t="str">
        <f t="shared" si="93"/>
        <v>Q2</v>
      </c>
      <c r="Z898">
        <f t="shared" si="94"/>
        <v>2027</v>
      </c>
      <c r="AA898" t="str">
        <f t="shared" si="95"/>
        <v>Wednesday</v>
      </c>
      <c r="AB898">
        <f t="shared" si="96"/>
        <v>-69</v>
      </c>
      <c r="AC898" t="str">
        <f>IF(OR(D898="Heart Disease",D898="Cancer",D898="Stroke"),"High",IF(OR(D898="Diabetes",D898="Asthma"),"Medium","Low"))</f>
        <v>Low</v>
      </c>
      <c r="AD898" t="str">
        <f t="shared" si="97"/>
        <v>No</v>
      </c>
      <c r="AE898" t="str">
        <f>IF(G898&lt;=2,"Short Stay", IF(G898&lt;=7,"Normal Stay", "Long Stay"))</f>
        <v>Long Stay</v>
      </c>
      <c r="AF898" t="str">
        <f>IF(F898&gt;60000,"Expensive",IF(F898&gt;30000,"Moderate","Affordable"))</f>
        <v>Affordable</v>
      </c>
      <c r="AG898" t="str">
        <f>IF(J898&gt;=4.5,"Excellent",IF(J898&gt;=3.5,"Good",IF(J898&gt;=2.5,"Average","Poor")))</f>
        <v>Average</v>
      </c>
      <c r="AH898" t="str">
        <f>IF(OR(TEXT(N898,"dddd")="Saturday",TEXT(N898,"dddd")="Sunday"),"Weekend","Weekday")</f>
        <v>Weekday</v>
      </c>
    </row>
    <row r="899" spans="1:34" x14ac:dyDescent="0.3">
      <c r="A899">
        <v>913</v>
      </c>
      <c r="B899">
        <v>32</v>
      </c>
      <c r="C899" t="s">
        <v>21</v>
      </c>
      <c r="D899" t="s">
        <v>105</v>
      </c>
      <c r="E899" t="s">
        <v>106</v>
      </c>
      <c r="F899">
        <v>12000</v>
      </c>
      <c r="G899">
        <v>63</v>
      </c>
      <c r="H899" t="s">
        <v>24</v>
      </c>
      <c r="I899" t="s">
        <v>25</v>
      </c>
      <c r="J899">
        <v>4</v>
      </c>
      <c r="K899" t="s">
        <v>482</v>
      </c>
      <c r="L899" t="s">
        <v>1921</v>
      </c>
      <c r="M899" t="s">
        <v>1922</v>
      </c>
      <c r="N899" s="2">
        <v>46555</v>
      </c>
      <c r="O899" s="2">
        <v>46618</v>
      </c>
      <c r="P899" t="s">
        <v>43</v>
      </c>
      <c r="Q899" t="s">
        <v>71</v>
      </c>
      <c r="R899" t="s">
        <v>45</v>
      </c>
      <c r="S899" t="s">
        <v>84</v>
      </c>
      <c r="T899" t="s">
        <v>33</v>
      </c>
      <c r="U899" t="s">
        <v>78</v>
      </c>
      <c r="V899" t="str">
        <f>IF(B899&lt;=18,"Children",IF(B899&lt;=35,"Young adult",IF(B899&lt;=60,"Adult", "Senior Citizen")))</f>
        <v>Young adult</v>
      </c>
      <c r="W899" t="str">
        <f t="shared" ref="W899:W962" si="98">TEXT(N899,"MMM")</f>
        <v>Jun</v>
      </c>
      <c r="X899">
        <f t="shared" ref="X899:X962" si="99">MONTH(N899)</f>
        <v>6</v>
      </c>
      <c r="Y899" t="str">
        <f t="shared" ref="Y899:Y962" si="100">"Q"&amp;ROUNDUP(MONTH(N899)/3,0)</f>
        <v>Q2</v>
      </c>
      <c r="Z899">
        <f t="shared" ref="Z899:Z962" si="101">YEAR(N899)</f>
        <v>2027</v>
      </c>
      <c r="AA899" t="str">
        <f t="shared" ref="AA899:AA962" si="102">TEXT(N899, "dddd")</f>
        <v>Thursday</v>
      </c>
      <c r="AB899">
        <f t="shared" ref="AB899:AB962" si="103">N899-O899</f>
        <v>-63</v>
      </c>
      <c r="AC899" t="str">
        <f>IF(OR(D899="Heart Disease",D899="Cancer",D899="Stroke"),"High",IF(OR(D899="Diabetes",D899="Asthma"),"Medium","Low"))</f>
        <v>Low</v>
      </c>
      <c r="AD899" t="str">
        <f t="shared" ref="AD899:AD962" si="104">IF(AC899="High","Yes","No")</f>
        <v>No</v>
      </c>
      <c r="AE899" t="str">
        <f>IF(G899&lt;=2,"Short Stay", IF(G899&lt;=7,"Normal Stay", "Long Stay"))</f>
        <v>Long Stay</v>
      </c>
      <c r="AF899" t="str">
        <f>IF(F899&gt;60000,"Expensive",IF(F899&gt;30000,"Moderate","Affordable"))</f>
        <v>Affordable</v>
      </c>
      <c r="AG899" t="str">
        <f>IF(J899&gt;=4.5,"Excellent",IF(J899&gt;=3.5,"Good",IF(J899&gt;=2.5,"Average","Poor")))</f>
        <v>Good</v>
      </c>
      <c r="AH899" t="str">
        <f>IF(OR(TEXT(N899,"dddd")="Saturday",TEXT(N899,"dddd")="Sunday"),"Weekend","Weekday")</f>
        <v>Weekday</v>
      </c>
    </row>
    <row r="900" spans="1:34" x14ac:dyDescent="0.3">
      <c r="A900">
        <v>914</v>
      </c>
      <c r="B900">
        <v>55</v>
      </c>
      <c r="C900" t="s">
        <v>35</v>
      </c>
      <c r="D900" t="s">
        <v>111</v>
      </c>
      <c r="E900" t="s">
        <v>112</v>
      </c>
      <c r="F900">
        <v>6000</v>
      </c>
      <c r="G900">
        <v>64</v>
      </c>
      <c r="H900" t="s">
        <v>24</v>
      </c>
      <c r="I900" t="s">
        <v>25</v>
      </c>
      <c r="J900">
        <v>3</v>
      </c>
      <c r="K900" t="s">
        <v>482</v>
      </c>
      <c r="L900" t="s">
        <v>1923</v>
      </c>
      <c r="M900" t="s">
        <v>1924</v>
      </c>
      <c r="N900" s="2">
        <v>46556</v>
      </c>
      <c r="O900" s="2">
        <v>46620</v>
      </c>
      <c r="P900" t="s">
        <v>29</v>
      </c>
      <c r="Q900" t="s">
        <v>71</v>
      </c>
      <c r="R900" t="s">
        <v>45</v>
      </c>
      <c r="S900" t="s">
        <v>72</v>
      </c>
      <c r="T900" t="s">
        <v>33</v>
      </c>
      <c r="U900" t="s">
        <v>34</v>
      </c>
      <c r="V900" t="str">
        <f>IF(B900&lt;=18,"Children",IF(B900&lt;=35,"Young adult",IF(B900&lt;=60,"Adult", "Senior Citizen")))</f>
        <v>Adult</v>
      </c>
      <c r="W900" t="str">
        <f t="shared" si="98"/>
        <v>Jun</v>
      </c>
      <c r="X900">
        <f t="shared" si="99"/>
        <v>6</v>
      </c>
      <c r="Y900" t="str">
        <f t="shared" si="100"/>
        <v>Q2</v>
      </c>
      <c r="Z900">
        <f t="shared" si="101"/>
        <v>2027</v>
      </c>
      <c r="AA900" t="str">
        <f t="shared" si="102"/>
        <v>Friday</v>
      </c>
      <c r="AB900">
        <f t="shared" si="103"/>
        <v>-64</v>
      </c>
      <c r="AC900" t="str">
        <f>IF(OR(D900="Heart Disease",D900="Cancer",D900="Stroke"),"High",IF(OR(D900="Diabetes",D900="Asthma"),"Medium","Low"))</f>
        <v>Low</v>
      </c>
      <c r="AD900" t="str">
        <f t="shared" si="104"/>
        <v>No</v>
      </c>
      <c r="AE900" t="str">
        <f>IF(G900&lt;=2,"Short Stay", IF(G900&lt;=7,"Normal Stay", "Long Stay"))</f>
        <v>Long Stay</v>
      </c>
      <c r="AF900" t="str">
        <f>IF(F900&gt;60000,"Expensive",IF(F900&gt;30000,"Moderate","Affordable"))</f>
        <v>Affordable</v>
      </c>
      <c r="AG900" t="str">
        <f>IF(J900&gt;=4.5,"Excellent",IF(J900&gt;=3.5,"Good",IF(J900&gt;=2.5,"Average","Poor")))</f>
        <v>Average</v>
      </c>
      <c r="AH900" t="str">
        <f>IF(OR(TEXT(N900,"dddd")="Saturday",TEXT(N900,"dddd")="Sunday"),"Weekend","Weekday")</f>
        <v>Weekday</v>
      </c>
    </row>
    <row r="901" spans="1:34" x14ac:dyDescent="0.3">
      <c r="A901">
        <v>915</v>
      </c>
      <c r="B901">
        <v>65</v>
      </c>
      <c r="C901" t="s">
        <v>21</v>
      </c>
      <c r="D901" t="s">
        <v>116</v>
      </c>
      <c r="E901" t="s">
        <v>117</v>
      </c>
      <c r="F901">
        <v>4000</v>
      </c>
      <c r="G901">
        <v>65</v>
      </c>
      <c r="H901" t="s">
        <v>24</v>
      </c>
      <c r="I901" t="s">
        <v>39</v>
      </c>
      <c r="J901">
        <v>4</v>
      </c>
      <c r="K901" t="s">
        <v>175</v>
      </c>
      <c r="L901" t="s">
        <v>1925</v>
      </c>
      <c r="M901" t="s">
        <v>1926</v>
      </c>
      <c r="N901" s="2">
        <v>46557</v>
      </c>
      <c r="O901" s="2">
        <v>46622</v>
      </c>
      <c r="P901" t="s">
        <v>43</v>
      </c>
      <c r="Q901" t="s">
        <v>139</v>
      </c>
      <c r="R901" t="s">
        <v>45</v>
      </c>
      <c r="S901" t="s">
        <v>32</v>
      </c>
      <c r="T901" t="s">
        <v>33</v>
      </c>
      <c r="U901" t="s">
        <v>46</v>
      </c>
      <c r="V901" t="str">
        <f>IF(B901&lt;=18,"Children",IF(B901&lt;=35,"Young adult",IF(B901&lt;=60,"Adult", "Senior Citizen")))</f>
        <v>Senior Citizen</v>
      </c>
      <c r="W901" t="str">
        <f t="shared" si="98"/>
        <v>Jun</v>
      </c>
      <c r="X901">
        <f t="shared" si="99"/>
        <v>6</v>
      </c>
      <c r="Y901" t="str">
        <f t="shared" si="100"/>
        <v>Q2</v>
      </c>
      <c r="Z901">
        <f t="shared" si="101"/>
        <v>2027</v>
      </c>
      <c r="AA901" t="str">
        <f t="shared" si="102"/>
        <v>Saturday</v>
      </c>
      <c r="AB901">
        <f t="shared" si="103"/>
        <v>-65</v>
      </c>
      <c r="AC901" t="str">
        <f>IF(OR(D901="Heart Disease",D901="Cancer",D901="Stroke"),"High",IF(OR(D901="Diabetes",D901="Asthma"),"Medium","Low"))</f>
        <v>Low</v>
      </c>
      <c r="AD901" t="str">
        <f t="shared" si="104"/>
        <v>No</v>
      </c>
      <c r="AE901" t="str">
        <f>IF(G901&lt;=2,"Short Stay", IF(G901&lt;=7,"Normal Stay", "Long Stay"))</f>
        <v>Long Stay</v>
      </c>
      <c r="AF901" t="str">
        <f>IF(F901&gt;60000,"Expensive",IF(F901&gt;30000,"Moderate","Affordable"))</f>
        <v>Affordable</v>
      </c>
      <c r="AG901" t="str">
        <f>IF(J901&gt;=4.5,"Excellent",IF(J901&gt;=3.5,"Good",IF(J901&gt;=2.5,"Average","Poor")))</f>
        <v>Good</v>
      </c>
      <c r="AH901" t="str">
        <f>IF(OR(TEXT(N901,"dddd")="Saturday",TEXT(N901,"dddd")="Sunday"),"Weekend","Weekday")</f>
        <v>Weekend</v>
      </c>
    </row>
    <row r="902" spans="1:34" x14ac:dyDescent="0.3">
      <c r="A902">
        <v>916</v>
      </c>
      <c r="B902">
        <v>55</v>
      </c>
      <c r="C902" t="s">
        <v>21</v>
      </c>
      <c r="D902" t="s">
        <v>22</v>
      </c>
      <c r="E902" t="s">
        <v>23</v>
      </c>
      <c r="F902">
        <v>15000</v>
      </c>
      <c r="G902">
        <v>66</v>
      </c>
      <c r="H902" t="s">
        <v>38</v>
      </c>
      <c r="I902" t="s">
        <v>25</v>
      </c>
      <c r="J902">
        <v>3</v>
      </c>
      <c r="K902" t="s">
        <v>149</v>
      </c>
      <c r="L902" t="s">
        <v>1927</v>
      </c>
      <c r="M902" t="s">
        <v>1928</v>
      </c>
      <c r="N902" s="2">
        <v>46558</v>
      </c>
      <c r="O902" s="2">
        <v>46624</v>
      </c>
      <c r="P902" t="s">
        <v>29</v>
      </c>
      <c r="Q902" t="s">
        <v>30</v>
      </c>
      <c r="R902" t="s">
        <v>31</v>
      </c>
      <c r="S902" t="s">
        <v>77</v>
      </c>
      <c r="T902" t="s">
        <v>33</v>
      </c>
      <c r="U902" t="s">
        <v>46</v>
      </c>
      <c r="V902" t="str">
        <f>IF(B902&lt;=18,"Children",IF(B902&lt;=35,"Young adult",IF(B902&lt;=60,"Adult", "Senior Citizen")))</f>
        <v>Adult</v>
      </c>
      <c r="W902" t="str">
        <f t="shared" si="98"/>
        <v>Jun</v>
      </c>
      <c r="X902">
        <f t="shared" si="99"/>
        <v>6</v>
      </c>
      <c r="Y902" t="str">
        <f t="shared" si="100"/>
        <v>Q2</v>
      </c>
      <c r="Z902">
        <f t="shared" si="101"/>
        <v>2027</v>
      </c>
      <c r="AA902" t="str">
        <f t="shared" si="102"/>
        <v>Sunday</v>
      </c>
      <c r="AB902">
        <f t="shared" si="103"/>
        <v>-66</v>
      </c>
      <c r="AC902" t="str">
        <f>IF(OR(D902="Heart Disease",D902="Cancer",D902="Stroke"),"High",IF(OR(D902="Diabetes",D902="Asthma"),"Medium","Low"))</f>
        <v>High</v>
      </c>
      <c r="AD902" t="str">
        <f t="shared" si="104"/>
        <v>Yes</v>
      </c>
      <c r="AE902" t="str">
        <f>IF(G902&lt;=2,"Short Stay", IF(G902&lt;=7,"Normal Stay", "Long Stay"))</f>
        <v>Long Stay</v>
      </c>
      <c r="AF902" t="str">
        <f>IF(F902&gt;60000,"Expensive",IF(F902&gt;30000,"Moderate","Affordable"))</f>
        <v>Affordable</v>
      </c>
      <c r="AG902" t="str">
        <f>IF(J902&gt;=4.5,"Excellent",IF(J902&gt;=3.5,"Good",IF(J902&gt;=2.5,"Average","Poor")))</f>
        <v>Average</v>
      </c>
      <c r="AH902" t="str">
        <f>IF(OR(TEXT(N902,"dddd")="Saturday",TEXT(N902,"dddd")="Sunday"),"Weekend","Weekday")</f>
        <v>Weekend</v>
      </c>
    </row>
    <row r="903" spans="1:34" x14ac:dyDescent="0.3">
      <c r="A903">
        <v>917</v>
      </c>
      <c r="B903">
        <v>62</v>
      </c>
      <c r="C903" t="s">
        <v>35</v>
      </c>
      <c r="D903" t="s">
        <v>36</v>
      </c>
      <c r="E903" t="s">
        <v>37</v>
      </c>
      <c r="F903">
        <v>2000</v>
      </c>
      <c r="G903">
        <v>64</v>
      </c>
      <c r="H903" t="s">
        <v>24</v>
      </c>
      <c r="I903" t="s">
        <v>39</v>
      </c>
      <c r="J903">
        <v>4</v>
      </c>
      <c r="K903" t="s">
        <v>187</v>
      </c>
      <c r="L903" t="s">
        <v>1929</v>
      </c>
      <c r="M903" t="s">
        <v>1930</v>
      </c>
      <c r="N903" s="2">
        <v>46559</v>
      </c>
      <c r="O903" s="2">
        <v>46623</v>
      </c>
      <c r="P903" t="s">
        <v>43</v>
      </c>
      <c r="Q903" t="s">
        <v>30</v>
      </c>
      <c r="R903" t="s">
        <v>45</v>
      </c>
      <c r="S903" t="s">
        <v>110</v>
      </c>
      <c r="T903" t="s">
        <v>33</v>
      </c>
      <c r="U903" t="s">
        <v>34</v>
      </c>
      <c r="V903" t="str">
        <f>IF(B903&lt;=18,"Children",IF(B903&lt;=35,"Young adult",IF(B903&lt;=60,"Adult", "Senior Citizen")))</f>
        <v>Senior Citizen</v>
      </c>
      <c r="W903" t="str">
        <f t="shared" si="98"/>
        <v>Jun</v>
      </c>
      <c r="X903">
        <f t="shared" si="99"/>
        <v>6</v>
      </c>
      <c r="Y903" t="str">
        <f t="shared" si="100"/>
        <v>Q2</v>
      </c>
      <c r="Z903">
        <f t="shared" si="101"/>
        <v>2027</v>
      </c>
      <c r="AA903" t="str">
        <f t="shared" si="102"/>
        <v>Monday</v>
      </c>
      <c r="AB903">
        <f t="shared" si="103"/>
        <v>-64</v>
      </c>
      <c r="AC903" t="str">
        <f>IF(OR(D903="Heart Disease",D903="Cancer",D903="Stroke"),"High",IF(OR(D903="Diabetes",D903="Asthma"),"Medium","Low"))</f>
        <v>Medium</v>
      </c>
      <c r="AD903" t="str">
        <f t="shared" si="104"/>
        <v>No</v>
      </c>
      <c r="AE903" t="str">
        <f>IF(G903&lt;=2,"Short Stay", IF(G903&lt;=7,"Normal Stay", "Long Stay"))</f>
        <v>Long Stay</v>
      </c>
      <c r="AF903" t="str">
        <f>IF(F903&gt;60000,"Expensive",IF(F903&gt;30000,"Moderate","Affordable"))</f>
        <v>Affordable</v>
      </c>
      <c r="AG903" t="str">
        <f>IF(J903&gt;=4.5,"Excellent",IF(J903&gt;=3.5,"Good",IF(J903&gt;=2.5,"Average","Poor")))</f>
        <v>Good</v>
      </c>
      <c r="AH903" t="str">
        <f>IF(OR(TEXT(N903,"dddd")="Saturday",TEXT(N903,"dddd")="Sunday"),"Weekend","Weekday")</f>
        <v>Weekday</v>
      </c>
    </row>
    <row r="904" spans="1:34" x14ac:dyDescent="0.3">
      <c r="A904">
        <v>918</v>
      </c>
      <c r="B904">
        <v>35</v>
      </c>
      <c r="C904" t="s">
        <v>21</v>
      </c>
      <c r="D904" t="s">
        <v>47</v>
      </c>
      <c r="E904" t="s">
        <v>48</v>
      </c>
      <c r="F904">
        <v>500</v>
      </c>
      <c r="G904">
        <v>62</v>
      </c>
      <c r="H904" t="s">
        <v>38</v>
      </c>
      <c r="I904" t="s">
        <v>25</v>
      </c>
      <c r="J904">
        <v>5</v>
      </c>
      <c r="K904" t="s">
        <v>68</v>
      </c>
      <c r="L904" t="s">
        <v>1931</v>
      </c>
      <c r="M904" t="s">
        <v>1932</v>
      </c>
      <c r="N904" s="2">
        <v>46560</v>
      </c>
      <c r="O904" s="2">
        <v>46622</v>
      </c>
      <c r="P904" t="s">
        <v>43</v>
      </c>
      <c r="Q904" t="s">
        <v>30</v>
      </c>
      <c r="R904" t="s">
        <v>45</v>
      </c>
      <c r="S904" t="s">
        <v>32</v>
      </c>
      <c r="T904" t="s">
        <v>33</v>
      </c>
      <c r="U904" t="s">
        <v>104</v>
      </c>
      <c r="V904" t="str">
        <f>IF(B904&lt;=18,"Children",IF(B904&lt;=35,"Young adult",IF(B904&lt;=60,"Adult", "Senior Citizen")))</f>
        <v>Young adult</v>
      </c>
      <c r="W904" t="str">
        <f t="shared" si="98"/>
        <v>Jun</v>
      </c>
      <c r="X904">
        <f t="shared" si="99"/>
        <v>6</v>
      </c>
      <c r="Y904" t="str">
        <f t="shared" si="100"/>
        <v>Q2</v>
      </c>
      <c r="Z904">
        <f t="shared" si="101"/>
        <v>2027</v>
      </c>
      <c r="AA904" t="str">
        <f t="shared" si="102"/>
        <v>Tuesday</v>
      </c>
      <c r="AB904">
        <f t="shared" si="103"/>
        <v>-62</v>
      </c>
      <c r="AC904" t="str">
        <f>IF(OR(D904="Heart Disease",D904="Cancer",D904="Stroke"),"High",IF(OR(D904="Diabetes",D904="Asthma"),"Medium","Low"))</f>
        <v>Low</v>
      </c>
      <c r="AD904" t="str">
        <f t="shared" si="104"/>
        <v>No</v>
      </c>
      <c r="AE904" t="str">
        <f>IF(G904&lt;=2,"Short Stay", IF(G904&lt;=7,"Normal Stay", "Long Stay"))</f>
        <v>Long Stay</v>
      </c>
      <c r="AF904" t="str">
        <f>IF(F904&gt;60000,"Expensive",IF(F904&gt;30000,"Moderate","Affordable"))</f>
        <v>Affordable</v>
      </c>
      <c r="AG904" t="str">
        <f>IF(J904&gt;=4.5,"Excellent",IF(J904&gt;=3.5,"Good",IF(J904&gt;=2.5,"Average","Poor")))</f>
        <v>Excellent</v>
      </c>
      <c r="AH904" t="str">
        <f>IF(OR(TEXT(N904,"dddd")="Saturday",TEXT(N904,"dddd")="Sunday"),"Weekend","Weekday")</f>
        <v>Weekday</v>
      </c>
    </row>
    <row r="905" spans="1:34" x14ac:dyDescent="0.3">
      <c r="A905">
        <v>919</v>
      </c>
      <c r="B905">
        <v>78</v>
      </c>
      <c r="C905" t="s">
        <v>35</v>
      </c>
      <c r="D905" t="s">
        <v>54</v>
      </c>
      <c r="E905" t="s">
        <v>55</v>
      </c>
      <c r="F905">
        <v>10000</v>
      </c>
      <c r="G905">
        <v>69</v>
      </c>
      <c r="H905" t="s">
        <v>24</v>
      </c>
      <c r="I905" t="s">
        <v>39</v>
      </c>
      <c r="J905">
        <v>2</v>
      </c>
      <c r="K905" t="s">
        <v>324</v>
      </c>
      <c r="L905" t="s">
        <v>1933</v>
      </c>
      <c r="M905" t="s">
        <v>1934</v>
      </c>
      <c r="N905" s="2">
        <v>46561</v>
      </c>
      <c r="O905" s="2">
        <v>46630</v>
      </c>
      <c r="P905" t="s">
        <v>29</v>
      </c>
      <c r="Q905" t="s">
        <v>139</v>
      </c>
      <c r="R905" t="s">
        <v>59</v>
      </c>
      <c r="S905" t="s">
        <v>84</v>
      </c>
      <c r="T905" t="s">
        <v>33</v>
      </c>
      <c r="U905" t="s">
        <v>46</v>
      </c>
      <c r="V905" t="str">
        <f>IF(B905&lt;=18,"Children",IF(B905&lt;=35,"Young adult",IF(B905&lt;=60,"Adult", "Senior Citizen")))</f>
        <v>Senior Citizen</v>
      </c>
      <c r="W905" t="str">
        <f t="shared" si="98"/>
        <v>Jun</v>
      </c>
      <c r="X905">
        <f t="shared" si="99"/>
        <v>6</v>
      </c>
      <c r="Y905" t="str">
        <f t="shared" si="100"/>
        <v>Q2</v>
      </c>
      <c r="Z905">
        <f t="shared" si="101"/>
        <v>2027</v>
      </c>
      <c r="AA905" t="str">
        <f t="shared" si="102"/>
        <v>Wednesday</v>
      </c>
      <c r="AB905">
        <f t="shared" si="103"/>
        <v>-69</v>
      </c>
      <c r="AC905" t="str">
        <f>IF(OR(D905="Heart Disease",D905="Cancer",D905="Stroke"),"High",IF(OR(D905="Diabetes",D905="Asthma"),"Medium","Low"))</f>
        <v>High</v>
      </c>
      <c r="AD905" t="str">
        <f t="shared" si="104"/>
        <v>Yes</v>
      </c>
      <c r="AE905" t="str">
        <f>IF(G905&lt;=2,"Short Stay", IF(G905&lt;=7,"Normal Stay", "Long Stay"))</f>
        <v>Long Stay</v>
      </c>
      <c r="AF905" t="str">
        <f>IF(F905&gt;60000,"Expensive",IF(F905&gt;30000,"Moderate","Affordable"))</f>
        <v>Affordable</v>
      </c>
      <c r="AG905" t="str">
        <f>IF(J905&gt;=4.5,"Excellent",IF(J905&gt;=3.5,"Good",IF(J905&gt;=2.5,"Average","Poor")))</f>
        <v>Poor</v>
      </c>
      <c r="AH905" t="str">
        <f>IF(OR(TEXT(N905,"dddd")="Saturday",TEXT(N905,"dddd")="Sunday"),"Weekend","Weekday")</f>
        <v>Weekday</v>
      </c>
    </row>
    <row r="906" spans="1:34" x14ac:dyDescent="0.3">
      <c r="A906">
        <v>920</v>
      </c>
      <c r="B906">
        <v>53</v>
      </c>
      <c r="C906" t="s">
        <v>21</v>
      </c>
      <c r="D906" t="s">
        <v>60</v>
      </c>
      <c r="E906" t="s">
        <v>61</v>
      </c>
      <c r="F906">
        <v>25000</v>
      </c>
      <c r="G906">
        <v>71</v>
      </c>
      <c r="H906" t="s">
        <v>38</v>
      </c>
      <c r="I906" t="s">
        <v>25</v>
      </c>
      <c r="J906">
        <v>4</v>
      </c>
      <c r="K906" t="s">
        <v>113</v>
      </c>
      <c r="L906" t="s">
        <v>1935</v>
      </c>
      <c r="M906" t="s">
        <v>1936</v>
      </c>
      <c r="N906" s="2">
        <v>46562</v>
      </c>
      <c r="O906" s="2">
        <v>46633</v>
      </c>
      <c r="P906" t="s">
        <v>43</v>
      </c>
      <c r="Q906" t="s">
        <v>71</v>
      </c>
      <c r="R906" t="s">
        <v>65</v>
      </c>
      <c r="S906" t="s">
        <v>77</v>
      </c>
      <c r="T906" t="s">
        <v>33</v>
      </c>
      <c r="U906" t="s">
        <v>104</v>
      </c>
      <c r="V906" t="str">
        <f>IF(B906&lt;=18,"Children",IF(B906&lt;=35,"Young adult",IF(B906&lt;=60,"Adult", "Senior Citizen")))</f>
        <v>Adult</v>
      </c>
      <c r="W906" t="str">
        <f t="shared" si="98"/>
        <v>Jun</v>
      </c>
      <c r="X906">
        <f t="shared" si="99"/>
        <v>6</v>
      </c>
      <c r="Y906" t="str">
        <f t="shared" si="100"/>
        <v>Q2</v>
      </c>
      <c r="Z906">
        <f t="shared" si="101"/>
        <v>2027</v>
      </c>
      <c r="AA906" t="str">
        <f t="shared" si="102"/>
        <v>Thursday</v>
      </c>
      <c r="AB906">
        <f t="shared" si="103"/>
        <v>-71</v>
      </c>
      <c r="AC906" t="str">
        <f>IF(OR(D906="Heart Disease",D906="Cancer",D906="Stroke"),"High",IF(OR(D906="Diabetes",D906="Asthma"),"Medium","Low"))</f>
        <v>High</v>
      </c>
      <c r="AD906" t="str">
        <f t="shared" si="104"/>
        <v>Yes</v>
      </c>
      <c r="AE906" t="str">
        <f>IF(G906&lt;=2,"Short Stay", IF(G906&lt;=7,"Normal Stay", "Long Stay"))</f>
        <v>Long Stay</v>
      </c>
      <c r="AF906" t="str">
        <f>IF(F906&gt;60000,"Expensive",IF(F906&gt;30000,"Moderate","Affordable"))</f>
        <v>Affordable</v>
      </c>
      <c r="AG906" t="str">
        <f>IF(J906&gt;=4.5,"Excellent",IF(J906&gt;=3.5,"Good",IF(J906&gt;=2.5,"Average","Poor")))</f>
        <v>Good</v>
      </c>
      <c r="AH906" t="str">
        <f>IF(OR(TEXT(N906,"dddd")="Saturday",TEXT(N906,"dddd")="Sunday"),"Weekend","Weekday")</f>
        <v>Weekday</v>
      </c>
    </row>
    <row r="907" spans="1:34" x14ac:dyDescent="0.3">
      <c r="A907">
        <v>921</v>
      </c>
      <c r="B907">
        <v>72</v>
      </c>
      <c r="C907" t="s">
        <v>35</v>
      </c>
      <c r="D907" t="s">
        <v>66</v>
      </c>
      <c r="E907" t="s">
        <v>67</v>
      </c>
      <c r="F907">
        <v>1000</v>
      </c>
      <c r="G907">
        <v>65</v>
      </c>
      <c r="H907" t="s">
        <v>24</v>
      </c>
      <c r="I907" t="s">
        <v>39</v>
      </c>
      <c r="J907">
        <v>4</v>
      </c>
      <c r="K907" t="s">
        <v>324</v>
      </c>
      <c r="L907" t="s">
        <v>1937</v>
      </c>
      <c r="M907" t="s">
        <v>1938</v>
      </c>
      <c r="N907" s="2">
        <v>46563</v>
      </c>
      <c r="O907" s="2">
        <v>46628</v>
      </c>
      <c r="P907" t="s">
        <v>43</v>
      </c>
      <c r="Q907" t="s">
        <v>139</v>
      </c>
      <c r="R907" t="s">
        <v>45</v>
      </c>
      <c r="S907" t="s">
        <v>84</v>
      </c>
      <c r="T907" t="s">
        <v>33</v>
      </c>
      <c r="U907" t="s">
        <v>46</v>
      </c>
      <c r="V907" t="str">
        <f>IF(B907&lt;=18,"Children",IF(B907&lt;=35,"Young adult",IF(B907&lt;=60,"Adult", "Senior Citizen")))</f>
        <v>Senior Citizen</v>
      </c>
      <c r="W907" t="str">
        <f t="shared" si="98"/>
        <v>Jun</v>
      </c>
      <c r="X907">
        <f t="shared" si="99"/>
        <v>6</v>
      </c>
      <c r="Y907" t="str">
        <f t="shared" si="100"/>
        <v>Q2</v>
      </c>
      <c r="Z907">
        <f t="shared" si="101"/>
        <v>2027</v>
      </c>
      <c r="AA907" t="str">
        <f t="shared" si="102"/>
        <v>Friday</v>
      </c>
      <c r="AB907">
        <f t="shared" si="103"/>
        <v>-65</v>
      </c>
      <c r="AC907" t="str">
        <f>IF(OR(D907="Heart Disease",D907="Cancer",D907="Stroke"),"High",IF(OR(D907="Diabetes",D907="Asthma"),"Medium","Low"))</f>
        <v>Low</v>
      </c>
      <c r="AD907" t="str">
        <f t="shared" si="104"/>
        <v>No</v>
      </c>
      <c r="AE907" t="str">
        <f>IF(G907&lt;=2,"Short Stay", IF(G907&lt;=7,"Normal Stay", "Long Stay"))</f>
        <v>Long Stay</v>
      </c>
      <c r="AF907" t="str">
        <f>IF(F907&gt;60000,"Expensive",IF(F907&gt;30000,"Moderate","Affordable"))</f>
        <v>Affordable</v>
      </c>
      <c r="AG907" t="str">
        <f>IF(J907&gt;=4.5,"Excellent",IF(J907&gt;=3.5,"Good",IF(J907&gt;=2.5,"Average","Poor")))</f>
        <v>Good</v>
      </c>
      <c r="AH907" t="str">
        <f>IF(OR(TEXT(N907,"dddd")="Saturday",TEXT(N907,"dddd")="Sunday"),"Weekend","Weekday")</f>
        <v>Weekday</v>
      </c>
    </row>
    <row r="908" spans="1:34" x14ac:dyDescent="0.3">
      <c r="A908">
        <v>922</v>
      </c>
      <c r="B908">
        <v>60</v>
      </c>
      <c r="C908" t="s">
        <v>21</v>
      </c>
      <c r="D908" t="s">
        <v>73</v>
      </c>
      <c r="E908" t="s">
        <v>74</v>
      </c>
      <c r="F908">
        <v>8000</v>
      </c>
      <c r="G908">
        <v>67</v>
      </c>
      <c r="H908" t="s">
        <v>38</v>
      </c>
      <c r="I908" t="s">
        <v>25</v>
      </c>
      <c r="J908">
        <v>3</v>
      </c>
      <c r="K908" t="s">
        <v>81</v>
      </c>
      <c r="L908" t="s">
        <v>1939</v>
      </c>
      <c r="M908" t="s">
        <v>1940</v>
      </c>
      <c r="N908" s="2">
        <v>46564</v>
      </c>
      <c r="O908" s="2">
        <v>46631</v>
      </c>
      <c r="P908" t="s">
        <v>43</v>
      </c>
      <c r="Q908" t="s">
        <v>30</v>
      </c>
      <c r="R908" t="s">
        <v>45</v>
      </c>
      <c r="S908" t="s">
        <v>53</v>
      </c>
      <c r="T908" t="s">
        <v>33</v>
      </c>
      <c r="U908" t="s">
        <v>46</v>
      </c>
      <c r="V908" t="str">
        <f>IF(B908&lt;=18,"Children",IF(B908&lt;=35,"Young adult",IF(B908&lt;=60,"Adult", "Senior Citizen")))</f>
        <v>Adult</v>
      </c>
      <c r="W908" t="str">
        <f t="shared" si="98"/>
        <v>Jun</v>
      </c>
      <c r="X908">
        <f t="shared" si="99"/>
        <v>6</v>
      </c>
      <c r="Y908" t="str">
        <f t="shared" si="100"/>
        <v>Q2</v>
      </c>
      <c r="Z908">
        <f t="shared" si="101"/>
        <v>2027</v>
      </c>
      <c r="AA908" t="str">
        <f t="shared" si="102"/>
        <v>Saturday</v>
      </c>
      <c r="AB908">
        <f t="shared" si="103"/>
        <v>-67</v>
      </c>
      <c r="AC908" t="str">
        <f>IF(OR(D908="Heart Disease",D908="Cancer",D908="Stroke"),"High",IF(OR(D908="Diabetes",D908="Asthma"),"Medium","Low"))</f>
        <v>Low</v>
      </c>
      <c r="AD908" t="str">
        <f t="shared" si="104"/>
        <v>No</v>
      </c>
      <c r="AE908" t="str">
        <f>IF(G908&lt;=2,"Short Stay", IF(G908&lt;=7,"Normal Stay", "Long Stay"))</f>
        <v>Long Stay</v>
      </c>
      <c r="AF908" t="str">
        <f>IF(F908&gt;60000,"Expensive",IF(F908&gt;30000,"Moderate","Affordable"))</f>
        <v>Affordable</v>
      </c>
      <c r="AG908" t="str">
        <f>IF(J908&gt;=4.5,"Excellent",IF(J908&gt;=3.5,"Good",IF(J908&gt;=2.5,"Average","Poor")))</f>
        <v>Average</v>
      </c>
      <c r="AH908" t="str">
        <f>IF(OR(TEXT(N908,"dddd")="Saturday",TEXT(N908,"dddd")="Sunday"),"Weekend","Weekday")</f>
        <v>Weekend</v>
      </c>
    </row>
    <row r="909" spans="1:34" x14ac:dyDescent="0.3">
      <c r="A909">
        <v>923</v>
      </c>
      <c r="B909">
        <v>45</v>
      </c>
      <c r="C909" t="s">
        <v>35</v>
      </c>
      <c r="D909" t="s">
        <v>79</v>
      </c>
      <c r="E909" t="s">
        <v>80</v>
      </c>
      <c r="F909">
        <v>3000</v>
      </c>
      <c r="G909">
        <v>67</v>
      </c>
      <c r="H909" t="s">
        <v>24</v>
      </c>
      <c r="I909" t="s">
        <v>25</v>
      </c>
      <c r="J909">
        <v>4</v>
      </c>
      <c r="K909" t="s">
        <v>200</v>
      </c>
      <c r="L909" t="s">
        <v>1941</v>
      </c>
      <c r="M909" t="s">
        <v>1942</v>
      </c>
      <c r="N909" s="2">
        <v>46565</v>
      </c>
      <c r="O909" s="2">
        <v>46632</v>
      </c>
      <c r="P909" t="s">
        <v>29</v>
      </c>
      <c r="Q909" t="s">
        <v>71</v>
      </c>
      <c r="R909" t="s">
        <v>45</v>
      </c>
      <c r="S909" t="s">
        <v>84</v>
      </c>
      <c r="T909" t="s">
        <v>33</v>
      </c>
      <c r="U909" t="s">
        <v>46</v>
      </c>
      <c r="V909" t="str">
        <f>IF(B909&lt;=18,"Children",IF(B909&lt;=35,"Young adult",IF(B909&lt;=60,"Adult", "Senior Citizen")))</f>
        <v>Adult</v>
      </c>
      <c r="W909" t="str">
        <f t="shared" si="98"/>
        <v>Jun</v>
      </c>
      <c r="X909">
        <f t="shared" si="99"/>
        <v>6</v>
      </c>
      <c r="Y909" t="str">
        <f t="shared" si="100"/>
        <v>Q2</v>
      </c>
      <c r="Z909">
        <f t="shared" si="101"/>
        <v>2027</v>
      </c>
      <c r="AA909" t="str">
        <f t="shared" si="102"/>
        <v>Sunday</v>
      </c>
      <c r="AB909">
        <f t="shared" si="103"/>
        <v>-67</v>
      </c>
      <c r="AC909" t="str">
        <f>IF(OR(D909="Heart Disease",D909="Cancer",D909="Stroke"),"High",IF(OR(D909="Diabetes",D909="Asthma"),"Medium","Low"))</f>
        <v>Low</v>
      </c>
      <c r="AD909" t="str">
        <f t="shared" si="104"/>
        <v>No</v>
      </c>
      <c r="AE909" t="str">
        <f>IF(G909&lt;=2,"Short Stay", IF(G909&lt;=7,"Normal Stay", "Long Stay"))</f>
        <v>Long Stay</v>
      </c>
      <c r="AF909" t="str">
        <f>IF(F909&gt;60000,"Expensive",IF(F909&gt;30000,"Moderate","Affordable"))</f>
        <v>Affordable</v>
      </c>
      <c r="AG909" t="str">
        <f>IF(J909&gt;=4.5,"Excellent",IF(J909&gt;=3.5,"Good",IF(J909&gt;=2.5,"Average","Poor")))</f>
        <v>Good</v>
      </c>
      <c r="AH909" t="str">
        <f>IF(OR(TEXT(N909,"dddd")="Saturday",TEXT(N909,"dddd")="Sunday"),"Weekend","Weekday")</f>
        <v>Weekend</v>
      </c>
    </row>
    <row r="910" spans="1:34" x14ac:dyDescent="0.3">
      <c r="A910">
        <v>924</v>
      </c>
      <c r="B910">
        <v>75</v>
      </c>
      <c r="C910" t="s">
        <v>21</v>
      </c>
      <c r="D910" t="s">
        <v>85</v>
      </c>
      <c r="E910" t="s">
        <v>86</v>
      </c>
      <c r="F910">
        <v>18000</v>
      </c>
      <c r="G910">
        <v>69</v>
      </c>
      <c r="H910" t="s">
        <v>38</v>
      </c>
      <c r="I910" t="s">
        <v>39</v>
      </c>
      <c r="J910">
        <v>2</v>
      </c>
      <c r="K910" t="s">
        <v>160</v>
      </c>
      <c r="L910" t="s">
        <v>1943</v>
      </c>
      <c r="M910" t="s">
        <v>1944</v>
      </c>
      <c r="N910" s="2">
        <v>46566</v>
      </c>
      <c r="O910" s="2">
        <v>46635</v>
      </c>
      <c r="P910" t="s">
        <v>43</v>
      </c>
      <c r="Q910" t="s">
        <v>44</v>
      </c>
      <c r="R910" t="s">
        <v>45</v>
      </c>
      <c r="S910" t="s">
        <v>77</v>
      </c>
      <c r="T910" t="s">
        <v>33</v>
      </c>
      <c r="U910" t="s">
        <v>34</v>
      </c>
      <c r="V910" t="str">
        <f>IF(B910&lt;=18,"Children",IF(B910&lt;=35,"Young adult",IF(B910&lt;=60,"Adult", "Senior Citizen")))</f>
        <v>Senior Citizen</v>
      </c>
      <c r="W910" t="str">
        <f t="shared" si="98"/>
        <v>Jun</v>
      </c>
      <c r="X910">
        <f t="shared" si="99"/>
        <v>6</v>
      </c>
      <c r="Y910" t="str">
        <f t="shared" si="100"/>
        <v>Q2</v>
      </c>
      <c r="Z910">
        <f t="shared" si="101"/>
        <v>2027</v>
      </c>
      <c r="AA910" t="str">
        <f t="shared" si="102"/>
        <v>Monday</v>
      </c>
      <c r="AB910">
        <f t="shared" si="103"/>
        <v>-69</v>
      </c>
      <c r="AC910" t="str">
        <f>IF(OR(D910="Heart Disease",D910="Cancer",D910="Stroke"),"High",IF(OR(D910="Diabetes",D910="Asthma"),"Medium","Low"))</f>
        <v>Low</v>
      </c>
      <c r="AD910" t="str">
        <f t="shared" si="104"/>
        <v>No</v>
      </c>
      <c r="AE910" t="str">
        <f>IF(G910&lt;=2,"Short Stay", IF(G910&lt;=7,"Normal Stay", "Long Stay"))</f>
        <v>Long Stay</v>
      </c>
      <c r="AF910" t="str">
        <f>IF(F910&gt;60000,"Expensive",IF(F910&gt;30000,"Moderate","Affordable"))</f>
        <v>Affordable</v>
      </c>
      <c r="AG910" t="str">
        <f>IF(J910&gt;=4.5,"Excellent",IF(J910&gt;=3.5,"Good",IF(J910&gt;=2.5,"Average","Poor")))</f>
        <v>Poor</v>
      </c>
      <c r="AH910" t="str">
        <f>IF(OR(TEXT(N910,"dddd")="Saturday",TEXT(N910,"dddd")="Sunday"),"Weekend","Weekday")</f>
        <v>Weekday</v>
      </c>
    </row>
    <row r="911" spans="1:34" x14ac:dyDescent="0.3">
      <c r="A911">
        <v>925</v>
      </c>
      <c r="B911">
        <v>28</v>
      </c>
      <c r="C911" t="s">
        <v>35</v>
      </c>
      <c r="D911" t="s">
        <v>89</v>
      </c>
      <c r="E911" t="s">
        <v>90</v>
      </c>
      <c r="F911">
        <v>100</v>
      </c>
      <c r="G911">
        <v>62</v>
      </c>
      <c r="H911" t="s">
        <v>24</v>
      </c>
      <c r="I911" t="s">
        <v>25</v>
      </c>
      <c r="J911">
        <v>5</v>
      </c>
      <c r="K911" t="s">
        <v>91</v>
      </c>
      <c r="L911" t="s">
        <v>1945</v>
      </c>
      <c r="M911" t="s">
        <v>1946</v>
      </c>
      <c r="N911" s="2">
        <v>46567</v>
      </c>
      <c r="O911" s="2">
        <v>46629</v>
      </c>
      <c r="P911" t="s">
        <v>29</v>
      </c>
      <c r="Q911" t="s">
        <v>44</v>
      </c>
      <c r="R911" t="s">
        <v>45</v>
      </c>
      <c r="S911" t="s">
        <v>53</v>
      </c>
      <c r="T911" t="s">
        <v>33</v>
      </c>
      <c r="U911" t="s">
        <v>34</v>
      </c>
      <c r="V911" t="str">
        <f>IF(B911&lt;=18,"Children",IF(B911&lt;=35,"Young adult",IF(B911&lt;=60,"Adult", "Senior Citizen")))</f>
        <v>Young adult</v>
      </c>
      <c r="W911" t="str">
        <f t="shared" si="98"/>
        <v>Jun</v>
      </c>
      <c r="X911">
        <f t="shared" si="99"/>
        <v>6</v>
      </c>
      <c r="Y911" t="str">
        <f t="shared" si="100"/>
        <v>Q2</v>
      </c>
      <c r="Z911">
        <f t="shared" si="101"/>
        <v>2027</v>
      </c>
      <c r="AA911" t="str">
        <f t="shared" si="102"/>
        <v>Tuesday</v>
      </c>
      <c r="AB911">
        <f t="shared" si="103"/>
        <v>-62</v>
      </c>
      <c r="AC911" t="str">
        <f>IF(OR(D911="Heart Disease",D911="Cancer",D911="Stroke"),"High",IF(OR(D911="Diabetes",D911="Asthma"),"Medium","Low"))</f>
        <v>Low</v>
      </c>
      <c r="AD911" t="str">
        <f t="shared" si="104"/>
        <v>No</v>
      </c>
      <c r="AE911" t="str">
        <f>IF(G911&lt;=2,"Short Stay", IF(G911&lt;=7,"Normal Stay", "Long Stay"))</f>
        <v>Long Stay</v>
      </c>
      <c r="AF911" t="str">
        <f>IF(F911&gt;60000,"Expensive",IF(F911&gt;30000,"Moderate","Affordable"))</f>
        <v>Affordable</v>
      </c>
      <c r="AG911" t="str">
        <f>IF(J911&gt;=4.5,"Excellent",IF(J911&gt;=3.5,"Good",IF(J911&gt;=2.5,"Average","Poor")))</f>
        <v>Excellent</v>
      </c>
      <c r="AH911" t="str">
        <f>IF(OR(TEXT(N911,"dddd")="Saturday",TEXT(N911,"dddd")="Sunday"),"Weekend","Weekday")</f>
        <v>Weekday</v>
      </c>
    </row>
    <row r="912" spans="1:34" x14ac:dyDescent="0.3">
      <c r="A912">
        <v>926</v>
      </c>
      <c r="B912">
        <v>52</v>
      </c>
      <c r="C912" t="s">
        <v>21</v>
      </c>
      <c r="D912" t="s">
        <v>94</v>
      </c>
      <c r="E912" t="s">
        <v>95</v>
      </c>
      <c r="F912">
        <v>800</v>
      </c>
      <c r="G912">
        <v>63</v>
      </c>
      <c r="H912" t="s">
        <v>24</v>
      </c>
      <c r="I912" t="s">
        <v>39</v>
      </c>
      <c r="J912">
        <v>4</v>
      </c>
      <c r="K912" t="s">
        <v>157</v>
      </c>
      <c r="L912" t="s">
        <v>1947</v>
      </c>
      <c r="M912" t="s">
        <v>1948</v>
      </c>
      <c r="N912" s="2">
        <v>46568</v>
      </c>
      <c r="O912" s="2">
        <v>46631</v>
      </c>
      <c r="P912" t="s">
        <v>29</v>
      </c>
      <c r="Q912" t="s">
        <v>44</v>
      </c>
      <c r="R912" t="s">
        <v>45</v>
      </c>
      <c r="S912" t="s">
        <v>53</v>
      </c>
      <c r="T912" t="s">
        <v>33</v>
      </c>
      <c r="U912" t="s">
        <v>78</v>
      </c>
      <c r="V912" t="str">
        <f>IF(B912&lt;=18,"Children",IF(B912&lt;=35,"Young adult",IF(B912&lt;=60,"Adult", "Senior Citizen")))</f>
        <v>Adult</v>
      </c>
      <c r="W912" t="str">
        <f t="shared" si="98"/>
        <v>Jun</v>
      </c>
      <c r="X912">
        <f t="shared" si="99"/>
        <v>6</v>
      </c>
      <c r="Y912" t="str">
        <f t="shared" si="100"/>
        <v>Q2</v>
      </c>
      <c r="Z912">
        <f t="shared" si="101"/>
        <v>2027</v>
      </c>
      <c r="AA912" t="str">
        <f t="shared" si="102"/>
        <v>Wednesday</v>
      </c>
      <c r="AB912">
        <f t="shared" si="103"/>
        <v>-63</v>
      </c>
      <c r="AC912" t="str">
        <f>IF(OR(D912="Heart Disease",D912="Cancer",D912="Stroke"),"High",IF(OR(D912="Diabetes",D912="Asthma"),"Medium","Low"))</f>
        <v>Low</v>
      </c>
      <c r="AD912" t="str">
        <f t="shared" si="104"/>
        <v>No</v>
      </c>
      <c r="AE912" t="str">
        <f>IF(G912&lt;=2,"Short Stay", IF(G912&lt;=7,"Normal Stay", "Long Stay"))</f>
        <v>Long Stay</v>
      </c>
      <c r="AF912" t="str">
        <f>IF(F912&gt;60000,"Expensive",IF(F912&gt;30000,"Moderate","Affordable"))</f>
        <v>Affordable</v>
      </c>
      <c r="AG912" t="str">
        <f>IF(J912&gt;=4.5,"Excellent",IF(J912&gt;=3.5,"Good",IF(J912&gt;=2.5,"Average","Poor")))</f>
        <v>Good</v>
      </c>
      <c r="AH912" t="str">
        <f>IF(OR(TEXT(N912,"dddd")="Saturday",TEXT(N912,"dddd")="Sunday"),"Weekend","Weekday")</f>
        <v>Weekday</v>
      </c>
    </row>
    <row r="913" spans="1:34" x14ac:dyDescent="0.3">
      <c r="A913">
        <v>927</v>
      </c>
      <c r="B913">
        <v>67</v>
      </c>
      <c r="C913" t="s">
        <v>35</v>
      </c>
      <c r="D913" t="s">
        <v>99</v>
      </c>
      <c r="E913" t="s">
        <v>100</v>
      </c>
      <c r="F913">
        <v>20000</v>
      </c>
      <c r="G913">
        <v>70</v>
      </c>
      <c r="H913" t="s">
        <v>24</v>
      </c>
      <c r="I913" t="s">
        <v>25</v>
      </c>
      <c r="J913">
        <v>3</v>
      </c>
      <c r="K913" t="s">
        <v>294</v>
      </c>
      <c r="L913" t="s">
        <v>1949</v>
      </c>
      <c r="M913" t="s">
        <v>1950</v>
      </c>
      <c r="N913" s="2">
        <v>46569</v>
      </c>
      <c r="O913" s="2">
        <v>46639</v>
      </c>
      <c r="P913" t="s">
        <v>43</v>
      </c>
      <c r="Q913" t="s">
        <v>44</v>
      </c>
      <c r="R913" t="s">
        <v>45</v>
      </c>
      <c r="S913" t="s">
        <v>110</v>
      </c>
      <c r="T913" t="s">
        <v>33</v>
      </c>
      <c r="U913" t="s">
        <v>34</v>
      </c>
      <c r="V913" t="str">
        <f>IF(B913&lt;=18,"Children",IF(B913&lt;=35,"Young adult",IF(B913&lt;=60,"Adult", "Senior Citizen")))</f>
        <v>Senior Citizen</v>
      </c>
      <c r="W913" t="str">
        <f t="shared" si="98"/>
        <v>Jul</v>
      </c>
      <c r="X913">
        <f t="shared" si="99"/>
        <v>7</v>
      </c>
      <c r="Y913" t="str">
        <f t="shared" si="100"/>
        <v>Q3</v>
      </c>
      <c r="Z913">
        <f t="shared" si="101"/>
        <v>2027</v>
      </c>
      <c r="AA913" t="str">
        <f t="shared" si="102"/>
        <v>Thursday</v>
      </c>
      <c r="AB913">
        <f t="shared" si="103"/>
        <v>-70</v>
      </c>
      <c r="AC913" t="str">
        <f>IF(OR(D913="Heart Disease",D913="Cancer",D913="Stroke"),"High",IF(OR(D913="Diabetes",D913="Asthma"),"Medium","Low"))</f>
        <v>Low</v>
      </c>
      <c r="AD913" t="str">
        <f t="shared" si="104"/>
        <v>No</v>
      </c>
      <c r="AE913" t="str">
        <f>IF(G913&lt;=2,"Short Stay", IF(G913&lt;=7,"Normal Stay", "Long Stay"))</f>
        <v>Long Stay</v>
      </c>
      <c r="AF913" t="str">
        <f>IF(F913&gt;60000,"Expensive",IF(F913&gt;30000,"Moderate","Affordable"))</f>
        <v>Affordable</v>
      </c>
      <c r="AG913" t="str">
        <f>IF(J913&gt;=4.5,"Excellent",IF(J913&gt;=3.5,"Good",IF(J913&gt;=2.5,"Average","Poor")))</f>
        <v>Average</v>
      </c>
      <c r="AH913" t="str">
        <f>IF(OR(TEXT(N913,"dddd")="Saturday",TEXT(N913,"dddd")="Sunday"),"Weekend","Weekday")</f>
        <v>Weekday</v>
      </c>
    </row>
    <row r="914" spans="1:34" x14ac:dyDescent="0.3">
      <c r="A914">
        <v>928</v>
      </c>
      <c r="B914">
        <v>35</v>
      </c>
      <c r="C914" t="s">
        <v>21</v>
      </c>
      <c r="D914" t="s">
        <v>105</v>
      </c>
      <c r="E914" t="s">
        <v>106</v>
      </c>
      <c r="F914">
        <v>12000</v>
      </c>
      <c r="G914">
        <v>64</v>
      </c>
      <c r="H914" t="s">
        <v>24</v>
      </c>
      <c r="I914" t="s">
        <v>25</v>
      </c>
      <c r="J914">
        <v>4</v>
      </c>
      <c r="K914" t="s">
        <v>218</v>
      </c>
      <c r="L914" t="s">
        <v>1951</v>
      </c>
      <c r="M914" t="s">
        <v>1952</v>
      </c>
      <c r="N914" s="2">
        <v>46570</v>
      </c>
      <c r="O914" s="2">
        <v>46634</v>
      </c>
      <c r="P914" t="s">
        <v>43</v>
      </c>
      <c r="Q914" t="s">
        <v>52</v>
      </c>
      <c r="R914" t="s">
        <v>45</v>
      </c>
      <c r="S914" t="s">
        <v>53</v>
      </c>
      <c r="T914" t="s">
        <v>33</v>
      </c>
      <c r="U914" t="s">
        <v>78</v>
      </c>
      <c r="V914" t="str">
        <f>IF(B914&lt;=18,"Children",IF(B914&lt;=35,"Young adult",IF(B914&lt;=60,"Adult", "Senior Citizen")))</f>
        <v>Young adult</v>
      </c>
      <c r="W914" t="str">
        <f t="shared" si="98"/>
        <v>Jul</v>
      </c>
      <c r="X914">
        <f t="shared" si="99"/>
        <v>7</v>
      </c>
      <c r="Y914" t="str">
        <f t="shared" si="100"/>
        <v>Q3</v>
      </c>
      <c r="Z914">
        <f t="shared" si="101"/>
        <v>2027</v>
      </c>
      <c r="AA914" t="str">
        <f t="shared" si="102"/>
        <v>Friday</v>
      </c>
      <c r="AB914">
        <f t="shared" si="103"/>
        <v>-64</v>
      </c>
      <c r="AC914" t="str">
        <f>IF(OR(D914="Heart Disease",D914="Cancer",D914="Stroke"),"High",IF(OR(D914="Diabetes",D914="Asthma"),"Medium","Low"))</f>
        <v>Low</v>
      </c>
      <c r="AD914" t="str">
        <f t="shared" si="104"/>
        <v>No</v>
      </c>
      <c r="AE914" t="str">
        <f>IF(G914&lt;=2,"Short Stay", IF(G914&lt;=7,"Normal Stay", "Long Stay"))</f>
        <v>Long Stay</v>
      </c>
      <c r="AF914" t="str">
        <f>IF(F914&gt;60000,"Expensive",IF(F914&gt;30000,"Moderate","Affordable"))</f>
        <v>Affordable</v>
      </c>
      <c r="AG914" t="str">
        <f>IF(J914&gt;=4.5,"Excellent",IF(J914&gt;=3.5,"Good",IF(J914&gt;=2.5,"Average","Poor")))</f>
        <v>Good</v>
      </c>
      <c r="AH914" t="str">
        <f>IF(OR(TEXT(N914,"dddd")="Saturday",TEXT(N914,"dddd")="Sunday"),"Weekend","Weekday")</f>
        <v>Weekday</v>
      </c>
    </row>
    <row r="915" spans="1:34" x14ac:dyDescent="0.3">
      <c r="A915">
        <v>929</v>
      </c>
      <c r="B915">
        <v>50</v>
      </c>
      <c r="C915" t="s">
        <v>35</v>
      </c>
      <c r="D915" t="s">
        <v>111</v>
      </c>
      <c r="E915" t="s">
        <v>112</v>
      </c>
      <c r="F915">
        <v>6000</v>
      </c>
      <c r="G915">
        <v>65</v>
      </c>
      <c r="H915" t="s">
        <v>24</v>
      </c>
      <c r="I915" t="s">
        <v>25</v>
      </c>
      <c r="J915">
        <v>3</v>
      </c>
      <c r="K915" t="s">
        <v>154</v>
      </c>
      <c r="L915" t="s">
        <v>1953</v>
      </c>
      <c r="M915" t="s">
        <v>1954</v>
      </c>
      <c r="N915" s="2">
        <v>46571</v>
      </c>
      <c r="O915" s="2">
        <v>46636</v>
      </c>
      <c r="P915" t="s">
        <v>43</v>
      </c>
      <c r="Q915" t="s">
        <v>52</v>
      </c>
      <c r="R915" t="s">
        <v>45</v>
      </c>
      <c r="S915" t="s">
        <v>32</v>
      </c>
      <c r="T915" t="s">
        <v>33</v>
      </c>
      <c r="U915" t="s">
        <v>78</v>
      </c>
      <c r="V915" t="str">
        <f>IF(B915&lt;=18,"Children",IF(B915&lt;=35,"Young adult",IF(B915&lt;=60,"Adult", "Senior Citizen")))</f>
        <v>Adult</v>
      </c>
      <c r="W915" t="str">
        <f t="shared" si="98"/>
        <v>Jul</v>
      </c>
      <c r="X915">
        <f t="shared" si="99"/>
        <v>7</v>
      </c>
      <c r="Y915" t="str">
        <f t="shared" si="100"/>
        <v>Q3</v>
      </c>
      <c r="Z915">
        <f t="shared" si="101"/>
        <v>2027</v>
      </c>
      <c r="AA915" t="str">
        <f t="shared" si="102"/>
        <v>Saturday</v>
      </c>
      <c r="AB915">
        <f t="shared" si="103"/>
        <v>-65</v>
      </c>
      <c r="AC915" t="str">
        <f>IF(OR(D915="Heart Disease",D915="Cancer",D915="Stroke"),"High",IF(OR(D915="Diabetes",D915="Asthma"),"Medium","Low"))</f>
        <v>Low</v>
      </c>
      <c r="AD915" t="str">
        <f t="shared" si="104"/>
        <v>No</v>
      </c>
      <c r="AE915" t="str">
        <f>IF(G915&lt;=2,"Short Stay", IF(G915&lt;=7,"Normal Stay", "Long Stay"))</f>
        <v>Long Stay</v>
      </c>
      <c r="AF915" t="str">
        <f>IF(F915&gt;60000,"Expensive",IF(F915&gt;30000,"Moderate","Affordable"))</f>
        <v>Affordable</v>
      </c>
      <c r="AG915" t="str">
        <f>IF(J915&gt;=4.5,"Excellent",IF(J915&gt;=3.5,"Good",IF(J915&gt;=2.5,"Average","Poor")))</f>
        <v>Average</v>
      </c>
      <c r="AH915" t="str">
        <f>IF(OR(TEXT(N915,"dddd")="Saturday",TEXT(N915,"dddd")="Sunday"),"Weekend","Weekday")</f>
        <v>Weekend</v>
      </c>
    </row>
    <row r="916" spans="1:34" x14ac:dyDescent="0.3">
      <c r="A916">
        <v>930</v>
      </c>
      <c r="B916">
        <v>60</v>
      </c>
      <c r="C916" t="s">
        <v>21</v>
      </c>
      <c r="D916" t="s">
        <v>116</v>
      </c>
      <c r="E916" t="s">
        <v>117</v>
      </c>
      <c r="F916">
        <v>4000</v>
      </c>
      <c r="G916">
        <v>66</v>
      </c>
      <c r="H916" t="s">
        <v>24</v>
      </c>
      <c r="I916" t="s">
        <v>39</v>
      </c>
      <c r="J916">
        <v>4</v>
      </c>
      <c r="K916" t="s">
        <v>154</v>
      </c>
      <c r="L916" t="s">
        <v>1955</v>
      </c>
      <c r="M916" t="s">
        <v>1956</v>
      </c>
      <c r="N916" s="2">
        <v>46572</v>
      </c>
      <c r="O916" s="2">
        <v>46638</v>
      </c>
      <c r="P916" t="s">
        <v>43</v>
      </c>
      <c r="Q916" t="s">
        <v>139</v>
      </c>
      <c r="R916" t="s">
        <v>45</v>
      </c>
      <c r="S916" t="s">
        <v>32</v>
      </c>
      <c r="T916" t="s">
        <v>33</v>
      </c>
      <c r="U916" t="s">
        <v>104</v>
      </c>
      <c r="V916" t="str">
        <f>IF(B916&lt;=18,"Children",IF(B916&lt;=35,"Young adult",IF(B916&lt;=60,"Adult", "Senior Citizen")))</f>
        <v>Adult</v>
      </c>
      <c r="W916" t="str">
        <f t="shared" si="98"/>
        <v>Jul</v>
      </c>
      <c r="X916">
        <f t="shared" si="99"/>
        <v>7</v>
      </c>
      <c r="Y916" t="str">
        <f t="shared" si="100"/>
        <v>Q3</v>
      </c>
      <c r="Z916">
        <f t="shared" si="101"/>
        <v>2027</v>
      </c>
      <c r="AA916" t="str">
        <f t="shared" si="102"/>
        <v>Sunday</v>
      </c>
      <c r="AB916">
        <f t="shared" si="103"/>
        <v>-66</v>
      </c>
      <c r="AC916" t="str">
        <f>IF(OR(D916="Heart Disease",D916="Cancer",D916="Stroke"),"High",IF(OR(D916="Diabetes",D916="Asthma"),"Medium","Low"))</f>
        <v>Low</v>
      </c>
      <c r="AD916" t="str">
        <f t="shared" si="104"/>
        <v>No</v>
      </c>
      <c r="AE916" t="str">
        <f>IF(G916&lt;=2,"Short Stay", IF(G916&lt;=7,"Normal Stay", "Long Stay"))</f>
        <v>Long Stay</v>
      </c>
      <c r="AF916" t="str">
        <f>IF(F916&gt;60000,"Expensive",IF(F916&gt;30000,"Moderate","Affordable"))</f>
        <v>Affordable</v>
      </c>
      <c r="AG916" t="str">
        <f>IF(J916&gt;=4.5,"Excellent",IF(J916&gt;=3.5,"Good",IF(J916&gt;=2.5,"Average","Poor")))</f>
        <v>Good</v>
      </c>
      <c r="AH916" t="str">
        <f>IF(OR(TEXT(N916,"dddd")="Saturday",TEXT(N916,"dddd")="Sunday"),"Weekend","Weekday")</f>
        <v>Weekend</v>
      </c>
    </row>
    <row r="917" spans="1:34" x14ac:dyDescent="0.3">
      <c r="A917">
        <v>931</v>
      </c>
      <c r="B917">
        <v>48</v>
      </c>
      <c r="C917" t="s">
        <v>21</v>
      </c>
      <c r="D917" t="s">
        <v>22</v>
      </c>
      <c r="E917" t="s">
        <v>23</v>
      </c>
      <c r="F917">
        <v>15000</v>
      </c>
      <c r="G917">
        <v>67</v>
      </c>
      <c r="H917" t="s">
        <v>38</v>
      </c>
      <c r="I917" t="s">
        <v>25</v>
      </c>
      <c r="J917">
        <v>4</v>
      </c>
      <c r="K917" t="s">
        <v>96</v>
      </c>
      <c r="L917" t="s">
        <v>1957</v>
      </c>
      <c r="M917" t="s">
        <v>1958</v>
      </c>
      <c r="N917" s="2">
        <v>46573</v>
      </c>
      <c r="O917" s="2">
        <v>46640</v>
      </c>
      <c r="P917" t="s">
        <v>29</v>
      </c>
      <c r="Q917" t="s">
        <v>30</v>
      </c>
      <c r="R917" t="s">
        <v>31</v>
      </c>
      <c r="S917" t="s">
        <v>77</v>
      </c>
      <c r="T917" t="s">
        <v>33</v>
      </c>
      <c r="U917" t="s">
        <v>46</v>
      </c>
      <c r="V917" t="str">
        <f>IF(B917&lt;=18,"Children",IF(B917&lt;=35,"Young adult",IF(B917&lt;=60,"Adult", "Senior Citizen")))</f>
        <v>Adult</v>
      </c>
      <c r="W917" t="str">
        <f t="shared" si="98"/>
        <v>Jul</v>
      </c>
      <c r="X917">
        <f t="shared" si="99"/>
        <v>7</v>
      </c>
      <c r="Y917" t="str">
        <f t="shared" si="100"/>
        <v>Q3</v>
      </c>
      <c r="Z917">
        <f t="shared" si="101"/>
        <v>2027</v>
      </c>
      <c r="AA917" t="str">
        <f t="shared" si="102"/>
        <v>Monday</v>
      </c>
      <c r="AB917">
        <f t="shared" si="103"/>
        <v>-67</v>
      </c>
      <c r="AC917" t="str">
        <f>IF(OR(D917="Heart Disease",D917="Cancer",D917="Stroke"),"High",IF(OR(D917="Diabetes",D917="Asthma"),"Medium","Low"))</f>
        <v>High</v>
      </c>
      <c r="AD917" t="str">
        <f t="shared" si="104"/>
        <v>Yes</v>
      </c>
      <c r="AE917" t="str">
        <f>IF(G917&lt;=2,"Short Stay", IF(G917&lt;=7,"Normal Stay", "Long Stay"))</f>
        <v>Long Stay</v>
      </c>
      <c r="AF917" t="str">
        <f>IF(F917&gt;60000,"Expensive",IF(F917&gt;30000,"Moderate","Affordable"))</f>
        <v>Affordable</v>
      </c>
      <c r="AG917" t="str">
        <f>IF(J917&gt;=4.5,"Excellent",IF(J917&gt;=3.5,"Good",IF(J917&gt;=2.5,"Average","Poor")))</f>
        <v>Good</v>
      </c>
      <c r="AH917" t="str">
        <f>IF(OR(TEXT(N917,"dddd")="Saturday",TEXT(N917,"dddd")="Sunday"),"Weekend","Weekday")</f>
        <v>Weekday</v>
      </c>
    </row>
    <row r="918" spans="1:34" x14ac:dyDescent="0.3">
      <c r="A918">
        <v>932</v>
      </c>
      <c r="B918">
        <v>65</v>
      </c>
      <c r="C918" t="s">
        <v>35</v>
      </c>
      <c r="D918" t="s">
        <v>36</v>
      </c>
      <c r="E918" t="s">
        <v>37</v>
      </c>
      <c r="F918">
        <v>2000</v>
      </c>
      <c r="G918">
        <v>65</v>
      </c>
      <c r="H918" t="s">
        <v>24</v>
      </c>
      <c r="I918" t="s">
        <v>39</v>
      </c>
      <c r="J918">
        <v>3</v>
      </c>
      <c r="K918" t="s">
        <v>194</v>
      </c>
      <c r="L918" t="s">
        <v>1959</v>
      </c>
      <c r="M918" t="s">
        <v>1960</v>
      </c>
      <c r="N918" s="2">
        <v>46574</v>
      </c>
      <c r="O918" s="2">
        <v>46639</v>
      </c>
      <c r="P918" t="s">
        <v>29</v>
      </c>
      <c r="Q918" t="s">
        <v>139</v>
      </c>
      <c r="R918" t="s">
        <v>45</v>
      </c>
      <c r="S918" t="s">
        <v>53</v>
      </c>
      <c r="T918" t="s">
        <v>33</v>
      </c>
      <c r="U918" t="s">
        <v>34</v>
      </c>
      <c r="V918" t="str">
        <f>IF(B918&lt;=18,"Children",IF(B918&lt;=35,"Young adult",IF(B918&lt;=60,"Adult", "Senior Citizen")))</f>
        <v>Senior Citizen</v>
      </c>
      <c r="W918" t="str">
        <f t="shared" si="98"/>
        <v>Jul</v>
      </c>
      <c r="X918">
        <f t="shared" si="99"/>
        <v>7</v>
      </c>
      <c r="Y918" t="str">
        <f t="shared" si="100"/>
        <v>Q3</v>
      </c>
      <c r="Z918">
        <f t="shared" si="101"/>
        <v>2027</v>
      </c>
      <c r="AA918" t="str">
        <f t="shared" si="102"/>
        <v>Tuesday</v>
      </c>
      <c r="AB918">
        <f t="shared" si="103"/>
        <v>-65</v>
      </c>
      <c r="AC918" t="str">
        <f>IF(OR(D918="Heart Disease",D918="Cancer",D918="Stroke"),"High",IF(OR(D918="Diabetes",D918="Asthma"),"Medium","Low"))</f>
        <v>Medium</v>
      </c>
      <c r="AD918" t="str">
        <f t="shared" si="104"/>
        <v>No</v>
      </c>
      <c r="AE918" t="str">
        <f>IF(G918&lt;=2,"Short Stay", IF(G918&lt;=7,"Normal Stay", "Long Stay"))</f>
        <v>Long Stay</v>
      </c>
      <c r="AF918" t="str">
        <f>IF(F918&gt;60000,"Expensive",IF(F918&gt;30000,"Moderate","Affordable"))</f>
        <v>Affordable</v>
      </c>
      <c r="AG918" t="str">
        <f>IF(J918&gt;=4.5,"Excellent",IF(J918&gt;=3.5,"Good",IF(J918&gt;=2.5,"Average","Poor")))</f>
        <v>Average</v>
      </c>
      <c r="AH918" t="str">
        <f>IF(OR(TEXT(N918,"dddd")="Saturday",TEXT(N918,"dddd")="Sunday"),"Weekend","Weekday")</f>
        <v>Weekday</v>
      </c>
    </row>
    <row r="919" spans="1:34" x14ac:dyDescent="0.3">
      <c r="A919">
        <v>933</v>
      </c>
      <c r="B919">
        <v>30</v>
      </c>
      <c r="C919" t="s">
        <v>21</v>
      </c>
      <c r="D919" t="s">
        <v>47</v>
      </c>
      <c r="E919" t="s">
        <v>48</v>
      </c>
      <c r="F919">
        <v>500</v>
      </c>
      <c r="G919">
        <v>63</v>
      </c>
      <c r="H919" t="s">
        <v>24</v>
      </c>
      <c r="I919" t="s">
        <v>25</v>
      </c>
      <c r="J919">
        <v>5</v>
      </c>
      <c r="K919" t="s">
        <v>197</v>
      </c>
      <c r="L919" t="s">
        <v>1961</v>
      </c>
      <c r="M919" t="s">
        <v>1962</v>
      </c>
      <c r="N919" s="2">
        <v>46575</v>
      </c>
      <c r="O919" s="2">
        <v>46638</v>
      </c>
      <c r="P919" t="s">
        <v>29</v>
      </c>
      <c r="Q919" t="s">
        <v>139</v>
      </c>
      <c r="R919" t="s">
        <v>45</v>
      </c>
      <c r="S919" t="s">
        <v>110</v>
      </c>
      <c r="T919" t="s">
        <v>33</v>
      </c>
      <c r="U919" t="s">
        <v>46</v>
      </c>
      <c r="V919" t="str">
        <f>IF(B919&lt;=18,"Children",IF(B919&lt;=35,"Young adult",IF(B919&lt;=60,"Adult", "Senior Citizen")))</f>
        <v>Young adult</v>
      </c>
      <c r="W919" t="str">
        <f t="shared" si="98"/>
        <v>Jul</v>
      </c>
      <c r="X919">
        <f t="shared" si="99"/>
        <v>7</v>
      </c>
      <c r="Y919" t="str">
        <f t="shared" si="100"/>
        <v>Q3</v>
      </c>
      <c r="Z919">
        <f t="shared" si="101"/>
        <v>2027</v>
      </c>
      <c r="AA919" t="str">
        <f t="shared" si="102"/>
        <v>Wednesday</v>
      </c>
      <c r="AB919">
        <f t="shared" si="103"/>
        <v>-63</v>
      </c>
      <c r="AC919" t="str">
        <f>IF(OR(D919="Heart Disease",D919="Cancer",D919="Stroke"),"High",IF(OR(D919="Diabetes",D919="Asthma"),"Medium","Low"))</f>
        <v>Low</v>
      </c>
      <c r="AD919" t="str">
        <f t="shared" si="104"/>
        <v>No</v>
      </c>
      <c r="AE919" t="str">
        <f>IF(G919&lt;=2,"Short Stay", IF(G919&lt;=7,"Normal Stay", "Long Stay"))</f>
        <v>Long Stay</v>
      </c>
      <c r="AF919" t="str">
        <f>IF(F919&gt;60000,"Expensive",IF(F919&gt;30000,"Moderate","Affordable"))</f>
        <v>Affordable</v>
      </c>
      <c r="AG919" t="str">
        <f>IF(J919&gt;=4.5,"Excellent",IF(J919&gt;=3.5,"Good",IF(J919&gt;=2.5,"Average","Poor")))</f>
        <v>Excellent</v>
      </c>
      <c r="AH919" t="str">
        <f>IF(OR(TEXT(N919,"dddd")="Saturday",TEXT(N919,"dddd")="Sunday"),"Weekend","Weekday")</f>
        <v>Weekday</v>
      </c>
    </row>
    <row r="920" spans="1:34" x14ac:dyDescent="0.3">
      <c r="A920">
        <v>934</v>
      </c>
      <c r="B920">
        <v>70</v>
      </c>
      <c r="C920" t="s">
        <v>35</v>
      </c>
      <c r="D920" t="s">
        <v>54</v>
      </c>
      <c r="E920" t="s">
        <v>55</v>
      </c>
      <c r="F920">
        <v>10000</v>
      </c>
      <c r="G920">
        <v>70</v>
      </c>
      <c r="H920" t="s">
        <v>38</v>
      </c>
      <c r="I920" t="s">
        <v>39</v>
      </c>
      <c r="J920">
        <v>2</v>
      </c>
      <c r="K920" t="s">
        <v>324</v>
      </c>
      <c r="L920" t="s">
        <v>1963</v>
      </c>
      <c r="M920" t="s">
        <v>1964</v>
      </c>
      <c r="N920" s="2">
        <v>46576</v>
      </c>
      <c r="O920" s="2">
        <v>46646</v>
      </c>
      <c r="P920" t="s">
        <v>43</v>
      </c>
      <c r="Q920" t="s">
        <v>30</v>
      </c>
      <c r="R920" t="s">
        <v>59</v>
      </c>
      <c r="S920" t="s">
        <v>110</v>
      </c>
      <c r="T920" t="s">
        <v>33</v>
      </c>
      <c r="U920" t="s">
        <v>46</v>
      </c>
      <c r="V920" t="str">
        <f>IF(B920&lt;=18,"Children",IF(B920&lt;=35,"Young adult",IF(B920&lt;=60,"Adult", "Senior Citizen")))</f>
        <v>Senior Citizen</v>
      </c>
      <c r="W920" t="str">
        <f t="shared" si="98"/>
        <v>Jul</v>
      </c>
      <c r="X920">
        <f t="shared" si="99"/>
        <v>7</v>
      </c>
      <c r="Y920" t="str">
        <f t="shared" si="100"/>
        <v>Q3</v>
      </c>
      <c r="Z920">
        <f t="shared" si="101"/>
        <v>2027</v>
      </c>
      <c r="AA920" t="str">
        <f t="shared" si="102"/>
        <v>Thursday</v>
      </c>
      <c r="AB920">
        <f t="shared" si="103"/>
        <v>-70</v>
      </c>
      <c r="AC920" t="str">
        <f>IF(OR(D920="Heart Disease",D920="Cancer",D920="Stroke"),"High",IF(OR(D920="Diabetes",D920="Asthma"),"Medium","Low"))</f>
        <v>High</v>
      </c>
      <c r="AD920" t="str">
        <f t="shared" si="104"/>
        <v>Yes</v>
      </c>
      <c r="AE920" t="str">
        <f>IF(G920&lt;=2,"Short Stay", IF(G920&lt;=7,"Normal Stay", "Long Stay"))</f>
        <v>Long Stay</v>
      </c>
      <c r="AF920" t="str">
        <f>IF(F920&gt;60000,"Expensive",IF(F920&gt;30000,"Moderate","Affordable"))</f>
        <v>Affordable</v>
      </c>
      <c r="AG920" t="str">
        <f>IF(J920&gt;=4.5,"Excellent",IF(J920&gt;=3.5,"Good",IF(J920&gt;=2.5,"Average","Poor")))</f>
        <v>Poor</v>
      </c>
      <c r="AH920" t="str">
        <f>IF(OR(TEXT(N920,"dddd")="Saturday",TEXT(N920,"dddd")="Sunday"),"Weekend","Weekday")</f>
        <v>Weekday</v>
      </c>
    </row>
    <row r="921" spans="1:34" x14ac:dyDescent="0.3">
      <c r="A921">
        <v>935</v>
      </c>
      <c r="B921">
        <v>55</v>
      </c>
      <c r="C921" t="s">
        <v>21</v>
      </c>
      <c r="D921" t="s">
        <v>60</v>
      </c>
      <c r="E921" t="s">
        <v>61</v>
      </c>
      <c r="F921">
        <v>25000</v>
      </c>
      <c r="G921">
        <v>72</v>
      </c>
      <c r="H921" t="s">
        <v>24</v>
      </c>
      <c r="I921" t="s">
        <v>25</v>
      </c>
      <c r="J921">
        <v>4</v>
      </c>
      <c r="K921" t="s">
        <v>175</v>
      </c>
      <c r="L921" t="s">
        <v>1965</v>
      </c>
      <c r="M921" t="s">
        <v>1966</v>
      </c>
      <c r="N921" s="2">
        <v>46577</v>
      </c>
      <c r="O921" s="2">
        <v>46649</v>
      </c>
      <c r="P921" t="s">
        <v>43</v>
      </c>
      <c r="Q921" t="s">
        <v>139</v>
      </c>
      <c r="R921" t="s">
        <v>65</v>
      </c>
      <c r="S921" t="s">
        <v>84</v>
      </c>
      <c r="T921" t="s">
        <v>33</v>
      </c>
      <c r="U921" t="s">
        <v>78</v>
      </c>
      <c r="V921" t="str">
        <f>IF(B921&lt;=18,"Children",IF(B921&lt;=35,"Young adult",IF(B921&lt;=60,"Adult", "Senior Citizen")))</f>
        <v>Adult</v>
      </c>
      <c r="W921" t="str">
        <f t="shared" si="98"/>
        <v>Jul</v>
      </c>
      <c r="X921">
        <f t="shared" si="99"/>
        <v>7</v>
      </c>
      <c r="Y921" t="str">
        <f t="shared" si="100"/>
        <v>Q3</v>
      </c>
      <c r="Z921">
        <f t="shared" si="101"/>
        <v>2027</v>
      </c>
      <c r="AA921" t="str">
        <f t="shared" si="102"/>
        <v>Friday</v>
      </c>
      <c r="AB921">
        <f t="shared" si="103"/>
        <v>-72</v>
      </c>
      <c r="AC921" t="str">
        <f>IF(OR(D921="Heart Disease",D921="Cancer",D921="Stroke"),"High",IF(OR(D921="Diabetes",D921="Asthma"),"Medium","Low"))</f>
        <v>High</v>
      </c>
      <c r="AD921" t="str">
        <f t="shared" si="104"/>
        <v>Yes</v>
      </c>
      <c r="AE921" t="str">
        <f>IF(G921&lt;=2,"Short Stay", IF(G921&lt;=7,"Normal Stay", "Long Stay"))</f>
        <v>Long Stay</v>
      </c>
      <c r="AF921" t="str">
        <f>IF(F921&gt;60000,"Expensive",IF(F921&gt;30000,"Moderate","Affordable"))</f>
        <v>Affordable</v>
      </c>
      <c r="AG921" t="str">
        <f>IF(J921&gt;=4.5,"Excellent",IF(J921&gt;=3.5,"Good",IF(J921&gt;=2.5,"Average","Poor")))</f>
        <v>Good</v>
      </c>
      <c r="AH921" t="str">
        <f>IF(OR(TEXT(N921,"dddd")="Saturday",TEXT(N921,"dddd")="Sunday"),"Weekend","Weekday")</f>
        <v>Weekday</v>
      </c>
    </row>
    <row r="922" spans="1:34" x14ac:dyDescent="0.3">
      <c r="A922">
        <v>936</v>
      </c>
      <c r="B922">
        <v>68</v>
      </c>
      <c r="C922" t="s">
        <v>35</v>
      </c>
      <c r="D922" t="s">
        <v>66</v>
      </c>
      <c r="E922" t="s">
        <v>67</v>
      </c>
      <c r="F922">
        <v>1000</v>
      </c>
      <c r="G922">
        <v>66</v>
      </c>
      <c r="H922" t="s">
        <v>24</v>
      </c>
      <c r="I922" t="s">
        <v>39</v>
      </c>
      <c r="J922">
        <v>4</v>
      </c>
      <c r="K922" t="s">
        <v>120</v>
      </c>
      <c r="L922" t="s">
        <v>1967</v>
      </c>
      <c r="M922" t="s">
        <v>1968</v>
      </c>
      <c r="N922" s="2">
        <v>46578</v>
      </c>
      <c r="O922" s="2">
        <v>46644</v>
      </c>
      <c r="P922" t="s">
        <v>43</v>
      </c>
      <c r="Q922" t="s">
        <v>30</v>
      </c>
      <c r="R922" t="s">
        <v>45</v>
      </c>
      <c r="S922" t="s">
        <v>110</v>
      </c>
      <c r="T922" t="s">
        <v>33</v>
      </c>
      <c r="U922" t="s">
        <v>78</v>
      </c>
      <c r="V922" t="str">
        <f>IF(B922&lt;=18,"Children",IF(B922&lt;=35,"Young adult",IF(B922&lt;=60,"Adult", "Senior Citizen")))</f>
        <v>Senior Citizen</v>
      </c>
      <c r="W922" t="str">
        <f t="shared" si="98"/>
        <v>Jul</v>
      </c>
      <c r="X922">
        <f t="shared" si="99"/>
        <v>7</v>
      </c>
      <c r="Y922" t="str">
        <f t="shared" si="100"/>
        <v>Q3</v>
      </c>
      <c r="Z922">
        <f t="shared" si="101"/>
        <v>2027</v>
      </c>
      <c r="AA922" t="str">
        <f t="shared" si="102"/>
        <v>Saturday</v>
      </c>
      <c r="AB922">
        <f t="shared" si="103"/>
        <v>-66</v>
      </c>
      <c r="AC922" t="str">
        <f>IF(OR(D922="Heart Disease",D922="Cancer",D922="Stroke"),"High",IF(OR(D922="Diabetes",D922="Asthma"),"Medium","Low"))</f>
        <v>Low</v>
      </c>
      <c r="AD922" t="str">
        <f t="shared" si="104"/>
        <v>No</v>
      </c>
      <c r="AE922" t="str">
        <f>IF(G922&lt;=2,"Short Stay", IF(G922&lt;=7,"Normal Stay", "Long Stay"))</f>
        <v>Long Stay</v>
      </c>
      <c r="AF922" t="str">
        <f>IF(F922&gt;60000,"Expensive",IF(F922&gt;30000,"Moderate","Affordable"))</f>
        <v>Affordable</v>
      </c>
      <c r="AG922" t="str">
        <f>IF(J922&gt;=4.5,"Excellent",IF(J922&gt;=3.5,"Good",IF(J922&gt;=2.5,"Average","Poor")))</f>
        <v>Good</v>
      </c>
      <c r="AH922" t="str">
        <f>IF(OR(TEXT(N922,"dddd")="Saturday",TEXT(N922,"dddd")="Sunday"),"Weekend","Weekday")</f>
        <v>Weekend</v>
      </c>
    </row>
    <row r="923" spans="1:34" x14ac:dyDescent="0.3">
      <c r="A923">
        <v>937</v>
      </c>
      <c r="B923">
        <v>45</v>
      </c>
      <c r="C923" t="s">
        <v>21</v>
      </c>
      <c r="D923" t="s">
        <v>73</v>
      </c>
      <c r="E923" t="s">
        <v>74</v>
      </c>
      <c r="F923">
        <v>8000</v>
      </c>
      <c r="G923">
        <v>68</v>
      </c>
      <c r="H923" t="s">
        <v>24</v>
      </c>
      <c r="I923" t="s">
        <v>25</v>
      </c>
      <c r="J923">
        <v>3</v>
      </c>
      <c r="K923" t="s">
        <v>81</v>
      </c>
      <c r="L923" t="s">
        <v>1969</v>
      </c>
      <c r="M923" t="s">
        <v>1970</v>
      </c>
      <c r="N923" s="2">
        <v>46579</v>
      </c>
      <c r="O923" s="2">
        <v>46647</v>
      </c>
      <c r="P923" t="s">
        <v>29</v>
      </c>
      <c r="Q923" t="s">
        <v>52</v>
      </c>
      <c r="R923" t="s">
        <v>45</v>
      </c>
      <c r="S923" t="s">
        <v>110</v>
      </c>
      <c r="T923" t="s">
        <v>33</v>
      </c>
      <c r="U923" t="s">
        <v>78</v>
      </c>
      <c r="V923" t="str">
        <f>IF(B923&lt;=18,"Children",IF(B923&lt;=35,"Young adult",IF(B923&lt;=60,"Adult", "Senior Citizen")))</f>
        <v>Adult</v>
      </c>
      <c r="W923" t="str">
        <f t="shared" si="98"/>
        <v>Jul</v>
      </c>
      <c r="X923">
        <f t="shared" si="99"/>
        <v>7</v>
      </c>
      <c r="Y923" t="str">
        <f t="shared" si="100"/>
        <v>Q3</v>
      </c>
      <c r="Z923">
        <f t="shared" si="101"/>
        <v>2027</v>
      </c>
      <c r="AA923" t="str">
        <f t="shared" si="102"/>
        <v>Sunday</v>
      </c>
      <c r="AB923">
        <f t="shared" si="103"/>
        <v>-68</v>
      </c>
      <c r="AC923" t="str">
        <f>IF(OR(D923="Heart Disease",D923="Cancer",D923="Stroke"),"High",IF(OR(D923="Diabetes",D923="Asthma"),"Medium","Low"))</f>
        <v>Low</v>
      </c>
      <c r="AD923" t="str">
        <f t="shared" si="104"/>
        <v>No</v>
      </c>
      <c r="AE923" t="str">
        <f>IF(G923&lt;=2,"Short Stay", IF(G923&lt;=7,"Normal Stay", "Long Stay"))</f>
        <v>Long Stay</v>
      </c>
      <c r="AF923" t="str">
        <f>IF(F923&gt;60000,"Expensive",IF(F923&gt;30000,"Moderate","Affordable"))</f>
        <v>Affordable</v>
      </c>
      <c r="AG923" t="str">
        <f>IF(J923&gt;=4.5,"Excellent",IF(J923&gt;=3.5,"Good",IF(J923&gt;=2.5,"Average","Poor")))</f>
        <v>Average</v>
      </c>
      <c r="AH923" t="str">
        <f>IF(OR(TEXT(N923,"dddd")="Saturday",TEXT(N923,"dddd")="Sunday"),"Weekend","Weekday")</f>
        <v>Weekend</v>
      </c>
    </row>
    <row r="924" spans="1:34" x14ac:dyDescent="0.3">
      <c r="A924">
        <v>938</v>
      </c>
      <c r="B924">
        <v>40</v>
      </c>
      <c r="C924" t="s">
        <v>35</v>
      </c>
      <c r="D924" t="s">
        <v>79</v>
      </c>
      <c r="E924" t="s">
        <v>80</v>
      </c>
      <c r="F924">
        <v>3000</v>
      </c>
      <c r="G924">
        <v>68</v>
      </c>
      <c r="H924" t="s">
        <v>24</v>
      </c>
      <c r="I924" t="s">
        <v>25</v>
      </c>
      <c r="J924">
        <v>4</v>
      </c>
      <c r="K924" t="s">
        <v>336</v>
      </c>
      <c r="L924" t="s">
        <v>1971</v>
      </c>
      <c r="M924" t="s">
        <v>1972</v>
      </c>
      <c r="N924" s="2">
        <v>46580</v>
      </c>
      <c r="O924" s="2">
        <v>46648</v>
      </c>
      <c r="P924" t="s">
        <v>29</v>
      </c>
      <c r="Q924" t="s">
        <v>139</v>
      </c>
      <c r="R924" t="s">
        <v>45</v>
      </c>
      <c r="S924" t="s">
        <v>110</v>
      </c>
      <c r="T924" t="s">
        <v>33</v>
      </c>
      <c r="U924" t="s">
        <v>104</v>
      </c>
      <c r="V924" t="str">
        <f>IF(B924&lt;=18,"Children",IF(B924&lt;=35,"Young adult",IF(B924&lt;=60,"Adult", "Senior Citizen")))</f>
        <v>Adult</v>
      </c>
      <c r="W924" t="str">
        <f t="shared" si="98"/>
        <v>Jul</v>
      </c>
      <c r="X924">
        <f t="shared" si="99"/>
        <v>7</v>
      </c>
      <c r="Y924" t="str">
        <f t="shared" si="100"/>
        <v>Q3</v>
      </c>
      <c r="Z924">
        <f t="shared" si="101"/>
        <v>2027</v>
      </c>
      <c r="AA924" t="str">
        <f t="shared" si="102"/>
        <v>Monday</v>
      </c>
      <c r="AB924">
        <f t="shared" si="103"/>
        <v>-68</v>
      </c>
      <c r="AC924" t="str">
        <f>IF(OR(D924="Heart Disease",D924="Cancer",D924="Stroke"),"High",IF(OR(D924="Diabetes",D924="Asthma"),"Medium","Low"))</f>
        <v>Low</v>
      </c>
      <c r="AD924" t="str">
        <f t="shared" si="104"/>
        <v>No</v>
      </c>
      <c r="AE924" t="str">
        <f>IF(G924&lt;=2,"Short Stay", IF(G924&lt;=7,"Normal Stay", "Long Stay"))</f>
        <v>Long Stay</v>
      </c>
      <c r="AF924" t="str">
        <f>IF(F924&gt;60000,"Expensive",IF(F924&gt;30000,"Moderate","Affordable"))</f>
        <v>Affordable</v>
      </c>
      <c r="AG924" t="str">
        <f>IF(J924&gt;=4.5,"Excellent",IF(J924&gt;=3.5,"Good",IF(J924&gt;=2.5,"Average","Poor")))</f>
        <v>Good</v>
      </c>
      <c r="AH924" t="str">
        <f>IF(OR(TEXT(N924,"dddd")="Saturday",TEXT(N924,"dddd")="Sunday"),"Weekend","Weekday")</f>
        <v>Weekday</v>
      </c>
    </row>
    <row r="925" spans="1:34" x14ac:dyDescent="0.3">
      <c r="A925">
        <v>939</v>
      </c>
      <c r="B925">
        <v>78</v>
      </c>
      <c r="C925" t="s">
        <v>21</v>
      </c>
      <c r="D925" t="s">
        <v>85</v>
      </c>
      <c r="E925" t="s">
        <v>86</v>
      </c>
      <c r="F925">
        <v>18000</v>
      </c>
      <c r="G925">
        <v>70</v>
      </c>
      <c r="H925" t="s">
        <v>38</v>
      </c>
      <c r="I925" t="s">
        <v>39</v>
      </c>
      <c r="J925">
        <v>2</v>
      </c>
      <c r="K925" t="s">
        <v>49</v>
      </c>
      <c r="L925" t="s">
        <v>1973</v>
      </c>
      <c r="M925" t="s">
        <v>1974</v>
      </c>
      <c r="N925" s="2">
        <v>46581</v>
      </c>
      <c r="O925" s="2">
        <v>46651</v>
      </c>
      <c r="P925" t="s">
        <v>43</v>
      </c>
      <c r="Q925" t="s">
        <v>30</v>
      </c>
      <c r="R925" t="s">
        <v>45</v>
      </c>
      <c r="S925" t="s">
        <v>77</v>
      </c>
      <c r="T925" t="s">
        <v>33</v>
      </c>
      <c r="U925" t="s">
        <v>34</v>
      </c>
      <c r="V925" t="str">
        <f>IF(B925&lt;=18,"Children",IF(B925&lt;=35,"Young adult",IF(B925&lt;=60,"Adult", "Senior Citizen")))</f>
        <v>Senior Citizen</v>
      </c>
      <c r="W925" t="str">
        <f t="shared" si="98"/>
        <v>Jul</v>
      </c>
      <c r="X925">
        <f t="shared" si="99"/>
        <v>7</v>
      </c>
      <c r="Y925" t="str">
        <f t="shared" si="100"/>
        <v>Q3</v>
      </c>
      <c r="Z925">
        <f t="shared" si="101"/>
        <v>2027</v>
      </c>
      <c r="AA925" t="str">
        <f t="shared" si="102"/>
        <v>Tuesday</v>
      </c>
      <c r="AB925">
        <f t="shared" si="103"/>
        <v>-70</v>
      </c>
      <c r="AC925" t="str">
        <f>IF(OR(D925="Heart Disease",D925="Cancer",D925="Stroke"),"High",IF(OR(D925="Diabetes",D925="Asthma"),"Medium","Low"))</f>
        <v>Low</v>
      </c>
      <c r="AD925" t="str">
        <f t="shared" si="104"/>
        <v>No</v>
      </c>
      <c r="AE925" t="str">
        <f>IF(G925&lt;=2,"Short Stay", IF(G925&lt;=7,"Normal Stay", "Long Stay"))</f>
        <v>Long Stay</v>
      </c>
      <c r="AF925" t="str">
        <f>IF(F925&gt;60000,"Expensive",IF(F925&gt;30000,"Moderate","Affordable"))</f>
        <v>Affordable</v>
      </c>
      <c r="AG925" t="str">
        <f>IF(J925&gt;=4.5,"Excellent",IF(J925&gt;=3.5,"Good",IF(J925&gt;=2.5,"Average","Poor")))</f>
        <v>Poor</v>
      </c>
      <c r="AH925" t="str">
        <f>IF(OR(TEXT(N925,"dddd")="Saturday",TEXT(N925,"dddd")="Sunday"),"Weekend","Weekday")</f>
        <v>Weekday</v>
      </c>
    </row>
    <row r="926" spans="1:34" x14ac:dyDescent="0.3">
      <c r="A926">
        <v>940</v>
      </c>
      <c r="B926">
        <v>25</v>
      </c>
      <c r="C926" t="s">
        <v>35</v>
      </c>
      <c r="D926" t="s">
        <v>89</v>
      </c>
      <c r="E926" t="s">
        <v>90</v>
      </c>
      <c r="F926">
        <v>100</v>
      </c>
      <c r="G926">
        <v>63</v>
      </c>
      <c r="H926" t="s">
        <v>24</v>
      </c>
      <c r="I926" t="s">
        <v>25</v>
      </c>
      <c r="J926">
        <v>5</v>
      </c>
      <c r="K926" t="s">
        <v>380</v>
      </c>
      <c r="L926" t="s">
        <v>1975</v>
      </c>
      <c r="M926" t="s">
        <v>1976</v>
      </c>
      <c r="N926" s="2">
        <v>46582</v>
      </c>
      <c r="O926" s="2">
        <v>46645</v>
      </c>
      <c r="P926" t="s">
        <v>29</v>
      </c>
      <c r="Q926" t="s">
        <v>52</v>
      </c>
      <c r="R926" t="s">
        <v>45</v>
      </c>
      <c r="S926" t="s">
        <v>72</v>
      </c>
      <c r="T926" t="s">
        <v>33</v>
      </c>
      <c r="U926" t="s">
        <v>104</v>
      </c>
      <c r="V926" t="str">
        <f>IF(B926&lt;=18,"Children",IF(B926&lt;=35,"Young adult",IF(B926&lt;=60,"Adult", "Senior Citizen")))</f>
        <v>Young adult</v>
      </c>
      <c r="W926" t="str">
        <f t="shared" si="98"/>
        <v>Jul</v>
      </c>
      <c r="X926">
        <f t="shared" si="99"/>
        <v>7</v>
      </c>
      <c r="Y926" t="str">
        <f t="shared" si="100"/>
        <v>Q3</v>
      </c>
      <c r="Z926">
        <f t="shared" si="101"/>
        <v>2027</v>
      </c>
      <c r="AA926" t="str">
        <f t="shared" si="102"/>
        <v>Wednesday</v>
      </c>
      <c r="AB926">
        <f t="shared" si="103"/>
        <v>-63</v>
      </c>
      <c r="AC926" t="str">
        <f>IF(OR(D926="Heart Disease",D926="Cancer",D926="Stroke"),"High",IF(OR(D926="Diabetes",D926="Asthma"),"Medium","Low"))</f>
        <v>Low</v>
      </c>
      <c r="AD926" t="str">
        <f t="shared" si="104"/>
        <v>No</v>
      </c>
      <c r="AE926" t="str">
        <f>IF(G926&lt;=2,"Short Stay", IF(G926&lt;=7,"Normal Stay", "Long Stay"))</f>
        <v>Long Stay</v>
      </c>
      <c r="AF926" t="str">
        <f>IF(F926&gt;60000,"Expensive",IF(F926&gt;30000,"Moderate","Affordable"))</f>
        <v>Affordable</v>
      </c>
      <c r="AG926" t="str">
        <f>IF(J926&gt;=4.5,"Excellent",IF(J926&gt;=3.5,"Good",IF(J926&gt;=2.5,"Average","Poor")))</f>
        <v>Excellent</v>
      </c>
      <c r="AH926" t="str">
        <f>IF(OR(TEXT(N926,"dddd")="Saturday",TEXT(N926,"dddd")="Sunday"),"Weekend","Weekday")</f>
        <v>Weekday</v>
      </c>
    </row>
    <row r="927" spans="1:34" x14ac:dyDescent="0.3">
      <c r="A927">
        <v>941</v>
      </c>
      <c r="B927">
        <v>52</v>
      </c>
      <c r="C927" t="s">
        <v>21</v>
      </c>
      <c r="D927" t="s">
        <v>94</v>
      </c>
      <c r="E927" t="s">
        <v>95</v>
      </c>
      <c r="F927">
        <v>800</v>
      </c>
      <c r="G927">
        <v>64</v>
      </c>
      <c r="H927" t="s">
        <v>24</v>
      </c>
      <c r="I927" t="s">
        <v>39</v>
      </c>
      <c r="J927">
        <v>4</v>
      </c>
      <c r="K927" t="s">
        <v>317</v>
      </c>
      <c r="L927" t="s">
        <v>1977</v>
      </c>
      <c r="M927" t="s">
        <v>1978</v>
      </c>
      <c r="N927" s="2">
        <v>46583</v>
      </c>
      <c r="O927" s="2">
        <v>46647</v>
      </c>
      <c r="P927" t="s">
        <v>29</v>
      </c>
      <c r="Q927" t="s">
        <v>52</v>
      </c>
      <c r="R927" t="s">
        <v>45</v>
      </c>
      <c r="S927" t="s">
        <v>110</v>
      </c>
      <c r="T927" t="s">
        <v>33</v>
      </c>
      <c r="U927" t="s">
        <v>46</v>
      </c>
      <c r="V927" t="str">
        <f>IF(B927&lt;=18,"Children",IF(B927&lt;=35,"Young adult",IF(B927&lt;=60,"Adult", "Senior Citizen")))</f>
        <v>Adult</v>
      </c>
      <c r="W927" t="str">
        <f t="shared" si="98"/>
        <v>Jul</v>
      </c>
      <c r="X927">
        <f t="shared" si="99"/>
        <v>7</v>
      </c>
      <c r="Y927" t="str">
        <f t="shared" si="100"/>
        <v>Q3</v>
      </c>
      <c r="Z927">
        <f t="shared" si="101"/>
        <v>2027</v>
      </c>
      <c r="AA927" t="str">
        <f t="shared" si="102"/>
        <v>Thursday</v>
      </c>
      <c r="AB927">
        <f t="shared" si="103"/>
        <v>-64</v>
      </c>
      <c r="AC927" t="str">
        <f>IF(OR(D927="Heart Disease",D927="Cancer",D927="Stroke"),"High",IF(OR(D927="Diabetes",D927="Asthma"),"Medium","Low"))</f>
        <v>Low</v>
      </c>
      <c r="AD927" t="str">
        <f t="shared" si="104"/>
        <v>No</v>
      </c>
      <c r="AE927" t="str">
        <f>IF(G927&lt;=2,"Short Stay", IF(G927&lt;=7,"Normal Stay", "Long Stay"))</f>
        <v>Long Stay</v>
      </c>
      <c r="AF927" t="str">
        <f>IF(F927&gt;60000,"Expensive",IF(F927&gt;30000,"Moderate","Affordable"))</f>
        <v>Affordable</v>
      </c>
      <c r="AG927" t="str">
        <f>IF(J927&gt;=4.5,"Excellent",IF(J927&gt;=3.5,"Good",IF(J927&gt;=2.5,"Average","Poor")))</f>
        <v>Good</v>
      </c>
      <c r="AH927" t="str">
        <f>IF(OR(TEXT(N927,"dddd")="Saturday",TEXT(N927,"dddd")="Sunday"),"Weekend","Weekday")</f>
        <v>Weekday</v>
      </c>
    </row>
    <row r="928" spans="1:34" x14ac:dyDescent="0.3">
      <c r="A928">
        <v>942</v>
      </c>
      <c r="B928">
        <v>58</v>
      </c>
      <c r="C928" t="s">
        <v>35</v>
      </c>
      <c r="D928" t="s">
        <v>99</v>
      </c>
      <c r="E928" t="s">
        <v>100</v>
      </c>
      <c r="F928">
        <v>20000</v>
      </c>
      <c r="G928">
        <v>71</v>
      </c>
      <c r="H928" t="s">
        <v>24</v>
      </c>
      <c r="I928" t="s">
        <v>25</v>
      </c>
      <c r="J928">
        <v>3</v>
      </c>
      <c r="K928" t="s">
        <v>136</v>
      </c>
      <c r="L928" t="s">
        <v>1979</v>
      </c>
      <c r="M928" t="s">
        <v>1980</v>
      </c>
      <c r="N928" s="2">
        <v>46584</v>
      </c>
      <c r="O928" s="2">
        <v>46655</v>
      </c>
      <c r="P928" t="s">
        <v>43</v>
      </c>
      <c r="Q928" t="s">
        <v>71</v>
      </c>
      <c r="R928" t="s">
        <v>45</v>
      </c>
      <c r="S928" t="s">
        <v>32</v>
      </c>
      <c r="T928" t="s">
        <v>33</v>
      </c>
      <c r="U928" t="s">
        <v>46</v>
      </c>
      <c r="V928" t="str">
        <f>IF(B928&lt;=18,"Children",IF(B928&lt;=35,"Young adult",IF(B928&lt;=60,"Adult", "Senior Citizen")))</f>
        <v>Adult</v>
      </c>
      <c r="W928" t="str">
        <f t="shared" si="98"/>
        <v>Jul</v>
      </c>
      <c r="X928">
        <f t="shared" si="99"/>
        <v>7</v>
      </c>
      <c r="Y928" t="str">
        <f t="shared" si="100"/>
        <v>Q3</v>
      </c>
      <c r="Z928">
        <f t="shared" si="101"/>
        <v>2027</v>
      </c>
      <c r="AA928" t="str">
        <f t="shared" si="102"/>
        <v>Friday</v>
      </c>
      <c r="AB928">
        <f t="shared" si="103"/>
        <v>-71</v>
      </c>
      <c r="AC928" t="str">
        <f>IF(OR(D928="Heart Disease",D928="Cancer",D928="Stroke"),"High",IF(OR(D928="Diabetes",D928="Asthma"),"Medium","Low"))</f>
        <v>Low</v>
      </c>
      <c r="AD928" t="str">
        <f t="shared" si="104"/>
        <v>No</v>
      </c>
      <c r="AE928" t="str">
        <f>IF(G928&lt;=2,"Short Stay", IF(G928&lt;=7,"Normal Stay", "Long Stay"))</f>
        <v>Long Stay</v>
      </c>
      <c r="AF928" t="str">
        <f>IF(F928&gt;60000,"Expensive",IF(F928&gt;30000,"Moderate","Affordable"))</f>
        <v>Affordable</v>
      </c>
      <c r="AG928" t="str">
        <f>IF(J928&gt;=4.5,"Excellent",IF(J928&gt;=3.5,"Good",IF(J928&gt;=2.5,"Average","Poor")))</f>
        <v>Average</v>
      </c>
      <c r="AH928" t="str">
        <f>IF(OR(TEXT(N928,"dddd")="Saturday",TEXT(N928,"dddd")="Sunday"),"Weekend","Weekday")</f>
        <v>Weekday</v>
      </c>
    </row>
    <row r="929" spans="1:34" x14ac:dyDescent="0.3">
      <c r="A929">
        <v>943</v>
      </c>
      <c r="B929">
        <v>32</v>
      </c>
      <c r="C929" t="s">
        <v>21</v>
      </c>
      <c r="D929" t="s">
        <v>105</v>
      </c>
      <c r="E929" t="s">
        <v>106</v>
      </c>
      <c r="F929">
        <v>12000</v>
      </c>
      <c r="G929">
        <v>65</v>
      </c>
      <c r="H929" t="s">
        <v>24</v>
      </c>
      <c r="I929" t="s">
        <v>25</v>
      </c>
      <c r="J929">
        <v>4</v>
      </c>
      <c r="K929" t="s">
        <v>294</v>
      </c>
      <c r="L929" t="s">
        <v>1981</v>
      </c>
      <c r="M929" t="s">
        <v>1982</v>
      </c>
      <c r="N929" s="2">
        <v>46585</v>
      </c>
      <c r="O929" s="2">
        <v>46650</v>
      </c>
      <c r="P929" t="s">
        <v>29</v>
      </c>
      <c r="Q929" t="s">
        <v>71</v>
      </c>
      <c r="R929" t="s">
        <v>45</v>
      </c>
      <c r="S929" t="s">
        <v>84</v>
      </c>
      <c r="T929" t="s">
        <v>33</v>
      </c>
      <c r="U929" t="s">
        <v>104</v>
      </c>
      <c r="V929" t="str">
        <f>IF(B929&lt;=18,"Children",IF(B929&lt;=35,"Young adult",IF(B929&lt;=60,"Adult", "Senior Citizen")))</f>
        <v>Young adult</v>
      </c>
      <c r="W929" t="str">
        <f t="shared" si="98"/>
        <v>Jul</v>
      </c>
      <c r="X929">
        <f t="shared" si="99"/>
        <v>7</v>
      </c>
      <c r="Y929" t="str">
        <f t="shared" si="100"/>
        <v>Q3</v>
      </c>
      <c r="Z929">
        <f t="shared" si="101"/>
        <v>2027</v>
      </c>
      <c r="AA929" t="str">
        <f t="shared" si="102"/>
        <v>Saturday</v>
      </c>
      <c r="AB929">
        <f t="shared" si="103"/>
        <v>-65</v>
      </c>
      <c r="AC929" t="str">
        <f>IF(OR(D929="Heart Disease",D929="Cancer",D929="Stroke"),"High",IF(OR(D929="Diabetes",D929="Asthma"),"Medium","Low"))</f>
        <v>Low</v>
      </c>
      <c r="AD929" t="str">
        <f t="shared" si="104"/>
        <v>No</v>
      </c>
      <c r="AE929" t="str">
        <f>IF(G929&lt;=2,"Short Stay", IF(G929&lt;=7,"Normal Stay", "Long Stay"))</f>
        <v>Long Stay</v>
      </c>
      <c r="AF929" t="str">
        <f>IF(F929&gt;60000,"Expensive",IF(F929&gt;30000,"Moderate","Affordable"))</f>
        <v>Affordable</v>
      </c>
      <c r="AG929" t="str">
        <f>IF(J929&gt;=4.5,"Excellent",IF(J929&gt;=3.5,"Good",IF(J929&gt;=2.5,"Average","Poor")))</f>
        <v>Good</v>
      </c>
      <c r="AH929" t="str">
        <f>IF(OR(TEXT(N929,"dddd")="Saturday",TEXT(N929,"dddd")="Sunday"),"Weekend","Weekday")</f>
        <v>Weekend</v>
      </c>
    </row>
    <row r="930" spans="1:34" x14ac:dyDescent="0.3">
      <c r="A930">
        <v>944</v>
      </c>
      <c r="B930">
        <v>55</v>
      </c>
      <c r="C930" t="s">
        <v>35</v>
      </c>
      <c r="D930" t="s">
        <v>111</v>
      </c>
      <c r="E930" t="s">
        <v>112</v>
      </c>
      <c r="F930">
        <v>6000</v>
      </c>
      <c r="G930">
        <v>66</v>
      </c>
      <c r="H930" t="s">
        <v>24</v>
      </c>
      <c r="I930" t="s">
        <v>25</v>
      </c>
      <c r="J930">
        <v>3</v>
      </c>
      <c r="K930" t="s">
        <v>317</v>
      </c>
      <c r="L930" t="s">
        <v>1983</v>
      </c>
      <c r="M930" t="s">
        <v>1984</v>
      </c>
      <c r="N930" s="2">
        <v>46586</v>
      </c>
      <c r="O930" s="2">
        <v>46652</v>
      </c>
      <c r="P930" t="s">
        <v>29</v>
      </c>
      <c r="Q930" t="s">
        <v>139</v>
      </c>
      <c r="R930" t="s">
        <v>45</v>
      </c>
      <c r="S930" t="s">
        <v>110</v>
      </c>
      <c r="T930" t="s">
        <v>33</v>
      </c>
      <c r="U930" t="s">
        <v>104</v>
      </c>
      <c r="V930" t="str">
        <f>IF(B930&lt;=18,"Children",IF(B930&lt;=35,"Young adult",IF(B930&lt;=60,"Adult", "Senior Citizen")))</f>
        <v>Adult</v>
      </c>
      <c r="W930" t="str">
        <f t="shared" si="98"/>
        <v>Jul</v>
      </c>
      <c r="X930">
        <f t="shared" si="99"/>
        <v>7</v>
      </c>
      <c r="Y930" t="str">
        <f t="shared" si="100"/>
        <v>Q3</v>
      </c>
      <c r="Z930">
        <f t="shared" si="101"/>
        <v>2027</v>
      </c>
      <c r="AA930" t="str">
        <f t="shared" si="102"/>
        <v>Sunday</v>
      </c>
      <c r="AB930">
        <f t="shared" si="103"/>
        <v>-66</v>
      </c>
      <c r="AC930" t="str">
        <f>IF(OR(D930="Heart Disease",D930="Cancer",D930="Stroke"),"High",IF(OR(D930="Diabetes",D930="Asthma"),"Medium","Low"))</f>
        <v>Low</v>
      </c>
      <c r="AD930" t="str">
        <f t="shared" si="104"/>
        <v>No</v>
      </c>
      <c r="AE930" t="str">
        <f>IF(G930&lt;=2,"Short Stay", IF(G930&lt;=7,"Normal Stay", "Long Stay"))</f>
        <v>Long Stay</v>
      </c>
      <c r="AF930" t="str">
        <f>IF(F930&gt;60000,"Expensive",IF(F930&gt;30000,"Moderate","Affordable"))</f>
        <v>Affordable</v>
      </c>
      <c r="AG930" t="str">
        <f>IF(J930&gt;=4.5,"Excellent",IF(J930&gt;=3.5,"Good",IF(J930&gt;=2.5,"Average","Poor")))</f>
        <v>Average</v>
      </c>
      <c r="AH930" t="str">
        <f>IF(OR(TEXT(N930,"dddd")="Saturday",TEXT(N930,"dddd")="Sunday"),"Weekend","Weekday")</f>
        <v>Weekend</v>
      </c>
    </row>
    <row r="931" spans="1:34" x14ac:dyDescent="0.3">
      <c r="A931">
        <v>945</v>
      </c>
      <c r="B931">
        <v>65</v>
      </c>
      <c r="C931" t="s">
        <v>21</v>
      </c>
      <c r="D931" t="s">
        <v>116</v>
      </c>
      <c r="E931" t="s">
        <v>117</v>
      </c>
      <c r="F931">
        <v>4000</v>
      </c>
      <c r="G931">
        <v>67</v>
      </c>
      <c r="H931" t="s">
        <v>24</v>
      </c>
      <c r="I931" t="s">
        <v>39</v>
      </c>
      <c r="J931">
        <v>4</v>
      </c>
      <c r="K931" t="s">
        <v>187</v>
      </c>
      <c r="L931" t="s">
        <v>1985</v>
      </c>
      <c r="M931" t="s">
        <v>1986</v>
      </c>
      <c r="N931" s="2">
        <v>46587</v>
      </c>
      <c r="O931" s="2">
        <v>46654</v>
      </c>
      <c r="P931" t="s">
        <v>29</v>
      </c>
      <c r="Q931" t="s">
        <v>44</v>
      </c>
      <c r="R931" t="s">
        <v>45</v>
      </c>
      <c r="S931" t="s">
        <v>84</v>
      </c>
      <c r="T931" t="s">
        <v>33</v>
      </c>
      <c r="U931" t="s">
        <v>78</v>
      </c>
      <c r="V931" t="str">
        <f>IF(B931&lt;=18,"Children",IF(B931&lt;=35,"Young adult",IF(B931&lt;=60,"Adult", "Senior Citizen")))</f>
        <v>Senior Citizen</v>
      </c>
      <c r="W931" t="str">
        <f t="shared" si="98"/>
        <v>Jul</v>
      </c>
      <c r="X931">
        <f t="shared" si="99"/>
        <v>7</v>
      </c>
      <c r="Y931" t="str">
        <f t="shared" si="100"/>
        <v>Q3</v>
      </c>
      <c r="Z931">
        <f t="shared" si="101"/>
        <v>2027</v>
      </c>
      <c r="AA931" t="str">
        <f t="shared" si="102"/>
        <v>Monday</v>
      </c>
      <c r="AB931">
        <f t="shared" si="103"/>
        <v>-67</v>
      </c>
      <c r="AC931" t="str">
        <f>IF(OR(D931="Heart Disease",D931="Cancer",D931="Stroke"),"High",IF(OR(D931="Diabetes",D931="Asthma"),"Medium","Low"))</f>
        <v>Low</v>
      </c>
      <c r="AD931" t="str">
        <f t="shared" si="104"/>
        <v>No</v>
      </c>
      <c r="AE931" t="str">
        <f>IF(G931&lt;=2,"Short Stay", IF(G931&lt;=7,"Normal Stay", "Long Stay"))</f>
        <v>Long Stay</v>
      </c>
      <c r="AF931" t="str">
        <f>IF(F931&gt;60000,"Expensive",IF(F931&gt;30000,"Moderate","Affordable"))</f>
        <v>Affordable</v>
      </c>
      <c r="AG931" t="str">
        <f>IF(J931&gt;=4.5,"Excellent",IF(J931&gt;=3.5,"Good",IF(J931&gt;=2.5,"Average","Poor")))</f>
        <v>Good</v>
      </c>
      <c r="AH931" t="str">
        <f>IF(OR(TEXT(N931,"dddd")="Saturday",TEXT(N931,"dddd")="Sunday"),"Weekend","Weekday")</f>
        <v>Weekday</v>
      </c>
    </row>
    <row r="932" spans="1:34" x14ac:dyDescent="0.3">
      <c r="A932">
        <v>946</v>
      </c>
      <c r="B932">
        <v>55</v>
      </c>
      <c r="C932" t="s">
        <v>21</v>
      </c>
      <c r="D932" t="s">
        <v>22</v>
      </c>
      <c r="E932" t="s">
        <v>23</v>
      </c>
      <c r="F932">
        <v>15000</v>
      </c>
      <c r="G932">
        <v>68</v>
      </c>
      <c r="H932" t="s">
        <v>38</v>
      </c>
      <c r="I932" t="s">
        <v>25</v>
      </c>
      <c r="J932">
        <v>3</v>
      </c>
      <c r="K932" t="s">
        <v>336</v>
      </c>
      <c r="L932" t="s">
        <v>1987</v>
      </c>
      <c r="M932" t="s">
        <v>1988</v>
      </c>
      <c r="N932" s="2">
        <v>46588</v>
      </c>
      <c r="O932" s="2">
        <v>46656</v>
      </c>
      <c r="P932" t="s">
        <v>43</v>
      </c>
      <c r="Q932" t="s">
        <v>44</v>
      </c>
      <c r="R932" t="s">
        <v>31</v>
      </c>
      <c r="S932" t="s">
        <v>72</v>
      </c>
      <c r="T932" t="s">
        <v>33</v>
      </c>
      <c r="U932" t="s">
        <v>104</v>
      </c>
      <c r="V932" t="str">
        <f>IF(B932&lt;=18,"Children",IF(B932&lt;=35,"Young adult",IF(B932&lt;=60,"Adult", "Senior Citizen")))</f>
        <v>Adult</v>
      </c>
      <c r="W932" t="str">
        <f t="shared" si="98"/>
        <v>Jul</v>
      </c>
      <c r="X932">
        <f t="shared" si="99"/>
        <v>7</v>
      </c>
      <c r="Y932" t="str">
        <f t="shared" si="100"/>
        <v>Q3</v>
      </c>
      <c r="Z932">
        <f t="shared" si="101"/>
        <v>2027</v>
      </c>
      <c r="AA932" t="str">
        <f t="shared" si="102"/>
        <v>Tuesday</v>
      </c>
      <c r="AB932">
        <f t="shared" si="103"/>
        <v>-68</v>
      </c>
      <c r="AC932" t="str">
        <f>IF(OR(D932="Heart Disease",D932="Cancer",D932="Stroke"),"High",IF(OR(D932="Diabetes",D932="Asthma"),"Medium","Low"))</f>
        <v>High</v>
      </c>
      <c r="AD932" t="str">
        <f t="shared" si="104"/>
        <v>Yes</v>
      </c>
      <c r="AE932" t="str">
        <f>IF(G932&lt;=2,"Short Stay", IF(G932&lt;=7,"Normal Stay", "Long Stay"))</f>
        <v>Long Stay</v>
      </c>
      <c r="AF932" t="str">
        <f>IF(F932&gt;60000,"Expensive",IF(F932&gt;30000,"Moderate","Affordable"))</f>
        <v>Affordable</v>
      </c>
      <c r="AG932" t="str">
        <f>IF(J932&gt;=4.5,"Excellent",IF(J932&gt;=3.5,"Good",IF(J932&gt;=2.5,"Average","Poor")))</f>
        <v>Average</v>
      </c>
      <c r="AH932" t="str">
        <f>IF(OR(TEXT(N932,"dddd")="Saturday",TEXT(N932,"dddd")="Sunday"),"Weekend","Weekday")</f>
        <v>Weekday</v>
      </c>
    </row>
    <row r="933" spans="1:34" x14ac:dyDescent="0.3">
      <c r="A933">
        <v>947</v>
      </c>
      <c r="B933">
        <v>62</v>
      </c>
      <c r="C933" t="s">
        <v>35</v>
      </c>
      <c r="D933" t="s">
        <v>36</v>
      </c>
      <c r="E933" t="s">
        <v>37</v>
      </c>
      <c r="F933">
        <v>2000</v>
      </c>
      <c r="G933">
        <v>66</v>
      </c>
      <c r="H933" t="s">
        <v>24</v>
      </c>
      <c r="I933" t="s">
        <v>39</v>
      </c>
      <c r="J933">
        <v>4</v>
      </c>
      <c r="K933" t="s">
        <v>281</v>
      </c>
      <c r="L933" t="s">
        <v>1989</v>
      </c>
      <c r="M933" t="s">
        <v>1990</v>
      </c>
      <c r="N933" s="2">
        <v>46589</v>
      </c>
      <c r="O933" s="2">
        <v>46655</v>
      </c>
      <c r="P933" t="s">
        <v>43</v>
      </c>
      <c r="Q933" t="s">
        <v>52</v>
      </c>
      <c r="R933" t="s">
        <v>45</v>
      </c>
      <c r="S933" t="s">
        <v>77</v>
      </c>
      <c r="T933" t="s">
        <v>33</v>
      </c>
      <c r="U933" t="s">
        <v>34</v>
      </c>
      <c r="V933" t="str">
        <f>IF(B933&lt;=18,"Children",IF(B933&lt;=35,"Young adult",IF(B933&lt;=60,"Adult", "Senior Citizen")))</f>
        <v>Senior Citizen</v>
      </c>
      <c r="W933" t="str">
        <f t="shared" si="98"/>
        <v>Jul</v>
      </c>
      <c r="X933">
        <f t="shared" si="99"/>
        <v>7</v>
      </c>
      <c r="Y933" t="str">
        <f t="shared" si="100"/>
        <v>Q3</v>
      </c>
      <c r="Z933">
        <f t="shared" si="101"/>
        <v>2027</v>
      </c>
      <c r="AA933" t="str">
        <f t="shared" si="102"/>
        <v>Wednesday</v>
      </c>
      <c r="AB933">
        <f t="shared" si="103"/>
        <v>-66</v>
      </c>
      <c r="AC933" t="str">
        <f>IF(OR(D933="Heart Disease",D933="Cancer",D933="Stroke"),"High",IF(OR(D933="Diabetes",D933="Asthma"),"Medium","Low"))</f>
        <v>Medium</v>
      </c>
      <c r="AD933" t="str">
        <f t="shared" si="104"/>
        <v>No</v>
      </c>
      <c r="AE933" t="str">
        <f>IF(G933&lt;=2,"Short Stay", IF(G933&lt;=7,"Normal Stay", "Long Stay"))</f>
        <v>Long Stay</v>
      </c>
      <c r="AF933" t="str">
        <f>IF(F933&gt;60000,"Expensive",IF(F933&gt;30000,"Moderate","Affordable"))</f>
        <v>Affordable</v>
      </c>
      <c r="AG933" t="str">
        <f>IF(J933&gt;=4.5,"Excellent",IF(J933&gt;=3.5,"Good",IF(J933&gt;=2.5,"Average","Poor")))</f>
        <v>Good</v>
      </c>
      <c r="AH933" t="str">
        <f>IF(OR(TEXT(N933,"dddd")="Saturday",TEXT(N933,"dddd")="Sunday"),"Weekend","Weekday")</f>
        <v>Weekday</v>
      </c>
    </row>
    <row r="934" spans="1:34" x14ac:dyDescent="0.3">
      <c r="A934">
        <v>948</v>
      </c>
      <c r="B934">
        <v>35</v>
      </c>
      <c r="C934" t="s">
        <v>21</v>
      </c>
      <c r="D934" t="s">
        <v>47</v>
      </c>
      <c r="E934" t="s">
        <v>48</v>
      </c>
      <c r="F934">
        <v>500</v>
      </c>
      <c r="G934">
        <v>64</v>
      </c>
      <c r="H934" t="s">
        <v>38</v>
      </c>
      <c r="I934" t="s">
        <v>25</v>
      </c>
      <c r="J934">
        <v>5</v>
      </c>
      <c r="K934" t="s">
        <v>482</v>
      </c>
      <c r="L934" t="s">
        <v>1991</v>
      </c>
      <c r="M934" t="s">
        <v>1992</v>
      </c>
      <c r="N934" s="2">
        <v>46590</v>
      </c>
      <c r="O934" s="2">
        <v>46654</v>
      </c>
      <c r="P934" t="s">
        <v>29</v>
      </c>
      <c r="Q934" t="s">
        <v>52</v>
      </c>
      <c r="R934" t="s">
        <v>45</v>
      </c>
      <c r="S934" t="s">
        <v>32</v>
      </c>
      <c r="T934" t="s">
        <v>33</v>
      </c>
      <c r="U934" t="s">
        <v>34</v>
      </c>
      <c r="V934" t="str">
        <f>IF(B934&lt;=18,"Children",IF(B934&lt;=35,"Young adult",IF(B934&lt;=60,"Adult", "Senior Citizen")))</f>
        <v>Young adult</v>
      </c>
      <c r="W934" t="str">
        <f t="shared" si="98"/>
        <v>Jul</v>
      </c>
      <c r="X934">
        <f t="shared" si="99"/>
        <v>7</v>
      </c>
      <c r="Y934" t="str">
        <f t="shared" si="100"/>
        <v>Q3</v>
      </c>
      <c r="Z934">
        <f t="shared" si="101"/>
        <v>2027</v>
      </c>
      <c r="AA934" t="str">
        <f t="shared" si="102"/>
        <v>Thursday</v>
      </c>
      <c r="AB934">
        <f t="shared" si="103"/>
        <v>-64</v>
      </c>
      <c r="AC934" t="str">
        <f>IF(OR(D934="Heart Disease",D934="Cancer",D934="Stroke"),"High",IF(OR(D934="Diabetes",D934="Asthma"),"Medium","Low"))</f>
        <v>Low</v>
      </c>
      <c r="AD934" t="str">
        <f t="shared" si="104"/>
        <v>No</v>
      </c>
      <c r="AE934" t="str">
        <f>IF(G934&lt;=2,"Short Stay", IF(G934&lt;=7,"Normal Stay", "Long Stay"))</f>
        <v>Long Stay</v>
      </c>
      <c r="AF934" t="str">
        <f>IF(F934&gt;60000,"Expensive",IF(F934&gt;30000,"Moderate","Affordable"))</f>
        <v>Affordable</v>
      </c>
      <c r="AG934" t="str">
        <f>IF(J934&gt;=4.5,"Excellent",IF(J934&gt;=3.5,"Good",IF(J934&gt;=2.5,"Average","Poor")))</f>
        <v>Excellent</v>
      </c>
      <c r="AH934" t="str">
        <f>IF(OR(TEXT(N934,"dddd")="Saturday",TEXT(N934,"dddd")="Sunday"),"Weekend","Weekday")</f>
        <v>Weekday</v>
      </c>
    </row>
    <row r="935" spans="1:34" x14ac:dyDescent="0.3">
      <c r="A935">
        <v>949</v>
      </c>
      <c r="B935">
        <v>78</v>
      </c>
      <c r="C935" t="s">
        <v>35</v>
      </c>
      <c r="D935" t="s">
        <v>54</v>
      </c>
      <c r="E935" t="s">
        <v>55</v>
      </c>
      <c r="F935">
        <v>10000</v>
      </c>
      <c r="G935">
        <v>71</v>
      </c>
      <c r="H935" t="s">
        <v>24</v>
      </c>
      <c r="I935" t="s">
        <v>39</v>
      </c>
      <c r="J935">
        <v>2</v>
      </c>
      <c r="K935" t="s">
        <v>245</v>
      </c>
      <c r="L935" t="s">
        <v>1993</v>
      </c>
      <c r="M935" t="s">
        <v>1994</v>
      </c>
      <c r="N935" s="2">
        <v>46591</v>
      </c>
      <c r="O935" s="2">
        <v>46662</v>
      </c>
      <c r="P935" t="s">
        <v>29</v>
      </c>
      <c r="Q935" t="s">
        <v>71</v>
      </c>
      <c r="R935" t="s">
        <v>59</v>
      </c>
      <c r="S935" t="s">
        <v>84</v>
      </c>
      <c r="T935" t="s">
        <v>33</v>
      </c>
      <c r="U935" t="s">
        <v>34</v>
      </c>
      <c r="V935" t="str">
        <f>IF(B935&lt;=18,"Children",IF(B935&lt;=35,"Young adult",IF(B935&lt;=60,"Adult", "Senior Citizen")))</f>
        <v>Senior Citizen</v>
      </c>
      <c r="W935" t="str">
        <f t="shared" si="98"/>
        <v>Jul</v>
      </c>
      <c r="X935">
        <f t="shared" si="99"/>
        <v>7</v>
      </c>
      <c r="Y935" t="str">
        <f t="shared" si="100"/>
        <v>Q3</v>
      </c>
      <c r="Z935">
        <f t="shared" si="101"/>
        <v>2027</v>
      </c>
      <c r="AA935" t="str">
        <f t="shared" si="102"/>
        <v>Friday</v>
      </c>
      <c r="AB935">
        <f t="shared" si="103"/>
        <v>-71</v>
      </c>
      <c r="AC935" t="str">
        <f>IF(OR(D935="Heart Disease",D935="Cancer",D935="Stroke"),"High",IF(OR(D935="Diabetes",D935="Asthma"),"Medium","Low"))</f>
        <v>High</v>
      </c>
      <c r="AD935" t="str">
        <f t="shared" si="104"/>
        <v>Yes</v>
      </c>
      <c r="AE935" t="str">
        <f>IF(G935&lt;=2,"Short Stay", IF(G935&lt;=7,"Normal Stay", "Long Stay"))</f>
        <v>Long Stay</v>
      </c>
      <c r="AF935" t="str">
        <f>IF(F935&gt;60000,"Expensive",IF(F935&gt;30000,"Moderate","Affordable"))</f>
        <v>Affordable</v>
      </c>
      <c r="AG935" t="str">
        <f>IF(J935&gt;=4.5,"Excellent",IF(J935&gt;=3.5,"Good",IF(J935&gt;=2.5,"Average","Poor")))</f>
        <v>Poor</v>
      </c>
      <c r="AH935" t="str">
        <f>IF(OR(TEXT(N935,"dddd")="Saturday",TEXT(N935,"dddd")="Sunday"),"Weekend","Weekday")</f>
        <v>Weekday</v>
      </c>
    </row>
    <row r="936" spans="1:34" x14ac:dyDescent="0.3">
      <c r="A936">
        <v>950</v>
      </c>
      <c r="B936">
        <v>53</v>
      </c>
      <c r="C936" t="s">
        <v>21</v>
      </c>
      <c r="D936" t="s">
        <v>60</v>
      </c>
      <c r="E936" t="s">
        <v>61</v>
      </c>
      <c r="F936">
        <v>25000</v>
      </c>
      <c r="G936">
        <v>73</v>
      </c>
      <c r="H936" t="s">
        <v>38</v>
      </c>
      <c r="I936" t="s">
        <v>25</v>
      </c>
      <c r="J936">
        <v>4</v>
      </c>
      <c r="K936" t="s">
        <v>160</v>
      </c>
      <c r="L936" t="s">
        <v>1995</v>
      </c>
      <c r="M936" t="s">
        <v>1996</v>
      </c>
      <c r="N936" s="2">
        <v>46592</v>
      </c>
      <c r="O936" s="2">
        <v>46665</v>
      </c>
      <c r="P936" t="s">
        <v>43</v>
      </c>
      <c r="Q936" t="s">
        <v>52</v>
      </c>
      <c r="R936" t="s">
        <v>65</v>
      </c>
      <c r="S936" t="s">
        <v>84</v>
      </c>
      <c r="T936" t="s">
        <v>33</v>
      </c>
      <c r="U936" t="s">
        <v>104</v>
      </c>
      <c r="V936" t="str">
        <f>IF(B936&lt;=18,"Children",IF(B936&lt;=35,"Young adult",IF(B936&lt;=60,"Adult", "Senior Citizen")))</f>
        <v>Adult</v>
      </c>
      <c r="W936" t="str">
        <f t="shared" si="98"/>
        <v>Jul</v>
      </c>
      <c r="X936">
        <f t="shared" si="99"/>
        <v>7</v>
      </c>
      <c r="Y936" t="str">
        <f t="shared" si="100"/>
        <v>Q3</v>
      </c>
      <c r="Z936">
        <f t="shared" si="101"/>
        <v>2027</v>
      </c>
      <c r="AA936" t="str">
        <f t="shared" si="102"/>
        <v>Saturday</v>
      </c>
      <c r="AB936">
        <f t="shared" si="103"/>
        <v>-73</v>
      </c>
      <c r="AC936" t="str">
        <f>IF(OR(D936="Heart Disease",D936="Cancer",D936="Stroke"),"High",IF(OR(D936="Diabetes",D936="Asthma"),"Medium","Low"))</f>
        <v>High</v>
      </c>
      <c r="AD936" t="str">
        <f t="shared" si="104"/>
        <v>Yes</v>
      </c>
      <c r="AE936" t="str">
        <f>IF(G936&lt;=2,"Short Stay", IF(G936&lt;=7,"Normal Stay", "Long Stay"))</f>
        <v>Long Stay</v>
      </c>
      <c r="AF936" t="str">
        <f>IF(F936&gt;60000,"Expensive",IF(F936&gt;30000,"Moderate","Affordable"))</f>
        <v>Affordable</v>
      </c>
      <c r="AG936" t="str">
        <f>IF(J936&gt;=4.5,"Excellent",IF(J936&gt;=3.5,"Good",IF(J936&gt;=2.5,"Average","Poor")))</f>
        <v>Good</v>
      </c>
      <c r="AH936" t="str">
        <f>IF(OR(TEXT(N936,"dddd")="Saturday",TEXT(N936,"dddd")="Sunday"),"Weekend","Weekday")</f>
        <v>Weekend</v>
      </c>
    </row>
    <row r="937" spans="1:34" x14ac:dyDescent="0.3">
      <c r="A937">
        <v>951</v>
      </c>
      <c r="B937">
        <v>72</v>
      </c>
      <c r="C937" t="s">
        <v>35</v>
      </c>
      <c r="D937" t="s">
        <v>66</v>
      </c>
      <c r="E937" t="s">
        <v>67</v>
      </c>
      <c r="F937">
        <v>1000</v>
      </c>
      <c r="G937">
        <v>67</v>
      </c>
      <c r="H937" t="s">
        <v>24</v>
      </c>
      <c r="I937" t="s">
        <v>39</v>
      </c>
      <c r="J937">
        <v>4</v>
      </c>
      <c r="K937" t="s">
        <v>154</v>
      </c>
      <c r="L937" t="s">
        <v>1997</v>
      </c>
      <c r="M937" t="s">
        <v>1998</v>
      </c>
      <c r="N937" s="2">
        <v>46593</v>
      </c>
      <c r="O937" s="2">
        <v>46660</v>
      </c>
      <c r="P937" t="s">
        <v>43</v>
      </c>
      <c r="Q937" t="s">
        <v>30</v>
      </c>
      <c r="R937" t="s">
        <v>45</v>
      </c>
      <c r="S937" t="s">
        <v>72</v>
      </c>
      <c r="T937" t="s">
        <v>33</v>
      </c>
      <c r="U937" t="s">
        <v>104</v>
      </c>
      <c r="V937" t="str">
        <f>IF(B937&lt;=18,"Children",IF(B937&lt;=35,"Young adult",IF(B937&lt;=60,"Adult", "Senior Citizen")))</f>
        <v>Senior Citizen</v>
      </c>
      <c r="W937" t="str">
        <f t="shared" si="98"/>
        <v>Jul</v>
      </c>
      <c r="X937">
        <f t="shared" si="99"/>
        <v>7</v>
      </c>
      <c r="Y937" t="str">
        <f t="shared" si="100"/>
        <v>Q3</v>
      </c>
      <c r="Z937">
        <f t="shared" si="101"/>
        <v>2027</v>
      </c>
      <c r="AA937" t="str">
        <f t="shared" si="102"/>
        <v>Sunday</v>
      </c>
      <c r="AB937">
        <f t="shared" si="103"/>
        <v>-67</v>
      </c>
      <c r="AC937" t="str">
        <f>IF(OR(D937="Heart Disease",D937="Cancer",D937="Stroke"),"High",IF(OR(D937="Diabetes",D937="Asthma"),"Medium","Low"))</f>
        <v>Low</v>
      </c>
      <c r="AD937" t="str">
        <f t="shared" si="104"/>
        <v>No</v>
      </c>
      <c r="AE937" t="str">
        <f>IF(G937&lt;=2,"Short Stay", IF(G937&lt;=7,"Normal Stay", "Long Stay"))</f>
        <v>Long Stay</v>
      </c>
      <c r="AF937" t="str">
        <f>IF(F937&gt;60000,"Expensive",IF(F937&gt;30000,"Moderate","Affordable"))</f>
        <v>Affordable</v>
      </c>
      <c r="AG937" t="str">
        <f>IF(J937&gt;=4.5,"Excellent",IF(J937&gt;=3.5,"Good",IF(J937&gt;=2.5,"Average","Poor")))</f>
        <v>Good</v>
      </c>
      <c r="AH937" t="str">
        <f>IF(OR(TEXT(N937,"dddd")="Saturday",TEXT(N937,"dddd")="Sunday"),"Weekend","Weekday")</f>
        <v>Weekend</v>
      </c>
    </row>
    <row r="938" spans="1:34" x14ac:dyDescent="0.3">
      <c r="A938">
        <v>952</v>
      </c>
      <c r="B938">
        <v>60</v>
      </c>
      <c r="C938" t="s">
        <v>21</v>
      </c>
      <c r="D938" t="s">
        <v>73</v>
      </c>
      <c r="E938" t="s">
        <v>74</v>
      </c>
      <c r="F938">
        <v>8000</v>
      </c>
      <c r="G938">
        <v>69</v>
      </c>
      <c r="H938" t="s">
        <v>38</v>
      </c>
      <c r="I938" t="s">
        <v>25</v>
      </c>
      <c r="J938">
        <v>3</v>
      </c>
      <c r="K938" t="s">
        <v>187</v>
      </c>
      <c r="L938" t="s">
        <v>1999</v>
      </c>
      <c r="M938" t="s">
        <v>2000</v>
      </c>
      <c r="N938" s="2">
        <v>46594</v>
      </c>
      <c r="O938" s="2">
        <v>46663</v>
      </c>
      <c r="P938" t="s">
        <v>29</v>
      </c>
      <c r="Q938" t="s">
        <v>52</v>
      </c>
      <c r="R938" t="s">
        <v>45</v>
      </c>
      <c r="S938" t="s">
        <v>84</v>
      </c>
      <c r="T938" t="s">
        <v>33</v>
      </c>
      <c r="U938" t="s">
        <v>78</v>
      </c>
      <c r="V938" t="str">
        <f>IF(B938&lt;=18,"Children",IF(B938&lt;=35,"Young adult",IF(B938&lt;=60,"Adult", "Senior Citizen")))</f>
        <v>Adult</v>
      </c>
      <c r="W938" t="str">
        <f t="shared" si="98"/>
        <v>Jul</v>
      </c>
      <c r="X938">
        <f t="shared" si="99"/>
        <v>7</v>
      </c>
      <c r="Y938" t="str">
        <f t="shared" si="100"/>
        <v>Q3</v>
      </c>
      <c r="Z938">
        <f t="shared" si="101"/>
        <v>2027</v>
      </c>
      <c r="AA938" t="str">
        <f t="shared" si="102"/>
        <v>Monday</v>
      </c>
      <c r="AB938">
        <f t="shared" si="103"/>
        <v>-69</v>
      </c>
      <c r="AC938" t="str">
        <f>IF(OR(D938="Heart Disease",D938="Cancer",D938="Stroke"),"High",IF(OR(D938="Diabetes",D938="Asthma"),"Medium","Low"))</f>
        <v>Low</v>
      </c>
      <c r="AD938" t="str">
        <f t="shared" si="104"/>
        <v>No</v>
      </c>
      <c r="AE938" t="str">
        <f>IF(G938&lt;=2,"Short Stay", IF(G938&lt;=7,"Normal Stay", "Long Stay"))</f>
        <v>Long Stay</v>
      </c>
      <c r="AF938" t="str">
        <f>IF(F938&gt;60000,"Expensive",IF(F938&gt;30000,"Moderate","Affordable"))</f>
        <v>Affordable</v>
      </c>
      <c r="AG938" t="str">
        <f>IF(J938&gt;=4.5,"Excellent",IF(J938&gt;=3.5,"Good",IF(J938&gt;=2.5,"Average","Poor")))</f>
        <v>Average</v>
      </c>
      <c r="AH938" t="str">
        <f>IF(OR(TEXT(N938,"dddd")="Saturday",TEXT(N938,"dddd")="Sunday"),"Weekend","Weekday")</f>
        <v>Weekday</v>
      </c>
    </row>
    <row r="939" spans="1:34" x14ac:dyDescent="0.3">
      <c r="A939">
        <v>953</v>
      </c>
      <c r="B939">
        <v>45</v>
      </c>
      <c r="C939" t="s">
        <v>35</v>
      </c>
      <c r="D939" t="s">
        <v>79</v>
      </c>
      <c r="E939" t="s">
        <v>80</v>
      </c>
      <c r="F939">
        <v>3000</v>
      </c>
      <c r="G939">
        <v>69</v>
      </c>
      <c r="H939" t="s">
        <v>24</v>
      </c>
      <c r="I939" t="s">
        <v>25</v>
      </c>
      <c r="J939">
        <v>4</v>
      </c>
      <c r="K939" t="s">
        <v>96</v>
      </c>
      <c r="L939" t="s">
        <v>2001</v>
      </c>
      <c r="M939" t="s">
        <v>2002</v>
      </c>
      <c r="N939" s="2">
        <v>46595</v>
      </c>
      <c r="O939" s="2">
        <v>46664</v>
      </c>
      <c r="P939" t="s">
        <v>43</v>
      </c>
      <c r="Q939" t="s">
        <v>71</v>
      </c>
      <c r="R939" t="s">
        <v>45</v>
      </c>
      <c r="S939" t="s">
        <v>77</v>
      </c>
      <c r="T939" t="s">
        <v>33</v>
      </c>
      <c r="U939" t="s">
        <v>104</v>
      </c>
      <c r="V939" t="str">
        <f>IF(B939&lt;=18,"Children",IF(B939&lt;=35,"Young adult",IF(B939&lt;=60,"Adult", "Senior Citizen")))</f>
        <v>Adult</v>
      </c>
      <c r="W939" t="str">
        <f t="shared" si="98"/>
        <v>Jul</v>
      </c>
      <c r="X939">
        <f t="shared" si="99"/>
        <v>7</v>
      </c>
      <c r="Y939" t="str">
        <f t="shared" si="100"/>
        <v>Q3</v>
      </c>
      <c r="Z939">
        <f t="shared" si="101"/>
        <v>2027</v>
      </c>
      <c r="AA939" t="str">
        <f t="shared" si="102"/>
        <v>Tuesday</v>
      </c>
      <c r="AB939">
        <f t="shared" si="103"/>
        <v>-69</v>
      </c>
      <c r="AC939" t="str">
        <f>IF(OR(D939="Heart Disease",D939="Cancer",D939="Stroke"),"High",IF(OR(D939="Diabetes",D939="Asthma"),"Medium","Low"))</f>
        <v>Low</v>
      </c>
      <c r="AD939" t="str">
        <f t="shared" si="104"/>
        <v>No</v>
      </c>
      <c r="AE939" t="str">
        <f>IF(G939&lt;=2,"Short Stay", IF(G939&lt;=7,"Normal Stay", "Long Stay"))</f>
        <v>Long Stay</v>
      </c>
      <c r="AF939" t="str">
        <f>IF(F939&gt;60000,"Expensive",IF(F939&gt;30000,"Moderate","Affordable"))</f>
        <v>Affordable</v>
      </c>
      <c r="AG939" t="str">
        <f>IF(J939&gt;=4.5,"Excellent",IF(J939&gt;=3.5,"Good",IF(J939&gt;=2.5,"Average","Poor")))</f>
        <v>Good</v>
      </c>
      <c r="AH939" t="str">
        <f>IF(OR(TEXT(N939,"dddd")="Saturday",TEXT(N939,"dddd")="Sunday"),"Weekend","Weekday")</f>
        <v>Weekday</v>
      </c>
    </row>
    <row r="940" spans="1:34" x14ac:dyDescent="0.3">
      <c r="A940">
        <v>954</v>
      </c>
      <c r="B940">
        <v>75</v>
      </c>
      <c r="C940" t="s">
        <v>21</v>
      </c>
      <c r="D940" t="s">
        <v>85</v>
      </c>
      <c r="E940" t="s">
        <v>86</v>
      </c>
      <c r="F940">
        <v>18000</v>
      </c>
      <c r="G940">
        <v>71</v>
      </c>
      <c r="H940" t="s">
        <v>38</v>
      </c>
      <c r="I940" t="s">
        <v>39</v>
      </c>
      <c r="J940">
        <v>2</v>
      </c>
      <c r="K940" t="s">
        <v>172</v>
      </c>
      <c r="L940" t="s">
        <v>2003</v>
      </c>
      <c r="M940" t="s">
        <v>2004</v>
      </c>
      <c r="N940" s="2">
        <v>46596</v>
      </c>
      <c r="O940" s="2">
        <v>46667</v>
      </c>
      <c r="P940" t="s">
        <v>43</v>
      </c>
      <c r="Q940" t="s">
        <v>30</v>
      </c>
      <c r="R940" t="s">
        <v>45</v>
      </c>
      <c r="S940" t="s">
        <v>53</v>
      </c>
      <c r="T940" t="s">
        <v>33</v>
      </c>
      <c r="U940" t="s">
        <v>104</v>
      </c>
      <c r="V940" t="str">
        <f>IF(B940&lt;=18,"Children",IF(B940&lt;=35,"Young adult",IF(B940&lt;=60,"Adult", "Senior Citizen")))</f>
        <v>Senior Citizen</v>
      </c>
      <c r="W940" t="str">
        <f t="shared" si="98"/>
        <v>Jul</v>
      </c>
      <c r="X940">
        <f t="shared" si="99"/>
        <v>7</v>
      </c>
      <c r="Y940" t="str">
        <f t="shared" si="100"/>
        <v>Q3</v>
      </c>
      <c r="Z940">
        <f t="shared" si="101"/>
        <v>2027</v>
      </c>
      <c r="AA940" t="str">
        <f t="shared" si="102"/>
        <v>Wednesday</v>
      </c>
      <c r="AB940">
        <f t="shared" si="103"/>
        <v>-71</v>
      </c>
      <c r="AC940" t="str">
        <f>IF(OR(D940="Heart Disease",D940="Cancer",D940="Stroke"),"High",IF(OR(D940="Diabetes",D940="Asthma"),"Medium","Low"))</f>
        <v>Low</v>
      </c>
      <c r="AD940" t="str">
        <f t="shared" si="104"/>
        <v>No</v>
      </c>
      <c r="AE940" t="str">
        <f>IF(G940&lt;=2,"Short Stay", IF(G940&lt;=7,"Normal Stay", "Long Stay"))</f>
        <v>Long Stay</v>
      </c>
      <c r="AF940" t="str">
        <f>IF(F940&gt;60000,"Expensive",IF(F940&gt;30000,"Moderate","Affordable"))</f>
        <v>Affordable</v>
      </c>
      <c r="AG940" t="str">
        <f>IF(J940&gt;=4.5,"Excellent",IF(J940&gt;=3.5,"Good",IF(J940&gt;=2.5,"Average","Poor")))</f>
        <v>Poor</v>
      </c>
      <c r="AH940" t="str">
        <f>IF(OR(TEXT(N940,"dddd")="Saturday",TEXT(N940,"dddd")="Sunday"),"Weekend","Weekday")</f>
        <v>Weekday</v>
      </c>
    </row>
    <row r="941" spans="1:34" x14ac:dyDescent="0.3">
      <c r="A941">
        <v>955</v>
      </c>
      <c r="B941">
        <v>28</v>
      </c>
      <c r="C941" t="s">
        <v>35</v>
      </c>
      <c r="D941" t="s">
        <v>89</v>
      </c>
      <c r="E941" t="s">
        <v>90</v>
      </c>
      <c r="F941">
        <v>100</v>
      </c>
      <c r="G941">
        <v>64</v>
      </c>
      <c r="H941" t="s">
        <v>24</v>
      </c>
      <c r="I941" t="s">
        <v>25</v>
      </c>
      <c r="J941">
        <v>5</v>
      </c>
      <c r="K941" t="s">
        <v>120</v>
      </c>
      <c r="L941" t="s">
        <v>2005</v>
      </c>
      <c r="M941" t="s">
        <v>2006</v>
      </c>
      <c r="N941" s="2">
        <v>46597</v>
      </c>
      <c r="O941" s="2">
        <v>46661</v>
      </c>
      <c r="P941" t="s">
        <v>29</v>
      </c>
      <c r="Q941" t="s">
        <v>30</v>
      </c>
      <c r="R941" t="s">
        <v>45</v>
      </c>
      <c r="S941" t="s">
        <v>77</v>
      </c>
      <c r="T941" t="s">
        <v>33</v>
      </c>
      <c r="U941" t="s">
        <v>46</v>
      </c>
      <c r="V941" t="str">
        <f>IF(B941&lt;=18,"Children",IF(B941&lt;=35,"Young adult",IF(B941&lt;=60,"Adult", "Senior Citizen")))</f>
        <v>Young adult</v>
      </c>
      <c r="W941" t="str">
        <f t="shared" si="98"/>
        <v>Jul</v>
      </c>
      <c r="X941">
        <f t="shared" si="99"/>
        <v>7</v>
      </c>
      <c r="Y941" t="str">
        <f t="shared" si="100"/>
        <v>Q3</v>
      </c>
      <c r="Z941">
        <f t="shared" si="101"/>
        <v>2027</v>
      </c>
      <c r="AA941" t="str">
        <f t="shared" si="102"/>
        <v>Thursday</v>
      </c>
      <c r="AB941">
        <f t="shared" si="103"/>
        <v>-64</v>
      </c>
      <c r="AC941" t="str">
        <f>IF(OR(D941="Heart Disease",D941="Cancer",D941="Stroke"),"High",IF(OR(D941="Diabetes",D941="Asthma"),"Medium","Low"))</f>
        <v>Low</v>
      </c>
      <c r="AD941" t="str">
        <f t="shared" si="104"/>
        <v>No</v>
      </c>
      <c r="AE941" t="str">
        <f>IF(G941&lt;=2,"Short Stay", IF(G941&lt;=7,"Normal Stay", "Long Stay"))</f>
        <v>Long Stay</v>
      </c>
      <c r="AF941" t="str">
        <f>IF(F941&gt;60000,"Expensive",IF(F941&gt;30000,"Moderate","Affordable"))</f>
        <v>Affordable</v>
      </c>
      <c r="AG941" t="str">
        <f>IF(J941&gt;=4.5,"Excellent",IF(J941&gt;=3.5,"Good",IF(J941&gt;=2.5,"Average","Poor")))</f>
        <v>Excellent</v>
      </c>
      <c r="AH941" t="str">
        <f>IF(OR(TEXT(N941,"dddd")="Saturday",TEXT(N941,"dddd")="Sunday"),"Weekend","Weekday")</f>
        <v>Weekday</v>
      </c>
    </row>
    <row r="942" spans="1:34" x14ac:dyDescent="0.3">
      <c r="A942">
        <v>956</v>
      </c>
      <c r="B942">
        <v>52</v>
      </c>
      <c r="C942" t="s">
        <v>21</v>
      </c>
      <c r="D942" t="s">
        <v>94</v>
      </c>
      <c r="E942" t="s">
        <v>95</v>
      </c>
      <c r="F942">
        <v>800</v>
      </c>
      <c r="G942">
        <v>65</v>
      </c>
      <c r="H942" t="s">
        <v>24</v>
      </c>
      <c r="I942" t="s">
        <v>39</v>
      </c>
      <c r="J942">
        <v>4</v>
      </c>
      <c r="K942" t="s">
        <v>178</v>
      </c>
      <c r="L942" t="s">
        <v>2007</v>
      </c>
      <c r="M942" t="s">
        <v>2008</v>
      </c>
      <c r="N942" s="2">
        <v>46598</v>
      </c>
      <c r="O942" s="2">
        <v>46663</v>
      </c>
      <c r="P942" t="s">
        <v>29</v>
      </c>
      <c r="Q942" t="s">
        <v>44</v>
      </c>
      <c r="R942" t="s">
        <v>45</v>
      </c>
      <c r="S942" t="s">
        <v>77</v>
      </c>
      <c r="T942" t="s">
        <v>33</v>
      </c>
      <c r="U942" t="s">
        <v>46</v>
      </c>
      <c r="V942" t="str">
        <f>IF(B942&lt;=18,"Children",IF(B942&lt;=35,"Young adult",IF(B942&lt;=60,"Adult", "Senior Citizen")))</f>
        <v>Adult</v>
      </c>
      <c r="W942" t="str">
        <f t="shared" si="98"/>
        <v>Jul</v>
      </c>
      <c r="X942">
        <f t="shared" si="99"/>
        <v>7</v>
      </c>
      <c r="Y942" t="str">
        <f t="shared" si="100"/>
        <v>Q3</v>
      </c>
      <c r="Z942">
        <f t="shared" si="101"/>
        <v>2027</v>
      </c>
      <c r="AA942" t="str">
        <f t="shared" si="102"/>
        <v>Friday</v>
      </c>
      <c r="AB942">
        <f t="shared" si="103"/>
        <v>-65</v>
      </c>
      <c r="AC942" t="str">
        <f>IF(OR(D942="Heart Disease",D942="Cancer",D942="Stroke"),"High",IF(OR(D942="Diabetes",D942="Asthma"),"Medium","Low"))</f>
        <v>Low</v>
      </c>
      <c r="AD942" t="str">
        <f t="shared" si="104"/>
        <v>No</v>
      </c>
      <c r="AE942" t="str">
        <f>IF(G942&lt;=2,"Short Stay", IF(G942&lt;=7,"Normal Stay", "Long Stay"))</f>
        <v>Long Stay</v>
      </c>
      <c r="AF942" t="str">
        <f>IF(F942&gt;60000,"Expensive",IF(F942&gt;30000,"Moderate","Affordable"))</f>
        <v>Affordable</v>
      </c>
      <c r="AG942" t="str">
        <f>IF(J942&gt;=4.5,"Excellent",IF(J942&gt;=3.5,"Good",IF(J942&gt;=2.5,"Average","Poor")))</f>
        <v>Good</v>
      </c>
      <c r="AH942" t="str">
        <f>IF(OR(TEXT(N942,"dddd")="Saturday",TEXT(N942,"dddd")="Sunday"),"Weekend","Weekday")</f>
        <v>Weekday</v>
      </c>
    </row>
    <row r="943" spans="1:34" x14ac:dyDescent="0.3">
      <c r="A943">
        <v>957</v>
      </c>
      <c r="B943">
        <v>67</v>
      </c>
      <c r="C943" t="s">
        <v>35</v>
      </c>
      <c r="D943" t="s">
        <v>99</v>
      </c>
      <c r="E943" t="s">
        <v>100</v>
      </c>
      <c r="F943">
        <v>20000</v>
      </c>
      <c r="G943">
        <v>72</v>
      </c>
      <c r="H943" t="s">
        <v>24</v>
      </c>
      <c r="I943" t="s">
        <v>25</v>
      </c>
      <c r="J943">
        <v>3</v>
      </c>
      <c r="K943" t="s">
        <v>245</v>
      </c>
      <c r="L943" t="s">
        <v>2009</v>
      </c>
      <c r="M943" t="s">
        <v>2010</v>
      </c>
      <c r="N943" s="2">
        <v>46599</v>
      </c>
      <c r="O943" s="2">
        <v>46671</v>
      </c>
      <c r="P943" t="s">
        <v>43</v>
      </c>
      <c r="Q943" t="s">
        <v>30</v>
      </c>
      <c r="R943" t="s">
        <v>45</v>
      </c>
      <c r="S943" t="s">
        <v>84</v>
      </c>
      <c r="T943" t="s">
        <v>33</v>
      </c>
      <c r="U943" t="s">
        <v>78</v>
      </c>
      <c r="V943" t="str">
        <f>IF(B943&lt;=18,"Children",IF(B943&lt;=35,"Young adult",IF(B943&lt;=60,"Adult", "Senior Citizen")))</f>
        <v>Senior Citizen</v>
      </c>
      <c r="W943" t="str">
        <f t="shared" si="98"/>
        <v>Jul</v>
      </c>
      <c r="X943">
        <f t="shared" si="99"/>
        <v>7</v>
      </c>
      <c r="Y943" t="str">
        <f t="shared" si="100"/>
        <v>Q3</v>
      </c>
      <c r="Z943">
        <f t="shared" si="101"/>
        <v>2027</v>
      </c>
      <c r="AA943" t="str">
        <f t="shared" si="102"/>
        <v>Saturday</v>
      </c>
      <c r="AB943">
        <f t="shared" si="103"/>
        <v>-72</v>
      </c>
      <c r="AC943" t="str">
        <f>IF(OR(D943="Heart Disease",D943="Cancer",D943="Stroke"),"High",IF(OR(D943="Diabetes",D943="Asthma"),"Medium","Low"))</f>
        <v>Low</v>
      </c>
      <c r="AD943" t="str">
        <f t="shared" si="104"/>
        <v>No</v>
      </c>
      <c r="AE943" t="str">
        <f>IF(G943&lt;=2,"Short Stay", IF(G943&lt;=7,"Normal Stay", "Long Stay"))</f>
        <v>Long Stay</v>
      </c>
      <c r="AF943" t="str">
        <f>IF(F943&gt;60000,"Expensive",IF(F943&gt;30000,"Moderate","Affordable"))</f>
        <v>Affordable</v>
      </c>
      <c r="AG943" t="str">
        <f>IF(J943&gt;=4.5,"Excellent",IF(J943&gt;=3.5,"Good",IF(J943&gt;=2.5,"Average","Poor")))</f>
        <v>Average</v>
      </c>
      <c r="AH943" t="str">
        <f>IF(OR(TEXT(N943,"dddd")="Saturday",TEXT(N943,"dddd")="Sunday"),"Weekend","Weekday")</f>
        <v>Weekend</v>
      </c>
    </row>
    <row r="944" spans="1:34" x14ac:dyDescent="0.3">
      <c r="A944">
        <v>958</v>
      </c>
      <c r="B944">
        <v>35</v>
      </c>
      <c r="C944" t="s">
        <v>21</v>
      </c>
      <c r="D944" t="s">
        <v>105</v>
      </c>
      <c r="E944" t="s">
        <v>106</v>
      </c>
      <c r="F944">
        <v>12000</v>
      </c>
      <c r="G944">
        <v>66</v>
      </c>
      <c r="H944" t="s">
        <v>24</v>
      </c>
      <c r="I944" t="s">
        <v>25</v>
      </c>
      <c r="J944">
        <v>4</v>
      </c>
      <c r="K944" t="s">
        <v>149</v>
      </c>
      <c r="L944" t="s">
        <v>2011</v>
      </c>
      <c r="M944" t="s">
        <v>2012</v>
      </c>
      <c r="N944" s="2">
        <v>46600</v>
      </c>
      <c r="O944" s="2">
        <v>46666</v>
      </c>
      <c r="P944" t="s">
        <v>29</v>
      </c>
      <c r="Q944" t="s">
        <v>52</v>
      </c>
      <c r="R944" t="s">
        <v>45</v>
      </c>
      <c r="S944" t="s">
        <v>72</v>
      </c>
      <c r="T944" t="s">
        <v>33</v>
      </c>
      <c r="U944" t="s">
        <v>34</v>
      </c>
      <c r="V944" t="str">
        <f>IF(B944&lt;=18,"Children",IF(B944&lt;=35,"Young adult",IF(B944&lt;=60,"Adult", "Senior Citizen")))</f>
        <v>Young adult</v>
      </c>
      <c r="W944" t="str">
        <f t="shared" si="98"/>
        <v>Aug</v>
      </c>
      <c r="X944">
        <f t="shared" si="99"/>
        <v>8</v>
      </c>
      <c r="Y944" t="str">
        <f t="shared" si="100"/>
        <v>Q3</v>
      </c>
      <c r="Z944">
        <f t="shared" si="101"/>
        <v>2027</v>
      </c>
      <c r="AA944" t="str">
        <f t="shared" si="102"/>
        <v>Sunday</v>
      </c>
      <c r="AB944">
        <f t="shared" si="103"/>
        <v>-66</v>
      </c>
      <c r="AC944" t="str">
        <f>IF(OR(D944="Heart Disease",D944="Cancer",D944="Stroke"),"High",IF(OR(D944="Diabetes",D944="Asthma"),"Medium","Low"))</f>
        <v>Low</v>
      </c>
      <c r="AD944" t="str">
        <f t="shared" si="104"/>
        <v>No</v>
      </c>
      <c r="AE944" t="str">
        <f>IF(G944&lt;=2,"Short Stay", IF(G944&lt;=7,"Normal Stay", "Long Stay"))</f>
        <v>Long Stay</v>
      </c>
      <c r="AF944" t="str">
        <f>IF(F944&gt;60000,"Expensive",IF(F944&gt;30000,"Moderate","Affordable"))</f>
        <v>Affordable</v>
      </c>
      <c r="AG944" t="str">
        <f>IF(J944&gt;=4.5,"Excellent",IF(J944&gt;=3.5,"Good",IF(J944&gt;=2.5,"Average","Poor")))</f>
        <v>Good</v>
      </c>
      <c r="AH944" t="str">
        <f>IF(OR(TEXT(N944,"dddd")="Saturday",TEXT(N944,"dddd")="Sunday"),"Weekend","Weekday")</f>
        <v>Weekend</v>
      </c>
    </row>
    <row r="945" spans="1:34" x14ac:dyDescent="0.3">
      <c r="A945">
        <v>959</v>
      </c>
      <c r="B945">
        <v>50</v>
      </c>
      <c r="C945" t="s">
        <v>35</v>
      </c>
      <c r="D945" t="s">
        <v>111</v>
      </c>
      <c r="E945" t="s">
        <v>112</v>
      </c>
      <c r="F945">
        <v>6000</v>
      </c>
      <c r="G945">
        <v>67</v>
      </c>
      <c r="H945" t="s">
        <v>24</v>
      </c>
      <c r="I945" t="s">
        <v>25</v>
      </c>
      <c r="J945">
        <v>3</v>
      </c>
      <c r="K945" t="s">
        <v>101</v>
      </c>
      <c r="L945" t="s">
        <v>2013</v>
      </c>
      <c r="M945" t="s">
        <v>2014</v>
      </c>
      <c r="N945" s="2">
        <v>46601</v>
      </c>
      <c r="O945" s="2">
        <v>46668</v>
      </c>
      <c r="P945" t="s">
        <v>29</v>
      </c>
      <c r="Q945" t="s">
        <v>52</v>
      </c>
      <c r="R945" t="s">
        <v>45</v>
      </c>
      <c r="S945" t="s">
        <v>32</v>
      </c>
      <c r="T945" t="s">
        <v>33</v>
      </c>
      <c r="U945" t="s">
        <v>34</v>
      </c>
      <c r="V945" t="str">
        <f>IF(B945&lt;=18,"Children",IF(B945&lt;=35,"Young adult",IF(B945&lt;=60,"Adult", "Senior Citizen")))</f>
        <v>Adult</v>
      </c>
      <c r="W945" t="str">
        <f t="shared" si="98"/>
        <v>Aug</v>
      </c>
      <c r="X945">
        <f t="shared" si="99"/>
        <v>8</v>
      </c>
      <c r="Y945" t="str">
        <f t="shared" si="100"/>
        <v>Q3</v>
      </c>
      <c r="Z945">
        <f t="shared" si="101"/>
        <v>2027</v>
      </c>
      <c r="AA945" t="str">
        <f t="shared" si="102"/>
        <v>Monday</v>
      </c>
      <c r="AB945">
        <f t="shared" si="103"/>
        <v>-67</v>
      </c>
      <c r="AC945" t="str">
        <f>IF(OR(D945="Heart Disease",D945="Cancer",D945="Stroke"),"High",IF(OR(D945="Diabetes",D945="Asthma"),"Medium","Low"))</f>
        <v>Low</v>
      </c>
      <c r="AD945" t="str">
        <f t="shared" si="104"/>
        <v>No</v>
      </c>
      <c r="AE945" t="str">
        <f>IF(G945&lt;=2,"Short Stay", IF(G945&lt;=7,"Normal Stay", "Long Stay"))</f>
        <v>Long Stay</v>
      </c>
      <c r="AF945" t="str">
        <f>IF(F945&gt;60000,"Expensive",IF(F945&gt;30000,"Moderate","Affordable"))</f>
        <v>Affordable</v>
      </c>
      <c r="AG945" t="str">
        <f>IF(J945&gt;=4.5,"Excellent",IF(J945&gt;=3.5,"Good",IF(J945&gt;=2.5,"Average","Poor")))</f>
        <v>Average</v>
      </c>
      <c r="AH945" t="str">
        <f>IF(OR(TEXT(N945,"dddd")="Saturday",TEXT(N945,"dddd")="Sunday"),"Weekend","Weekday")</f>
        <v>Weekday</v>
      </c>
    </row>
    <row r="946" spans="1:34" x14ac:dyDescent="0.3">
      <c r="A946">
        <v>960</v>
      </c>
      <c r="B946">
        <v>60</v>
      </c>
      <c r="C946" t="s">
        <v>21</v>
      </c>
      <c r="D946" t="s">
        <v>116</v>
      </c>
      <c r="E946" t="s">
        <v>117</v>
      </c>
      <c r="F946">
        <v>4000</v>
      </c>
      <c r="G946">
        <v>68</v>
      </c>
      <c r="H946" t="s">
        <v>24</v>
      </c>
      <c r="I946" t="s">
        <v>39</v>
      </c>
      <c r="J946">
        <v>4</v>
      </c>
      <c r="K946" t="s">
        <v>242</v>
      </c>
      <c r="L946" t="s">
        <v>2015</v>
      </c>
      <c r="M946" t="s">
        <v>2016</v>
      </c>
      <c r="N946" s="2">
        <v>46602</v>
      </c>
      <c r="O946" s="2">
        <v>46670</v>
      </c>
      <c r="P946" t="s">
        <v>29</v>
      </c>
      <c r="Q946" t="s">
        <v>139</v>
      </c>
      <c r="R946" t="s">
        <v>45</v>
      </c>
      <c r="S946" t="s">
        <v>77</v>
      </c>
      <c r="T946" t="s">
        <v>33</v>
      </c>
      <c r="U946" t="s">
        <v>34</v>
      </c>
      <c r="V946" t="str">
        <f>IF(B946&lt;=18,"Children",IF(B946&lt;=35,"Young adult",IF(B946&lt;=60,"Adult", "Senior Citizen")))</f>
        <v>Adult</v>
      </c>
      <c r="W946" t="str">
        <f t="shared" si="98"/>
        <v>Aug</v>
      </c>
      <c r="X946">
        <f t="shared" si="99"/>
        <v>8</v>
      </c>
      <c r="Y946" t="str">
        <f t="shared" si="100"/>
        <v>Q3</v>
      </c>
      <c r="Z946">
        <f t="shared" si="101"/>
        <v>2027</v>
      </c>
      <c r="AA946" t="str">
        <f t="shared" si="102"/>
        <v>Tuesday</v>
      </c>
      <c r="AB946">
        <f t="shared" si="103"/>
        <v>-68</v>
      </c>
      <c r="AC946" t="str">
        <f>IF(OR(D946="Heart Disease",D946="Cancer",D946="Stroke"),"High",IF(OR(D946="Diabetes",D946="Asthma"),"Medium","Low"))</f>
        <v>Low</v>
      </c>
      <c r="AD946" t="str">
        <f t="shared" si="104"/>
        <v>No</v>
      </c>
      <c r="AE946" t="str">
        <f>IF(G946&lt;=2,"Short Stay", IF(G946&lt;=7,"Normal Stay", "Long Stay"))</f>
        <v>Long Stay</v>
      </c>
      <c r="AF946" t="str">
        <f>IF(F946&gt;60000,"Expensive",IF(F946&gt;30000,"Moderate","Affordable"))</f>
        <v>Affordable</v>
      </c>
      <c r="AG946" t="str">
        <f>IF(J946&gt;=4.5,"Excellent",IF(J946&gt;=3.5,"Good",IF(J946&gt;=2.5,"Average","Poor")))</f>
        <v>Good</v>
      </c>
      <c r="AH946" t="str">
        <f>IF(OR(TEXT(N946,"dddd")="Saturday",TEXT(N946,"dddd")="Sunday"),"Weekend","Weekday")</f>
        <v>Weekday</v>
      </c>
    </row>
    <row r="947" spans="1:34" x14ac:dyDescent="0.3">
      <c r="A947">
        <v>961</v>
      </c>
      <c r="B947">
        <v>48</v>
      </c>
      <c r="C947" t="s">
        <v>21</v>
      </c>
      <c r="D947" t="s">
        <v>22</v>
      </c>
      <c r="E947" t="s">
        <v>23</v>
      </c>
      <c r="F947">
        <v>15000</v>
      </c>
      <c r="G947">
        <v>69</v>
      </c>
      <c r="H947" t="s">
        <v>38</v>
      </c>
      <c r="I947" t="s">
        <v>25</v>
      </c>
      <c r="J947">
        <v>4</v>
      </c>
      <c r="K947" t="s">
        <v>136</v>
      </c>
      <c r="L947" t="s">
        <v>2017</v>
      </c>
      <c r="M947" t="s">
        <v>2018</v>
      </c>
      <c r="N947" s="2">
        <v>46603</v>
      </c>
      <c r="O947" s="2">
        <v>46672</v>
      </c>
      <c r="P947" t="s">
        <v>43</v>
      </c>
      <c r="Q947" t="s">
        <v>139</v>
      </c>
      <c r="R947" t="s">
        <v>31</v>
      </c>
      <c r="S947" t="s">
        <v>84</v>
      </c>
      <c r="T947" t="s">
        <v>33</v>
      </c>
      <c r="U947" t="s">
        <v>34</v>
      </c>
      <c r="V947" t="str">
        <f>IF(B947&lt;=18,"Children",IF(B947&lt;=35,"Young adult",IF(B947&lt;=60,"Adult", "Senior Citizen")))</f>
        <v>Adult</v>
      </c>
      <c r="W947" t="str">
        <f t="shared" si="98"/>
        <v>Aug</v>
      </c>
      <c r="X947">
        <f t="shared" si="99"/>
        <v>8</v>
      </c>
      <c r="Y947" t="str">
        <f t="shared" si="100"/>
        <v>Q3</v>
      </c>
      <c r="Z947">
        <f t="shared" si="101"/>
        <v>2027</v>
      </c>
      <c r="AA947" t="str">
        <f t="shared" si="102"/>
        <v>Wednesday</v>
      </c>
      <c r="AB947">
        <f t="shared" si="103"/>
        <v>-69</v>
      </c>
      <c r="AC947" t="str">
        <f>IF(OR(D947="Heart Disease",D947="Cancer",D947="Stroke"),"High",IF(OR(D947="Diabetes",D947="Asthma"),"Medium","Low"))</f>
        <v>High</v>
      </c>
      <c r="AD947" t="str">
        <f t="shared" si="104"/>
        <v>Yes</v>
      </c>
      <c r="AE947" t="str">
        <f>IF(G947&lt;=2,"Short Stay", IF(G947&lt;=7,"Normal Stay", "Long Stay"))</f>
        <v>Long Stay</v>
      </c>
      <c r="AF947" t="str">
        <f>IF(F947&gt;60000,"Expensive",IF(F947&gt;30000,"Moderate","Affordable"))</f>
        <v>Affordable</v>
      </c>
      <c r="AG947" t="str">
        <f>IF(J947&gt;=4.5,"Excellent",IF(J947&gt;=3.5,"Good",IF(J947&gt;=2.5,"Average","Poor")))</f>
        <v>Good</v>
      </c>
      <c r="AH947" t="str">
        <f>IF(OR(TEXT(N947,"dddd")="Saturday",TEXT(N947,"dddd")="Sunday"),"Weekend","Weekday")</f>
        <v>Weekday</v>
      </c>
    </row>
    <row r="948" spans="1:34" x14ac:dyDescent="0.3">
      <c r="A948">
        <v>962</v>
      </c>
      <c r="B948">
        <v>65</v>
      </c>
      <c r="C948" t="s">
        <v>35</v>
      </c>
      <c r="D948" t="s">
        <v>36</v>
      </c>
      <c r="E948" t="s">
        <v>37</v>
      </c>
      <c r="F948">
        <v>2000</v>
      </c>
      <c r="G948">
        <v>67</v>
      </c>
      <c r="H948" t="s">
        <v>24</v>
      </c>
      <c r="I948" t="s">
        <v>39</v>
      </c>
      <c r="J948">
        <v>3</v>
      </c>
      <c r="K948" t="s">
        <v>429</v>
      </c>
      <c r="L948" t="s">
        <v>2019</v>
      </c>
      <c r="M948" t="s">
        <v>2020</v>
      </c>
      <c r="N948" s="2">
        <v>46604</v>
      </c>
      <c r="O948" s="2">
        <v>46671</v>
      </c>
      <c r="P948" t="s">
        <v>29</v>
      </c>
      <c r="Q948" t="s">
        <v>30</v>
      </c>
      <c r="R948" t="s">
        <v>45</v>
      </c>
      <c r="S948" t="s">
        <v>110</v>
      </c>
      <c r="T948" t="s">
        <v>33</v>
      </c>
      <c r="U948" t="s">
        <v>78</v>
      </c>
      <c r="V948" t="str">
        <f>IF(B948&lt;=18,"Children",IF(B948&lt;=35,"Young adult",IF(B948&lt;=60,"Adult", "Senior Citizen")))</f>
        <v>Senior Citizen</v>
      </c>
      <c r="W948" t="str">
        <f t="shared" si="98"/>
        <v>Aug</v>
      </c>
      <c r="X948">
        <f t="shared" si="99"/>
        <v>8</v>
      </c>
      <c r="Y948" t="str">
        <f t="shared" si="100"/>
        <v>Q3</v>
      </c>
      <c r="Z948">
        <f t="shared" si="101"/>
        <v>2027</v>
      </c>
      <c r="AA948" t="str">
        <f t="shared" si="102"/>
        <v>Thursday</v>
      </c>
      <c r="AB948">
        <f t="shared" si="103"/>
        <v>-67</v>
      </c>
      <c r="AC948" t="str">
        <f>IF(OR(D948="Heart Disease",D948="Cancer",D948="Stroke"),"High",IF(OR(D948="Diabetes",D948="Asthma"),"Medium","Low"))</f>
        <v>Medium</v>
      </c>
      <c r="AD948" t="str">
        <f t="shared" si="104"/>
        <v>No</v>
      </c>
      <c r="AE948" t="str">
        <f>IF(G948&lt;=2,"Short Stay", IF(G948&lt;=7,"Normal Stay", "Long Stay"))</f>
        <v>Long Stay</v>
      </c>
      <c r="AF948" t="str">
        <f>IF(F948&gt;60000,"Expensive",IF(F948&gt;30000,"Moderate","Affordable"))</f>
        <v>Affordable</v>
      </c>
      <c r="AG948" t="str">
        <f>IF(J948&gt;=4.5,"Excellent",IF(J948&gt;=3.5,"Good",IF(J948&gt;=2.5,"Average","Poor")))</f>
        <v>Average</v>
      </c>
      <c r="AH948" t="str">
        <f>IF(OR(TEXT(N948,"dddd")="Saturday",TEXT(N948,"dddd")="Sunday"),"Weekend","Weekday")</f>
        <v>Weekday</v>
      </c>
    </row>
    <row r="949" spans="1:34" x14ac:dyDescent="0.3">
      <c r="A949">
        <v>963</v>
      </c>
      <c r="B949">
        <v>30</v>
      </c>
      <c r="C949" t="s">
        <v>21</v>
      </c>
      <c r="D949" t="s">
        <v>47</v>
      </c>
      <c r="E949" t="s">
        <v>48</v>
      </c>
      <c r="F949">
        <v>500</v>
      </c>
      <c r="G949">
        <v>65</v>
      </c>
      <c r="H949" t="s">
        <v>24</v>
      </c>
      <c r="I949" t="s">
        <v>25</v>
      </c>
      <c r="J949">
        <v>5</v>
      </c>
      <c r="K949" t="s">
        <v>242</v>
      </c>
      <c r="L949" t="s">
        <v>2021</v>
      </c>
      <c r="M949" t="s">
        <v>2022</v>
      </c>
      <c r="N949" s="2">
        <v>46605</v>
      </c>
      <c r="O949" s="2">
        <v>46670</v>
      </c>
      <c r="P949" t="s">
        <v>43</v>
      </c>
      <c r="Q949" t="s">
        <v>30</v>
      </c>
      <c r="R949" t="s">
        <v>45</v>
      </c>
      <c r="S949" t="s">
        <v>84</v>
      </c>
      <c r="T949" t="s">
        <v>33</v>
      </c>
      <c r="U949" t="s">
        <v>46</v>
      </c>
      <c r="V949" t="str">
        <f>IF(B949&lt;=18,"Children",IF(B949&lt;=35,"Young adult",IF(B949&lt;=60,"Adult", "Senior Citizen")))</f>
        <v>Young adult</v>
      </c>
      <c r="W949" t="str">
        <f t="shared" si="98"/>
        <v>Aug</v>
      </c>
      <c r="X949">
        <f t="shared" si="99"/>
        <v>8</v>
      </c>
      <c r="Y949" t="str">
        <f t="shared" si="100"/>
        <v>Q3</v>
      </c>
      <c r="Z949">
        <f t="shared" si="101"/>
        <v>2027</v>
      </c>
      <c r="AA949" t="str">
        <f t="shared" si="102"/>
        <v>Friday</v>
      </c>
      <c r="AB949">
        <f t="shared" si="103"/>
        <v>-65</v>
      </c>
      <c r="AC949" t="str">
        <f>IF(OR(D949="Heart Disease",D949="Cancer",D949="Stroke"),"High",IF(OR(D949="Diabetes",D949="Asthma"),"Medium","Low"))</f>
        <v>Low</v>
      </c>
      <c r="AD949" t="str">
        <f t="shared" si="104"/>
        <v>No</v>
      </c>
      <c r="AE949" t="str">
        <f>IF(G949&lt;=2,"Short Stay", IF(G949&lt;=7,"Normal Stay", "Long Stay"))</f>
        <v>Long Stay</v>
      </c>
      <c r="AF949" t="str">
        <f>IF(F949&gt;60000,"Expensive",IF(F949&gt;30000,"Moderate","Affordable"))</f>
        <v>Affordable</v>
      </c>
      <c r="AG949" t="str">
        <f>IF(J949&gt;=4.5,"Excellent",IF(J949&gt;=3.5,"Good",IF(J949&gt;=2.5,"Average","Poor")))</f>
        <v>Excellent</v>
      </c>
      <c r="AH949" t="str">
        <f>IF(OR(TEXT(N949,"dddd")="Saturday",TEXT(N949,"dddd")="Sunday"),"Weekend","Weekday")</f>
        <v>Weekday</v>
      </c>
    </row>
    <row r="950" spans="1:34" x14ac:dyDescent="0.3">
      <c r="A950">
        <v>964</v>
      </c>
      <c r="B950">
        <v>70</v>
      </c>
      <c r="C950" t="s">
        <v>35</v>
      </c>
      <c r="D950" t="s">
        <v>54</v>
      </c>
      <c r="E950" t="s">
        <v>55</v>
      </c>
      <c r="F950">
        <v>10000</v>
      </c>
      <c r="G950">
        <v>72</v>
      </c>
      <c r="H950" t="s">
        <v>38</v>
      </c>
      <c r="I950" t="s">
        <v>39</v>
      </c>
      <c r="J950">
        <v>2</v>
      </c>
      <c r="K950" t="s">
        <v>149</v>
      </c>
      <c r="L950" t="s">
        <v>2023</v>
      </c>
      <c r="M950" t="s">
        <v>2024</v>
      </c>
      <c r="N950" s="2">
        <v>46606</v>
      </c>
      <c r="O950" s="2">
        <v>46678</v>
      </c>
      <c r="P950" t="s">
        <v>43</v>
      </c>
      <c r="Q950" t="s">
        <v>52</v>
      </c>
      <c r="R950" t="s">
        <v>59</v>
      </c>
      <c r="S950" t="s">
        <v>32</v>
      </c>
      <c r="T950" t="s">
        <v>33</v>
      </c>
      <c r="U950" t="s">
        <v>78</v>
      </c>
      <c r="V950" t="str">
        <f>IF(B950&lt;=18,"Children",IF(B950&lt;=35,"Young adult",IF(B950&lt;=60,"Adult", "Senior Citizen")))</f>
        <v>Senior Citizen</v>
      </c>
      <c r="W950" t="str">
        <f t="shared" si="98"/>
        <v>Aug</v>
      </c>
      <c r="X950">
        <f t="shared" si="99"/>
        <v>8</v>
      </c>
      <c r="Y950" t="str">
        <f t="shared" si="100"/>
        <v>Q3</v>
      </c>
      <c r="Z950">
        <f t="shared" si="101"/>
        <v>2027</v>
      </c>
      <c r="AA950" t="str">
        <f t="shared" si="102"/>
        <v>Saturday</v>
      </c>
      <c r="AB950">
        <f t="shared" si="103"/>
        <v>-72</v>
      </c>
      <c r="AC950" t="str">
        <f>IF(OR(D950="Heart Disease",D950="Cancer",D950="Stroke"),"High",IF(OR(D950="Diabetes",D950="Asthma"),"Medium","Low"))</f>
        <v>High</v>
      </c>
      <c r="AD950" t="str">
        <f t="shared" si="104"/>
        <v>Yes</v>
      </c>
      <c r="AE950" t="str">
        <f>IF(G950&lt;=2,"Short Stay", IF(G950&lt;=7,"Normal Stay", "Long Stay"))</f>
        <v>Long Stay</v>
      </c>
      <c r="AF950" t="str">
        <f>IF(F950&gt;60000,"Expensive",IF(F950&gt;30000,"Moderate","Affordable"))</f>
        <v>Affordable</v>
      </c>
      <c r="AG950" t="str">
        <f>IF(J950&gt;=4.5,"Excellent",IF(J950&gt;=3.5,"Good",IF(J950&gt;=2.5,"Average","Poor")))</f>
        <v>Poor</v>
      </c>
      <c r="AH950" t="str">
        <f>IF(OR(TEXT(N950,"dddd")="Saturday",TEXT(N950,"dddd")="Sunday"),"Weekend","Weekday")</f>
        <v>Weekend</v>
      </c>
    </row>
    <row r="951" spans="1:34" x14ac:dyDescent="0.3">
      <c r="A951">
        <v>965</v>
      </c>
      <c r="B951">
        <v>55</v>
      </c>
      <c r="C951" t="s">
        <v>21</v>
      </c>
      <c r="D951" t="s">
        <v>60</v>
      </c>
      <c r="E951" t="s">
        <v>61</v>
      </c>
      <c r="F951">
        <v>25000</v>
      </c>
      <c r="G951">
        <v>74</v>
      </c>
      <c r="H951" t="s">
        <v>24</v>
      </c>
      <c r="I951" t="s">
        <v>25</v>
      </c>
      <c r="J951">
        <v>4</v>
      </c>
      <c r="K951" t="s">
        <v>40</v>
      </c>
      <c r="L951" t="s">
        <v>2025</v>
      </c>
      <c r="M951" t="s">
        <v>2026</v>
      </c>
      <c r="N951" s="2">
        <v>46607</v>
      </c>
      <c r="O951" s="2">
        <v>46681</v>
      </c>
      <c r="P951" t="s">
        <v>43</v>
      </c>
      <c r="Q951" t="s">
        <v>52</v>
      </c>
      <c r="R951" t="s">
        <v>65</v>
      </c>
      <c r="S951" t="s">
        <v>72</v>
      </c>
      <c r="T951" t="s">
        <v>33</v>
      </c>
      <c r="U951" t="s">
        <v>104</v>
      </c>
      <c r="V951" t="str">
        <f>IF(B951&lt;=18,"Children",IF(B951&lt;=35,"Young adult",IF(B951&lt;=60,"Adult", "Senior Citizen")))</f>
        <v>Adult</v>
      </c>
      <c r="W951" t="str">
        <f t="shared" si="98"/>
        <v>Aug</v>
      </c>
      <c r="X951">
        <f t="shared" si="99"/>
        <v>8</v>
      </c>
      <c r="Y951" t="str">
        <f t="shared" si="100"/>
        <v>Q3</v>
      </c>
      <c r="Z951">
        <f t="shared" si="101"/>
        <v>2027</v>
      </c>
      <c r="AA951" t="str">
        <f t="shared" si="102"/>
        <v>Sunday</v>
      </c>
      <c r="AB951">
        <f t="shared" si="103"/>
        <v>-74</v>
      </c>
      <c r="AC951" t="str">
        <f>IF(OR(D951="Heart Disease",D951="Cancer",D951="Stroke"),"High",IF(OR(D951="Diabetes",D951="Asthma"),"Medium","Low"))</f>
        <v>High</v>
      </c>
      <c r="AD951" t="str">
        <f t="shared" si="104"/>
        <v>Yes</v>
      </c>
      <c r="AE951" t="str">
        <f>IF(G951&lt;=2,"Short Stay", IF(G951&lt;=7,"Normal Stay", "Long Stay"))</f>
        <v>Long Stay</v>
      </c>
      <c r="AF951" t="str">
        <f>IF(F951&gt;60000,"Expensive",IF(F951&gt;30000,"Moderate","Affordable"))</f>
        <v>Affordable</v>
      </c>
      <c r="AG951" t="str">
        <f>IF(J951&gt;=4.5,"Excellent",IF(J951&gt;=3.5,"Good",IF(J951&gt;=2.5,"Average","Poor")))</f>
        <v>Good</v>
      </c>
      <c r="AH951" t="str">
        <f>IF(OR(TEXT(N951,"dddd")="Saturday",TEXT(N951,"dddd")="Sunday"),"Weekend","Weekday")</f>
        <v>Weekend</v>
      </c>
    </row>
    <row r="952" spans="1:34" x14ac:dyDescent="0.3">
      <c r="A952">
        <v>966</v>
      </c>
      <c r="B952">
        <v>68</v>
      </c>
      <c r="C952" t="s">
        <v>35</v>
      </c>
      <c r="D952" t="s">
        <v>66</v>
      </c>
      <c r="E952" t="s">
        <v>67</v>
      </c>
      <c r="F952">
        <v>1000</v>
      </c>
      <c r="G952">
        <v>68</v>
      </c>
      <c r="H952" t="s">
        <v>24</v>
      </c>
      <c r="I952" t="s">
        <v>39</v>
      </c>
      <c r="J952">
        <v>4</v>
      </c>
      <c r="K952" t="s">
        <v>482</v>
      </c>
      <c r="L952" t="s">
        <v>2027</v>
      </c>
      <c r="M952" t="s">
        <v>2028</v>
      </c>
      <c r="N952" s="2">
        <v>46608</v>
      </c>
      <c r="O952" s="2">
        <v>46676</v>
      </c>
      <c r="P952" t="s">
        <v>29</v>
      </c>
      <c r="Q952" t="s">
        <v>30</v>
      </c>
      <c r="R952" t="s">
        <v>45</v>
      </c>
      <c r="S952" t="s">
        <v>32</v>
      </c>
      <c r="T952" t="s">
        <v>33</v>
      </c>
      <c r="U952" t="s">
        <v>104</v>
      </c>
      <c r="V952" t="str">
        <f>IF(B952&lt;=18,"Children",IF(B952&lt;=35,"Young adult",IF(B952&lt;=60,"Adult", "Senior Citizen")))</f>
        <v>Senior Citizen</v>
      </c>
      <c r="W952" t="str">
        <f t="shared" si="98"/>
        <v>Aug</v>
      </c>
      <c r="X952">
        <f t="shared" si="99"/>
        <v>8</v>
      </c>
      <c r="Y952" t="str">
        <f t="shared" si="100"/>
        <v>Q3</v>
      </c>
      <c r="Z952">
        <f t="shared" si="101"/>
        <v>2027</v>
      </c>
      <c r="AA952" t="str">
        <f t="shared" si="102"/>
        <v>Monday</v>
      </c>
      <c r="AB952">
        <f t="shared" si="103"/>
        <v>-68</v>
      </c>
      <c r="AC952" t="str">
        <f>IF(OR(D952="Heart Disease",D952="Cancer",D952="Stroke"),"High",IF(OR(D952="Diabetes",D952="Asthma"),"Medium","Low"))</f>
        <v>Low</v>
      </c>
      <c r="AD952" t="str">
        <f t="shared" si="104"/>
        <v>No</v>
      </c>
      <c r="AE952" t="str">
        <f>IF(G952&lt;=2,"Short Stay", IF(G952&lt;=7,"Normal Stay", "Long Stay"))</f>
        <v>Long Stay</v>
      </c>
      <c r="AF952" t="str">
        <f>IF(F952&gt;60000,"Expensive",IF(F952&gt;30000,"Moderate","Affordable"))</f>
        <v>Affordable</v>
      </c>
      <c r="AG952" t="str">
        <f>IF(J952&gt;=4.5,"Excellent",IF(J952&gt;=3.5,"Good",IF(J952&gt;=2.5,"Average","Poor")))</f>
        <v>Good</v>
      </c>
      <c r="AH952" t="str">
        <f>IF(OR(TEXT(N952,"dddd")="Saturday",TEXT(N952,"dddd")="Sunday"),"Weekend","Weekday")</f>
        <v>Weekday</v>
      </c>
    </row>
    <row r="953" spans="1:34" x14ac:dyDescent="0.3">
      <c r="A953">
        <v>968</v>
      </c>
      <c r="B953">
        <v>40</v>
      </c>
      <c r="C953" t="s">
        <v>35</v>
      </c>
      <c r="D953" t="s">
        <v>79</v>
      </c>
      <c r="E953" t="s">
        <v>80</v>
      </c>
      <c r="F953">
        <v>3000</v>
      </c>
      <c r="G953">
        <v>70</v>
      </c>
      <c r="H953" t="s">
        <v>24</v>
      </c>
      <c r="I953" t="s">
        <v>25</v>
      </c>
      <c r="J953">
        <v>4</v>
      </c>
      <c r="K953" t="s">
        <v>218</v>
      </c>
      <c r="L953" t="s">
        <v>2029</v>
      </c>
      <c r="M953" t="s">
        <v>2030</v>
      </c>
      <c r="N953" s="2">
        <v>46609</v>
      </c>
      <c r="O953" s="2">
        <v>46679</v>
      </c>
      <c r="P953" t="s">
        <v>29</v>
      </c>
      <c r="Q953" t="s">
        <v>139</v>
      </c>
      <c r="R953" t="s">
        <v>45</v>
      </c>
      <c r="S953" t="s">
        <v>84</v>
      </c>
      <c r="T953" t="s">
        <v>33</v>
      </c>
      <c r="U953" t="s">
        <v>46</v>
      </c>
      <c r="V953" t="str">
        <f>IF(B953&lt;=18,"Children",IF(B953&lt;=35,"Young adult",IF(B953&lt;=60,"Adult", "Senior Citizen")))</f>
        <v>Adult</v>
      </c>
      <c r="W953" t="str">
        <f t="shared" si="98"/>
        <v>Aug</v>
      </c>
      <c r="X953">
        <f t="shared" si="99"/>
        <v>8</v>
      </c>
      <c r="Y953" t="str">
        <f t="shared" si="100"/>
        <v>Q3</v>
      </c>
      <c r="Z953">
        <f t="shared" si="101"/>
        <v>2027</v>
      </c>
      <c r="AA953" t="str">
        <f t="shared" si="102"/>
        <v>Tuesday</v>
      </c>
      <c r="AB953">
        <f t="shared" si="103"/>
        <v>-70</v>
      </c>
      <c r="AC953" t="str">
        <f>IF(OR(D953="Heart Disease",D953="Cancer",D953="Stroke"),"High",IF(OR(D953="Diabetes",D953="Asthma"),"Medium","Low"))</f>
        <v>Low</v>
      </c>
      <c r="AD953" t="str">
        <f t="shared" si="104"/>
        <v>No</v>
      </c>
      <c r="AE953" t="str">
        <f>IF(G953&lt;=2,"Short Stay", IF(G953&lt;=7,"Normal Stay", "Long Stay"))</f>
        <v>Long Stay</v>
      </c>
      <c r="AF953" t="str">
        <f>IF(F953&gt;60000,"Expensive",IF(F953&gt;30000,"Moderate","Affordable"))</f>
        <v>Affordable</v>
      </c>
      <c r="AG953" t="str">
        <f>IF(J953&gt;=4.5,"Excellent",IF(J953&gt;=3.5,"Good",IF(J953&gt;=2.5,"Average","Poor")))</f>
        <v>Good</v>
      </c>
      <c r="AH953" t="str">
        <f>IF(OR(TEXT(N953,"dddd")="Saturday",TEXT(N953,"dddd")="Sunday"),"Weekend","Weekday")</f>
        <v>Weekday</v>
      </c>
    </row>
    <row r="954" spans="1:34" x14ac:dyDescent="0.3">
      <c r="A954">
        <v>969</v>
      </c>
      <c r="B954">
        <v>78</v>
      </c>
      <c r="C954" t="s">
        <v>21</v>
      </c>
      <c r="D954" t="s">
        <v>85</v>
      </c>
      <c r="E954" t="s">
        <v>86</v>
      </c>
      <c r="F954">
        <v>18000</v>
      </c>
      <c r="G954">
        <v>72</v>
      </c>
      <c r="H954" t="s">
        <v>38</v>
      </c>
      <c r="I954" t="s">
        <v>39</v>
      </c>
      <c r="J954">
        <v>2</v>
      </c>
      <c r="K954" t="s">
        <v>40</v>
      </c>
      <c r="L954" t="s">
        <v>2031</v>
      </c>
      <c r="M954" t="s">
        <v>2032</v>
      </c>
      <c r="N954" s="2">
        <v>46610</v>
      </c>
      <c r="O954" s="2">
        <v>46682</v>
      </c>
      <c r="P954" t="s">
        <v>29</v>
      </c>
      <c r="Q954" t="s">
        <v>71</v>
      </c>
      <c r="R954" t="s">
        <v>45</v>
      </c>
      <c r="S954" t="s">
        <v>72</v>
      </c>
      <c r="T954" t="s">
        <v>33</v>
      </c>
      <c r="U954" t="s">
        <v>104</v>
      </c>
      <c r="V954" t="str">
        <f>IF(B954&lt;=18,"Children",IF(B954&lt;=35,"Young adult",IF(B954&lt;=60,"Adult", "Senior Citizen")))</f>
        <v>Senior Citizen</v>
      </c>
      <c r="W954" t="str">
        <f t="shared" si="98"/>
        <v>Aug</v>
      </c>
      <c r="X954">
        <f t="shared" si="99"/>
        <v>8</v>
      </c>
      <c r="Y954" t="str">
        <f t="shared" si="100"/>
        <v>Q3</v>
      </c>
      <c r="Z954">
        <f t="shared" si="101"/>
        <v>2027</v>
      </c>
      <c r="AA954" t="str">
        <f t="shared" si="102"/>
        <v>Wednesday</v>
      </c>
      <c r="AB954">
        <f t="shared" si="103"/>
        <v>-72</v>
      </c>
      <c r="AC954" t="str">
        <f>IF(OR(D954="Heart Disease",D954="Cancer",D954="Stroke"),"High",IF(OR(D954="Diabetes",D954="Asthma"),"Medium","Low"))</f>
        <v>Low</v>
      </c>
      <c r="AD954" t="str">
        <f t="shared" si="104"/>
        <v>No</v>
      </c>
      <c r="AE954" t="str">
        <f>IF(G954&lt;=2,"Short Stay", IF(G954&lt;=7,"Normal Stay", "Long Stay"))</f>
        <v>Long Stay</v>
      </c>
      <c r="AF954" t="str">
        <f>IF(F954&gt;60000,"Expensive",IF(F954&gt;30000,"Moderate","Affordable"))</f>
        <v>Affordable</v>
      </c>
      <c r="AG954" t="str">
        <f>IF(J954&gt;=4.5,"Excellent",IF(J954&gt;=3.5,"Good",IF(J954&gt;=2.5,"Average","Poor")))</f>
        <v>Poor</v>
      </c>
      <c r="AH954" t="str">
        <f>IF(OR(TEXT(N954,"dddd")="Saturday",TEXT(N954,"dddd")="Sunday"),"Weekend","Weekday")</f>
        <v>Weekday</v>
      </c>
    </row>
    <row r="955" spans="1:34" x14ac:dyDescent="0.3">
      <c r="A955">
        <v>970</v>
      </c>
      <c r="B955">
        <v>25</v>
      </c>
      <c r="C955" t="s">
        <v>35</v>
      </c>
      <c r="D955" t="s">
        <v>89</v>
      </c>
      <c r="E955" t="s">
        <v>90</v>
      </c>
      <c r="F955">
        <v>100</v>
      </c>
      <c r="G955">
        <v>65</v>
      </c>
      <c r="H955" t="s">
        <v>24</v>
      </c>
      <c r="I955" t="s">
        <v>25</v>
      </c>
      <c r="J955">
        <v>5</v>
      </c>
      <c r="K955" t="s">
        <v>91</v>
      </c>
      <c r="L955" t="s">
        <v>2033</v>
      </c>
      <c r="M955" t="s">
        <v>2034</v>
      </c>
      <c r="N955" s="2">
        <v>46611</v>
      </c>
      <c r="O955" s="2">
        <v>46676</v>
      </c>
      <c r="P955" t="s">
        <v>29</v>
      </c>
      <c r="Q955" t="s">
        <v>30</v>
      </c>
      <c r="R955" t="s">
        <v>45</v>
      </c>
      <c r="S955" t="s">
        <v>110</v>
      </c>
      <c r="T955" t="s">
        <v>33</v>
      </c>
      <c r="U955" t="s">
        <v>34</v>
      </c>
      <c r="V955" t="str">
        <f>IF(B955&lt;=18,"Children",IF(B955&lt;=35,"Young adult",IF(B955&lt;=60,"Adult", "Senior Citizen")))</f>
        <v>Young adult</v>
      </c>
      <c r="W955" t="str">
        <f t="shared" si="98"/>
        <v>Aug</v>
      </c>
      <c r="X955">
        <f t="shared" si="99"/>
        <v>8</v>
      </c>
      <c r="Y955" t="str">
        <f t="shared" si="100"/>
        <v>Q3</v>
      </c>
      <c r="Z955">
        <f t="shared" si="101"/>
        <v>2027</v>
      </c>
      <c r="AA955" t="str">
        <f t="shared" si="102"/>
        <v>Thursday</v>
      </c>
      <c r="AB955">
        <f t="shared" si="103"/>
        <v>-65</v>
      </c>
      <c r="AC955" t="str">
        <f>IF(OR(D955="Heart Disease",D955="Cancer",D955="Stroke"),"High",IF(OR(D955="Diabetes",D955="Asthma"),"Medium","Low"))</f>
        <v>Low</v>
      </c>
      <c r="AD955" t="str">
        <f t="shared" si="104"/>
        <v>No</v>
      </c>
      <c r="AE955" t="str">
        <f>IF(G955&lt;=2,"Short Stay", IF(G955&lt;=7,"Normal Stay", "Long Stay"))</f>
        <v>Long Stay</v>
      </c>
      <c r="AF955" t="str">
        <f>IF(F955&gt;60000,"Expensive",IF(F955&gt;30000,"Moderate","Affordable"))</f>
        <v>Affordable</v>
      </c>
      <c r="AG955" t="str">
        <f>IF(J955&gt;=4.5,"Excellent",IF(J955&gt;=3.5,"Good",IF(J955&gt;=2.5,"Average","Poor")))</f>
        <v>Excellent</v>
      </c>
      <c r="AH955" t="str">
        <f>IF(OR(TEXT(N955,"dddd")="Saturday",TEXT(N955,"dddd")="Sunday"),"Weekend","Weekday")</f>
        <v>Weekday</v>
      </c>
    </row>
    <row r="956" spans="1:34" x14ac:dyDescent="0.3">
      <c r="A956">
        <v>971</v>
      </c>
      <c r="B956">
        <v>52</v>
      </c>
      <c r="C956" t="s">
        <v>21</v>
      </c>
      <c r="D956" t="s">
        <v>94</v>
      </c>
      <c r="E956" t="s">
        <v>95</v>
      </c>
      <c r="F956">
        <v>800</v>
      </c>
      <c r="G956">
        <v>66</v>
      </c>
      <c r="H956" t="s">
        <v>24</v>
      </c>
      <c r="I956" t="s">
        <v>39</v>
      </c>
      <c r="J956">
        <v>4</v>
      </c>
      <c r="K956" t="s">
        <v>482</v>
      </c>
      <c r="L956" t="s">
        <v>2035</v>
      </c>
      <c r="M956" t="s">
        <v>2036</v>
      </c>
      <c r="N956" s="2">
        <v>46612</v>
      </c>
      <c r="O956" s="2">
        <v>46678</v>
      </c>
      <c r="P956" t="s">
        <v>43</v>
      </c>
      <c r="Q956" t="s">
        <v>71</v>
      </c>
      <c r="R956" t="s">
        <v>45</v>
      </c>
      <c r="S956" t="s">
        <v>32</v>
      </c>
      <c r="T956" t="s">
        <v>33</v>
      </c>
      <c r="U956" t="s">
        <v>46</v>
      </c>
      <c r="V956" t="str">
        <f>IF(B956&lt;=18,"Children",IF(B956&lt;=35,"Young adult",IF(B956&lt;=60,"Adult", "Senior Citizen")))</f>
        <v>Adult</v>
      </c>
      <c r="W956" t="str">
        <f t="shared" si="98"/>
        <v>Aug</v>
      </c>
      <c r="X956">
        <f t="shared" si="99"/>
        <v>8</v>
      </c>
      <c r="Y956" t="str">
        <f t="shared" si="100"/>
        <v>Q3</v>
      </c>
      <c r="Z956">
        <f t="shared" si="101"/>
        <v>2027</v>
      </c>
      <c r="AA956" t="str">
        <f t="shared" si="102"/>
        <v>Friday</v>
      </c>
      <c r="AB956">
        <f t="shared" si="103"/>
        <v>-66</v>
      </c>
      <c r="AC956" t="str">
        <f>IF(OR(D956="Heart Disease",D956="Cancer",D956="Stroke"),"High",IF(OR(D956="Diabetes",D956="Asthma"),"Medium","Low"))</f>
        <v>Low</v>
      </c>
      <c r="AD956" t="str">
        <f t="shared" si="104"/>
        <v>No</v>
      </c>
      <c r="AE956" t="str">
        <f>IF(G956&lt;=2,"Short Stay", IF(G956&lt;=7,"Normal Stay", "Long Stay"))</f>
        <v>Long Stay</v>
      </c>
      <c r="AF956" t="str">
        <f>IF(F956&gt;60000,"Expensive",IF(F956&gt;30000,"Moderate","Affordable"))</f>
        <v>Affordable</v>
      </c>
      <c r="AG956" t="str">
        <f>IF(J956&gt;=4.5,"Excellent",IF(J956&gt;=3.5,"Good",IF(J956&gt;=2.5,"Average","Poor")))</f>
        <v>Good</v>
      </c>
      <c r="AH956" t="str">
        <f>IF(OR(TEXT(N956,"dddd")="Saturday",TEXT(N956,"dddd")="Sunday"),"Weekend","Weekday")</f>
        <v>Weekday</v>
      </c>
    </row>
    <row r="957" spans="1:34" x14ac:dyDescent="0.3">
      <c r="A957">
        <v>972</v>
      </c>
      <c r="B957">
        <v>58</v>
      </c>
      <c r="C957" t="s">
        <v>35</v>
      </c>
      <c r="D957" t="s">
        <v>99</v>
      </c>
      <c r="E957" t="s">
        <v>100</v>
      </c>
      <c r="F957">
        <v>20000</v>
      </c>
      <c r="G957">
        <v>73</v>
      </c>
      <c r="H957" t="s">
        <v>24</v>
      </c>
      <c r="I957" t="s">
        <v>25</v>
      </c>
      <c r="J957">
        <v>3</v>
      </c>
      <c r="K957" t="s">
        <v>49</v>
      </c>
      <c r="L957" t="s">
        <v>2037</v>
      </c>
      <c r="M957" t="s">
        <v>2038</v>
      </c>
      <c r="N957" s="2">
        <v>46613</v>
      </c>
      <c r="O957" s="2">
        <v>46686</v>
      </c>
      <c r="P957" t="s">
        <v>29</v>
      </c>
      <c r="Q957" t="s">
        <v>52</v>
      </c>
      <c r="R957" t="s">
        <v>45</v>
      </c>
      <c r="S957" t="s">
        <v>110</v>
      </c>
      <c r="T957" t="s">
        <v>33</v>
      </c>
      <c r="U957" t="s">
        <v>46</v>
      </c>
      <c r="V957" t="str">
        <f>IF(B957&lt;=18,"Children",IF(B957&lt;=35,"Young adult",IF(B957&lt;=60,"Adult", "Senior Citizen")))</f>
        <v>Adult</v>
      </c>
      <c r="W957" t="str">
        <f t="shared" si="98"/>
        <v>Aug</v>
      </c>
      <c r="X957">
        <f t="shared" si="99"/>
        <v>8</v>
      </c>
      <c r="Y957" t="str">
        <f t="shared" si="100"/>
        <v>Q3</v>
      </c>
      <c r="Z957">
        <f t="shared" si="101"/>
        <v>2027</v>
      </c>
      <c r="AA957" t="str">
        <f t="shared" si="102"/>
        <v>Saturday</v>
      </c>
      <c r="AB957">
        <f t="shared" si="103"/>
        <v>-73</v>
      </c>
      <c r="AC957" t="str">
        <f>IF(OR(D957="Heart Disease",D957="Cancer",D957="Stroke"),"High",IF(OR(D957="Diabetes",D957="Asthma"),"Medium","Low"))</f>
        <v>Low</v>
      </c>
      <c r="AD957" t="str">
        <f t="shared" si="104"/>
        <v>No</v>
      </c>
      <c r="AE957" t="str">
        <f>IF(G957&lt;=2,"Short Stay", IF(G957&lt;=7,"Normal Stay", "Long Stay"))</f>
        <v>Long Stay</v>
      </c>
      <c r="AF957" t="str">
        <f>IF(F957&gt;60000,"Expensive",IF(F957&gt;30000,"Moderate","Affordable"))</f>
        <v>Affordable</v>
      </c>
      <c r="AG957" t="str">
        <f>IF(J957&gt;=4.5,"Excellent",IF(J957&gt;=3.5,"Good",IF(J957&gt;=2.5,"Average","Poor")))</f>
        <v>Average</v>
      </c>
      <c r="AH957" t="str">
        <f>IF(OR(TEXT(N957,"dddd")="Saturday",TEXT(N957,"dddd")="Sunday"),"Weekend","Weekday")</f>
        <v>Weekend</v>
      </c>
    </row>
    <row r="958" spans="1:34" x14ac:dyDescent="0.3">
      <c r="A958">
        <v>973</v>
      </c>
      <c r="B958">
        <v>32</v>
      </c>
      <c r="C958" t="s">
        <v>21</v>
      </c>
      <c r="D958" t="s">
        <v>105</v>
      </c>
      <c r="E958" t="s">
        <v>106</v>
      </c>
      <c r="F958">
        <v>12000</v>
      </c>
      <c r="G958">
        <v>67</v>
      </c>
      <c r="H958" t="s">
        <v>24</v>
      </c>
      <c r="I958" t="s">
        <v>25</v>
      </c>
      <c r="J958">
        <v>4</v>
      </c>
      <c r="K958" t="s">
        <v>194</v>
      </c>
      <c r="L958" t="s">
        <v>2039</v>
      </c>
      <c r="M958" t="s">
        <v>2040</v>
      </c>
      <c r="N958" s="2">
        <v>46614</v>
      </c>
      <c r="O958" s="2">
        <v>46681</v>
      </c>
      <c r="P958" t="s">
        <v>29</v>
      </c>
      <c r="Q958" t="s">
        <v>52</v>
      </c>
      <c r="R958" t="s">
        <v>45</v>
      </c>
      <c r="S958" t="s">
        <v>84</v>
      </c>
      <c r="T958" t="s">
        <v>33</v>
      </c>
      <c r="U958" t="s">
        <v>78</v>
      </c>
      <c r="V958" t="str">
        <f>IF(B958&lt;=18,"Children",IF(B958&lt;=35,"Young adult",IF(B958&lt;=60,"Adult", "Senior Citizen")))</f>
        <v>Young adult</v>
      </c>
      <c r="W958" t="str">
        <f t="shared" si="98"/>
        <v>Aug</v>
      </c>
      <c r="X958">
        <f t="shared" si="99"/>
        <v>8</v>
      </c>
      <c r="Y958" t="str">
        <f t="shared" si="100"/>
        <v>Q3</v>
      </c>
      <c r="Z958">
        <f t="shared" si="101"/>
        <v>2027</v>
      </c>
      <c r="AA958" t="str">
        <f t="shared" si="102"/>
        <v>Sunday</v>
      </c>
      <c r="AB958">
        <f t="shared" si="103"/>
        <v>-67</v>
      </c>
      <c r="AC958" t="str">
        <f>IF(OR(D958="Heart Disease",D958="Cancer",D958="Stroke"),"High",IF(OR(D958="Diabetes",D958="Asthma"),"Medium","Low"))</f>
        <v>Low</v>
      </c>
      <c r="AD958" t="str">
        <f t="shared" si="104"/>
        <v>No</v>
      </c>
      <c r="AE958" t="str">
        <f>IF(G958&lt;=2,"Short Stay", IF(G958&lt;=7,"Normal Stay", "Long Stay"))</f>
        <v>Long Stay</v>
      </c>
      <c r="AF958" t="str">
        <f>IF(F958&gt;60000,"Expensive",IF(F958&gt;30000,"Moderate","Affordable"))</f>
        <v>Affordable</v>
      </c>
      <c r="AG958" t="str">
        <f>IF(J958&gt;=4.5,"Excellent",IF(J958&gt;=3.5,"Good",IF(J958&gt;=2.5,"Average","Poor")))</f>
        <v>Good</v>
      </c>
      <c r="AH958" t="str">
        <f>IF(OR(TEXT(N958,"dddd")="Saturday",TEXT(N958,"dddd")="Sunday"),"Weekend","Weekday")</f>
        <v>Weekend</v>
      </c>
    </row>
    <row r="959" spans="1:34" x14ac:dyDescent="0.3">
      <c r="A959">
        <v>974</v>
      </c>
      <c r="B959">
        <v>55</v>
      </c>
      <c r="C959" t="s">
        <v>35</v>
      </c>
      <c r="D959" t="s">
        <v>111</v>
      </c>
      <c r="E959" t="s">
        <v>112</v>
      </c>
      <c r="F959">
        <v>6000</v>
      </c>
      <c r="G959">
        <v>68</v>
      </c>
      <c r="H959" t="s">
        <v>24</v>
      </c>
      <c r="I959" t="s">
        <v>25</v>
      </c>
      <c r="J959">
        <v>3</v>
      </c>
      <c r="K959" t="s">
        <v>429</v>
      </c>
      <c r="L959" t="s">
        <v>2041</v>
      </c>
      <c r="M959" t="s">
        <v>2042</v>
      </c>
      <c r="N959" s="2">
        <v>46615</v>
      </c>
      <c r="O959" s="2">
        <v>46683</v>
      </c>
      <c r="P959" t="s">
        <v>29</v>
      </c>
      <c r="Q959" t="s">
        <v>71</v>
      </c>
      <c r="R959" t="s">
        <v>45</v>
      </c>
      <c r="S959" t="s">
        <v>32</v>
      </c>
      <c r="T959" t="s">
        <v>33</v>
      </c>
      <c r="U959" t="s">
        <v>104</v>
      </c>
      <c r="V959" t="str">
        <f>IF(B959&lt;=18,"Children",IF(B959&lt;=35,"Young adult",IF(B959&lt;=60,"Adult", "Senior Citizen")))</f>
        <v>Adult</v>
      </c>
      <c r="W959" t="str">
        <f t="shared" si="98"/>
        <v>Aug</v>
      </c>
      <c r="X959">
        <f t="shared" si="99"/>
        <v>8</v>
      </c>
      <c r="Y959" t="str">
        <f t="shared" si="100"/>
        <v>Q3</v>
      </c>
      <c r="Z959">
        <f t="shared" si="101"/>
        <v>2027</v>
      </c>
      <c r="AA959" t="str">
        <f t="shared" si="102"/>
        <v>Monday</v>
      </c>
      <c r="AB959">
        <f t="shared" si="103"/>
        <v>-68</v>
      </c>
      <c r="AC959" t="str">
        <f>IF(OR(D959="Heart Disease",D959="Cancer",D959="Stroke"),"High",IF(OR(D959="Diabetes",D959="Asthma"),"Medium","Low"))</f>
        <v>Low</v>
      </c>
      <c r="AD959" t="str">
        <f t="shared" si="104"/>
        <v>No</v>
      </c>
      <c r="AE959" t="str">
        <f>IF(G959&lt;=2,"Short Stay", IF(G959&lt;=7,"Normal Stay", "Long Stay"))</f>
        <v>Long Stay</v>
      </c>
      <c r="AF959" t="str">
        <f>IF(F959&gt;60000,"Expensive",IF(F959&gt;30000,"Moderate","Affordable"))</f>
        <v>Affordable</v>
      </c>
      <c r="AG959" t="str">
        <f>IF(J959&gt;=4.5,"Excellent",IF(J959&gt;=3.5,"Good",IF(J959&gt;=2.5,"Average","Poor")))</f>
        <v>Average</v>
      </c>
      <c r="AH959" t="str">
        <f>IF(OR(TEXT(N959,"dddd")="Saturday",TEXT(N959,"dddd")="Sunday"),"Weekend","Weekday")</f>
        <v>Weekday</v>
      </c>
    </row>
    <row r="960" spans="1:34" x14ac:dyDescent="0.3">
      <c r="A960">
        <v>975</v>
      </c>
      <c r="B960">
        <v>65</v>
      </c>
      <c r="C960" t="s">
        <v>21</v>
      </c>
      <c r="D960" t="s">
        <v>116</v>
      </c>
      <c r="E960" t="s">
        <v>117</v>
      </c>
      <c r="F960">
        <v>4000</v>
      </c>
      <c r="G960">
        <v>69</v>
      </c>
      <c r="H960" t="s">
        <v>24</v>
      </c>
      <c r="I960" t="s">
        <v>39</v>
      </c>
      <c r="J960">
        <v>4</v>
      </c>
      <c r="K960" t="s">
        <v>113</v>
      </c>
      <c r="L960" t="s">
        <v>2043</v>
      </c>
      <c r="M960" t="s">
        <v>2044</v>
      </c>
      <c r="N960" s="2">
        <v>46616</v>
      </c>
      <c r="O960" s="2">
        <v>46685</v>
      </c>
      <c r="P960" t="s">
        <v>43</v>
      </c>
      <c r="Q960" t="s">
        <v>71</v>
      </c>
      <c r="R960" t="s">
        <v>45</v>
      </c>
      <c r="S960" t="s">
        <v>53</v>
      </c>
      <c r="T960" t="s">
        <v>33</v>
      </c>
      <c r="U960" t="s">
        <v>46</v>
      </c>
      <c r="V960" t="str">
        <f>IF(B960&lt;=18,"Children",IF(B960&lt;=35,"Young adult",IF(B960&lt;=60,"Adult", "Senior Citizen")))</f>
        <v>Senior Citizen</v>
      </c>
      <c r="W960" t="str">
        <f t="shared" si="98"/>
        <v>Aug</v>
      </c>
      <c r="X960">
        <f t="shared" si="99"/>
        <v>8</v>
      </c>
      <c r="Y960" t="str">
        <f t="shared" si="100"/>
        <v>Q3</v>
      </c>
      <c r="Z960">
        <f t="shared" si="101"/>
        <v>2027</v>
      </c>
      <c r="AA960" t="str">
        <f t="shared" si="102"/>
        <v>Tuesday</v>
      </c>
      <c r="AB960">
        <f t="shared" si="103"/>
        <v>-69</v>
      </c>
      <c r="AC960" t="str">
        <f>IF(OR(D960="Heart Disease",D960="Cancer",D960="Stroke"),"High",IF(OR(D960="Diabetes",D960="Asthma"),"Medium","Low"))</f>
        <v>Low</v>
      </c>
      <c r="AD960" t="str">
        <f t="shared" si="104"/>
        <v>No</v>
      </c>
      <c r="AE960" t="str">
        <f>IF(G960&lt;=2,"Short Stay", IF(G960&lt;=7,"Normal Stay", "Long Stay"))</f>
        <v>Long Stay</v>
      </c>
      <c r="AF960" t="str">
        <f>IF(F960&gt;60000,"Expensive",IF(F960&gt;30000,"Moderate","Affordable"))</f>
        <v>Affordable</v>
      </c>
      <c r="AG960" t="str">
        <f>IF(J960&gt;=4.5,"Excellent",IF(J960&gt;=3.5,"Good",IF(J960&gt;=2.5,"Average","Poor")))</f>
        <v>Good</v>
      </c>
      <c r="AH960" t="str">
        <f>IF(OR(TEXT(N960,"dddd")="Saturday",TEXT(N960,"dddd")="Sunday"),"Weekend","Weekday")</f>
        <v>Weekday</v>
      </c>
    </row>
    <row r="961" spans="1:34" x14ac:dyDescent="0.3">
      <c r="A961">
        <v>976</v>
      </c>
      <c r="B961">
        <v>55</v>
      </c>
      <c r="C961" t="s">
        <v>21</v>
      </c>
      <c r="D961" t="s">
        <v>22</v>
      </c>
      <c r="E961" t="s">
        <v>23</v>
      </c>
      <c r="F961">
        <v>15000</v>
      </c>
      <c r="G961">
        <v>70</v>
      </c>
      <c r="H961" t="s">
        <v>38</v>
      </c>
      <c r="I961" t="s">
        <v>25</v>
      </c>
      <c r="J961">
        <v>3</v>
      </c>
      <c r="K961" t="s">
        <v>68</v>
      </c>
      <c r="L961" t="s">
        <v>2045</v>
      </c>
      <c r="M961" t="s">
        <v>2046</v>
      </c>
      <c r="N961" s="2">
        <v>46617</v>
      </c>
      <c r="O961" s="2">
        <v>46687</v>
      </c>
      <c r="P961" t="s">
        <v>29</v>
      </c>
      <c r="Q961" t="s">
        <v>52</v>
      </c>
      <c r="R961" t="s">
        <v>31</v>
      </c>
      <c r="S961" t="s">
        <v>72</v>
      </c>
      <c r="T961" t="s">
        <v>33</v>
      </c>
      <c r="U961" t="s">
        <v>46</v>
      </c>
      <c r="V961" t="str">
        <f>IF(B961&lt;=18,"Children",IF(B961&lt;=35,"Young adult",IF(B961&lt;=60,"Adult", "Senior Citizen")))</f>
        <v>Adult</v>
      </c>
      <c r="W961" t="str">
        <f t="shared" si="98"/>
        <v>Aug</v>
      </c>
      <c r="X961">
        <f t="shared" si="99"/>
        <v>8</v>
      </c>
      <c r="Y961" t="str">
        <f t="shared" si="100"/>
        <v>Q3</v>
      </c>
      <c r="Z961">
        <f t="shared" si="101"/>
        <v>2027</v>
      </c>
      <c r="AA961" t="str">
        <f t="shared" si="102"/>
        <v>Wednesday</v>
      </c>
      <c r="AB961">
        <f t="shared" si="103"/>
        <v>-70</v>
      </c>
      <c r="AC961" t="str">
        <f>IF(OR(D961="Heart Disease",D961="Cancer",D961="Stroke"),"High",IF(OR(D961="Diabetes",D961="Asthma"),"Medium","Low"))</f>
        <v>High</v>
      </c>
      <c r="AD961" t="str">
        <f t="shared" si="104"/>
        <v>Yes</v>
      </c>
      <c r="AE961" t="str">
        <f>IF(G961&lt;=2,"Short Stay", IF(G961&lt;=7,"Normal Stay", "Long Stay"))</f>
        <v>Long Stay</v>
      </c>
      <c r="AF961" t="str">
        <f>IF(F961&gt;60000,"Expensive",IF(F961&gt;30000,"Moderate","Affordable"))</f>
        <v>Affordable</v>
      </c>
      <c r="AG961" t="str">
        <f>IF(J961&gt;=4.5,"Excellent",IF(J961&gt;=3.5,"Good",IF(J961&gt;=2.5,"Average","Poor")))</f>
        <v>Average</v>
      </c>
      <c r="AH961" t="str">
        <f>IF(OR(TEXT(N961,"dddd")="Saturday",TEXT(N961,"dddd")="Sunday"),"Weekend","Weekday")</f>
        <v>Weekday</v>
      </c>
    </row>
    <row r="962" spans="1:34" x14ac:dyDescent="0.3">
      <c r="A962">
        <v>977</v>
      </c>
      <c r="B962">
        <v>62</v>
      </c>
      <c r="C962" t="s">
        <v>35</v>
      </c>
      <c r="D962" t="s">
        <v>36</v>
      </c>
      <c r="E962" t="s">
        <v>37</v>
      </c>
      <c r="F962">
        <v>2000</v>
      </c>
      <c r="G962">
        <v>68</v>
      </c>
      <c r="H962" t="s">
        <v>24</v>
      </c>
      <c r="I962" t="s">
        <v>39</v>
      </c>
      <c r="J962">
        <v>4</v>
      </c>
      <c r="K962" t="s">
        <v>157</v>
      </c>
      <c r="L962" t="s">
        <v>2047</v>
      </c>
      <c r="M962" t="s">
        <v>2048</v>
      </c>
      <c r="N962" s="2">
        <v>46618</v>
      </c>
      <c r="O962" s="2">
        <v>46686</v>
      </c>
      <c r="P962" t="s">
        <v>43</v>
      </c>
      <c r="Q962" t="s">
        <v>139</v>
      </c>
      <c r="R962" t="s">
        <v>45</v>
      </c>
      <c r="S962" t="s">
        <v>53</v>
      </c>
      <c r="T962" t="s">
        <v>33</v>
      </c>
      <c r="U962" t="s">
        <v>78</v>
      </c>
      <c r="V962" t="str">
        <f>IF(B962&lt;=18,"Children",IF(B962&lt;=35,"Young adult",IF(B962&lt;=60,"Adult", "Senior Citizen")))</f>
        <v>Senior Citizen</v>
      </c>
      <c r="W962" t="str">
        <f t="shared" si="98"/>
        <v>Aug</v>
      </c>
      <c r="X962">
        <f t="shared" si="99"/>
        <v>8</v>
      </c>
      <c r="Y962" t="str">
        <f t="shared" si="100"/>
        <v>Q3</v>
      </c>
      <c r="Z962">
        <f t="shared" si="101"/>
        <v>2027</v>
      </c>
      <c r="AA962" t="str">
        <f t="shared" si="102"/>
        <v>Thursday</v>
      </c>
      <c r="AB962">
        <f t="shared" si="103"/>
        <v>-68</v>
      </c>
      <c r="AC962" t="str">
        <f>IF(OR(D962="Heart Disease",D962="Cancer",D962="Stroke"),"High",IF(OR(D962="Diabetes",D962="Asthma"),"Medium","Low"))</f>
        <v>Medium</v>
      </c>
      <c r="AD962" t="str">
        <f t="shared" si="104"/>
        <v>No</v>
      </c>
      <c r="AE962" t="str">
        <f>IF(G962&lt;=2,"Short Stay", IF(G962&lt;=7,"Normal Stay", "Long Stay"))</f>
        <v>Long Stay</v>
      </c>
      <c r="AF962" t="str">
        <f>IF(F962&gt;60000,"Expensive",IF(F962&gt;30000,"Moderate","Affordable"))</f>
        <v>Affordable</v>
      </c>
      <c r="AG962" t="str">
        <f>IF(J962&gt;=4.5,"Excellent",IF(J962&gt;=3.5,"Good",IF(J962&gt;=2.5,"Average","Poor")))</f>
        <v>Good</v>
      </c>
      <c r="AH962" t="str">
        <f>IF(OR(TEXT(N962,"dddd")="Saturday",TEXT(N962,"dddd")="Sunday"),"Weekend","Weekday")</f>
        <v>Weekday</v>
      </c>
    </row>
    <row r="963" spans="1:34" x14ac:dyDescent="0.3">
      <c r="A963">
        <v>978</v>
      </c>
      <c r="B963">
        <v>35</v>
      </c>
      <c r="C963" t="s">
        <v>21</v>
      </c>
      <c r="D963" t="s">
        <v>47</v>
      </c>
      <c r="E963" t="s">
        <v>48</v>
      </c>
      <c r="F963">
        <v>500</v>
      </c>
      <c r="G963">
        <v>66</v>
      </c>
      <c r="H963" t="s">
        <v>38</v>
      </c>
      <c r="I963" t="s">
        <v>25</v>
      </c>
      <c r="J963">
        <v>5</v>
      </c>
      <c r="K963" t="s">
        <v>49</v>
      </c>
      <c r="L963" t="s">
        <v>2049</v>
      </c>
      <c r="M963" t="s">
        <v>2050</v>
      </c>
      <c r="N963" s="2">
        <v>46619</v>
      </c>
      <c r="O963" s="2">
        <v>46685</v>
      </c>
      <c r="P963" t="s">
        <v>43</v>
      </c>
      <c r="Q963" t="s">
        <v>52</v>
      </c>
      <c r="R963" t="s">
        <v>45</v>
      </c>
      <c r="S963" t="s">
        <v>77</v>
      </c>
      <c r="T963" t="s">
        <v>33</v>
      </c>
      <c r="U963" t="s">
        <v>78</v>
      </c>
      <c r="V963" t="str">
        <f>IF(B963&lt;=18,"Children",IF(B963&lt;=35,"Young adult",IF(B963&lt;=60,"Adult", "Senior Citizen")))</f>
        <v>Young adult</v>
      </c>
      <c r="W963" t="str">
        <f t="shared" ref="W963:W985" si="105">TEXT(N963,"MMM")</f>
        <v>Aug</v>
      </c>
      <c r="X963">
        <f t="shared" ref="X963:X985" si="106">MONTH(N963)</f>
        <v>8</v>
      </c>
      <c r="Y963" t="str">
        <f t="shared" ref="Y963:Y985" si="107">"Q"&amp;ROUNDUP(MONTH(N963)/3,0)</f>
        <v>Q3</v>
      </c>
      <c r="Z963">
        <f t="shared" ref="Z963:Z985" si="108">YEAR(N963)</f>
        <v>2027</v>
      </c>
      <c r="AA963" t="str">
        <f t="shared" ref="AA963:AA985" si="109">TEXT(N963, "dddd")</f>
        <v>Friday</v>
      </c>
      <c r="AB963">
        <f t="shared" ref="AB963:AB985" si="110">N963-O963</f>
        <v>-66</v>
      </c>
      <c r="AC963" t="str">
        <f>IF(OR(D963="Heart Disease",D963="Cancer",D963="Stroke"),"High",IF(OR(D963="Diabetes",D963="Asthma"),"Medium","Low"))</f>
        <v>Low</v>
      </c>
      <c r="AD963" t="str">
        <f t="shared" ref="AD963:AD985" si="111">IF(AC963="High","Yes","No")</f>
        <v>No</v>
      </c>
      <c r="AE963" t="str">
        <f>IF(G963&lt;=2,"Short Stay", IF(G963&lt;=7,"Normal Stay", "Long Stay"))</f>
        <v>Long Stay</v>
      </c>
      <c r="AF963" t="str">
        <f>IF(F963&gt;60000,"Expensive",IF(F963&gt;30000,"Moderate","Affordable"))</f>
        <v>Affordable</v>
      </c>
      <c r="AG963" t="str">
        <f>IF(J963&gt;=4.5,"Excellent",IF(J963&gt;=3.5,"Good",IF(J963&gt;=2.5,"Average","Poor")))</f>
        <v>Excellent</v>
      </c>
      <c r="AH963" t="str">
        <f>IF(OR(TEXT(N963,"dddd")="Saturday",TEXT(N963,"dddd")="Sunday"),"Weekend","Weekday")</f>
        <v>Weekday</v>
      </c>
    </row>
    <row r="964" spans="1:34" x14ac:dyDescent="0.3">
      <c r="A964">
        <v>979</v>
      </c>
      <c r="B964">
        <v>78</v>
      </c>
      <c r="C964" t="s">
        <v>35</v>
      </c>
      <c r="D964" t="s">
        <v>54</v>
      </c>
      <c r="E964" t="s">
        <v>55</v>
      </c>
      <c r="F964">
        <v>10000</v>
      </c>
      <c r="G964">
        <v>73</v>
      </c>
      <c r="H964" t="s">
        <v>24</v>
      </c>
      <c r="I964" t="s">
        <v>39</v>
      </c>
      <c r="J964">
        <v>2</v>
      </c>
      <c r="K964" t="s">
        <v>157</v>
      </c>
      <c r="L964" t="s">
        <v>2051</v>
      </c>
      <c r="M964" t="s">
        <v>2052</v>
      </c>
      <c r="N964" s="2">
        <v>46620</v>
      </c>
      <c r="O964" s="2">
        <v>46693</v>
      </c>
      <c r="P964" t="s">
        <v>43</v>
      </c>
      <c r="Q964" t="s">
        <v>44</v>
      </c>
      <c r="R964" t="s">
        <v>59</v>
      </c>
      <c r="S964" t="s">
        <v>72</v>
      </c>
      <c r="T964" t="s">
        <v>33</v>
      </c>
      <c r="U964" t="s">
        <v>104</v>
      </c>
      <c r="V964" t="str">
        <f>IF(B964&lt;=18,"Children",IF(B964&lt;=35,"Young adult",IF(B964&lt;=60,"Adult", "Senior Citizen")))</f>
        <v>Senior Citizen</v>
      </c>
      <c r="W964" t="str">
        <f t="shared" si="105"/>
        <v>Aug</v>
      </c>
      <c r="X964">
        <f t="shared" si="106"/>
        <v>8</v>
      </c>
      <c r="Y964" t="str">
        <f t="shared" si="107"/>
        <v>Q3</v>
      </c>
      <c r="Z964">
        <f t="shared" si="108"/>
        <v>2027</v>
      </c>
      <c r="AA964" t="str">
        <f t="shared" si="109"/>
        <v>Saturday</v>
      </c>
      <c r="AB964">
        <f t="shared" si="110"/>
        <v>-73</v>
      </c>
      <c r="AC964" t="str">
        <f>IF(OR(D964="Heart Disease",D964="Cancer",D964="Stroke"),"High",IF(OR(D964="Diabetes",D964="Asthma"),"Medium","Low"))</f>
        <v>High</v>
      </c>
      <c r="AD964" t="str">
        <f t="shared" si="111"/>
        <v>Yes</v>
      </c>
      <c r="AE964" t="str">
        <f>IF(G964&lt;=2,"Short Stay", IF(G964&lt;=7,"Normal Stay", "Long Stay"))</f>
        <v>Long Stay</v>
      </c>
      <c r="AF964" t="str">
        <f>IF(F964&gt;60000,"Expensive",IF(F964&gt;30000,"Moderate","Affordable"))</f>
        <v>Affordable</v>
      </c>
      <c r="AG964" t="str">
        <f>IF(J964&gt;=4.5,"Excellent",IF(J964&gt;=3.5,"Good",IF(J964&gt;=2.5,"Average","Poor")))</f>
        <v>Poor</v>
      </c>
      <c r="AH964" t="str">
        <f>IF(OR(TEXT(N964,"dddd")="Saturday",TEXT(N964,"dddd")="Sunday"),"Weekend","Weekday")</f>
        <v>Weekend</v>
      </c>
    </row>
    <row r="965" spans="1:34" x14ac:dyDescent="0.3">
      <c r="A965">
        <v>980</v>
      </c>
      <c r="B965">
        <v>53</v>
      </c>
      <c r="C965" t="s">
        <v>21</v>
      </c>
      <c r="D965" t="s">
        <v>60</v>
      </c>
      <c r="E965" t="s">
        <v>61</v>
      </c>
      <c r="F965">
        <v>25000</v>
      </c>
      <c r="G965">
        <v>75</v>
      </c>
      <c r="H965" t="s">
        <v>38</v>
      </c>
      <c r="I965" t="s">
        <v>25</v>
      </c>
      <c r="J965">
        <v>4</v>
      </c>
      <c r="K965" t="s">
        <v>91</v>
      </c>
      <c r="L965" t="s">
        <v>2053</v>
      </c>
      <c r="M965" t="s">
        <v>2054</v>
      </c>
      <c r="N965" s="2">
        <v>46621</v>
      </c>
      <c r="O965" s="2">
        <v>46696</v>
      </c>
      <c r="P965" t="s">
        <v>43</v>
      </c>
      <c r="Q965" t="s">
        <v>71</v>
      </c>
      <c r="R965" t="s">
        <v>65</v>
      </c>
      <c r="S965" t="s">
        <v>77</v>
      </c>
      <c r="T965" t="s">
        <v>33</v>
      </c>
      <c r="U965" t="s">
        <v>78</v>
      </c>
      <c r="V965" t="str">
        <f>IF(B965&lt;=18,"Children",IF(B965&lt;=35,"Young adult",IF(B965&lt;=60,"Adult", "Senior Citizen")))</f>
        <v>Adult</v>
      </c>
      <c r="W965" t="str">
        <f t="shared" si="105"/>
        <v>Aug</v>
      </c>
      <c r="X965">
        <f t="shared" si="106"/>
        <v>8</v>
      </c>
      <c r="Y965" t="str">
        <f t="shared" si="107"/>
        <v>Q3</v>
      </c>
      <c r="Z965">
        <f t="shared" si="108"/>
        <v>2027</v>
      </c>
      <c r="AA965" t="str">
        <f t="shared" si="109"/>
        <v>Sunday</v>
      </c>
      <c r="AB965">
        <f t="shared" si="110"/>
        <v>-75</v>
      </c>
      <c r="AC965" t="str">
        <f>IF(OR(D965="Heart Disease",D965="Cancer",D965="Stroke"),"High",IF(OR(D965="Diabetes",D965="Asthma"),"Medium","Low"))</f>
        <v>High</v>
      </c>
      <c r="AD965" t="str">
        <f t="shared" si="111"/>
        <v>Yes</v>
      </c>
      <c r="AE965" t="str">
        <f>IF(G965&lt;=2,"Short Stay", IF(G965&lt;=7,"Normal Stay", "Long Stay"))</f>
        <v>Long Stay</v>
      </c>
      <c r="AF965" t="str">
        <f>IF(F965&gt;60000,"Expensive",IF(F965&gt;30000,"Moderate","Affordable"))</f>
        <v>Affordable</v>
      </c>
      <c r="AG965" t="str">
        <f>IF(J965&gt;=4.5,"Excellent",IF(J965&gt;=3.5,"Good",IF(J965&gt;=2.5,"Average","Poor")))</f>
        <v>Good</v>
      </c>
      <c r="AH965" t="str">
        <f>IF(OR(TEXT(N965,"dddd")="Saturday",TEXT(N965,"dddd")="Sunday"),"Weekend","Weekday")</f>
        <v>Weekend</v>
      </c>
    </row>
    <row r="966" spans="1:34" x14ac:dyDescent="0.3">
      <c r="A966">
        <v>981</v>
      </c>
      <c r="B966">
        <v>72</v>
      </c>
      <c r="C966" t="s">
        <v>35</v>
      </c>
      <c r="D966" t="s">
        <v>66</v>
      </c>
      <c r="E966" t="s">
        <v>67</v>
      </c>
      <c r="F966">
        <v>1000</v>
      </c>
      <c r="G966">
        <v>69</v>
      </c>
      <c r="H966" t="s">
        <v>24</v>
      </c>
      <c r="I966" t="s">
        <v>39</v>
      </c>
      <c r="J966">
        <v>4</v>
      </c>
      <c r="K966" t="s">
        <v>128</v>
      </c>
      <c r="L966" t="s">
        <v>2055</v>
      </c>
      <c r="M966" t="s">
        <v>2056</v>
      </c>
      <c r="N966" s="2">
        <v>46622</v>
      </c>
      <c r="O966" s="2">
        <v>46691</v>
      </c>
      <c r="P966" t="s">
        <v>29</v>
      </c>
      <c r="Q966" t="s">
        <v>30</v>
      </c>
      <c r="R966" t="s">
        <v>45</v>
      </c>
      <c r="S966" t="s">
        <v>53</v>
      </c>
      <c r="T966" t="s">
        <v>33</v>
      </c>
      <c r="U966" t="s">
        <v>34</v>
      </c>
      <c r="V966" t="str">
        <f>IF(B966&lt;=18,"Children",IF(B966&lt;=35,"Young adult",IF(B966&lt;=60,"Adult", "Senior Citizen")))</f>
        <v>Senior Citizen</v>
      </c>
      <c r="W966" t="str">
        <f t="shared" si="105"/>
        <v>Aug</v>
      </c>
      <c r="X966">
        <f t="shared" si="106"/>
        <v>8</v>
      </c>
      <c r="Y966" t="str">
        <f t="shared" si="107"/>
        <v>Q3</v>
      </c>
      <c r="Z966">
        <f t="shared" si="108"/>
        <v>2027</v>
      </c>
      <c r="AA966" t="str">
        <f t="shared" si="109"/>
        <v>Monday</v>
      </c>
      <c r="AB966">
        <f t="shared" si="110"/>
        <v>-69</v>
      </c>
      <c r="AC966" t="str">
        <f>IF(OR(D966="Heart Disease",D966="Cancer",D966="Stroke"),"High",IF(OR(D966="Diabetes",D966="Asthma"),"Medium","Low"))</f>
        <v>Low</v>
      </c>
      <c r="AD966" t="str">
        <f t="shared" si="111"/>
        <v>No</v>
      </c>
      <c r="AE966" t="str">
        <f>IF(G966&lt;=2,"Short Stay", IF(G966&lt;=7,"Normal Stay", "Long Stay"))</f>
        <v>Long Stay</v>
      </c>
      <c r="AF966" t="str">
        <f>IF(F966&gt;60000,"Expensive",IF(F966&gt;30000,"Moderate","Affordable"))</f>
        <v>Affordable</v>
      </c>
      <c r="AG966" t="str">
        <f>IF(J966&gt;=4.5,"Excellent",IF(J966&gt;=3.5,"Good",IF(J966&gt;=2.5,"Average","Poor")))</f>
        <v>Good</v>
      </c>
      <c r="AH966" t="str">
        <f>IF(OR(TEXT(N966,"dddd")="Saturday",TEXT(N966,"dddd")="Sunday"),"Weekend","Weekday")</f>
        <v>Weekday</v>
      </c>
    </row>
    <row r="967" spans="1:34" x14ac:dyDescent="0.3">
      <c r="A967">
        <v>982</v>
      </c>
      <c r="B967">
        <v>60</v>
      </c>
      <c r="C967" t="s">
        <v>21</v>
      </c>
      <c r="D967" t="s">
        <v>73</v>
      </c>
      <c r="E967" t="s">
        <v>74</v>
      </c>
      <c r="F967">
        <v>8000</v>
      </c>
      <c r="G967">
        <v>71</v>
      </c>
      <c r="H967" t="s">
        <v>38</v>
      </c>
      <c r="I967" t="s">
        <v>25</v>
      </c>
      <c r="J967">
        <v>3</v>
      </c>
      <c r="K967" t="s">
        <v>345</v>
      </c>
      <c r="L967" t="s">
        <v>2057</v>
      </c>
      <c r="M967" t="s">
        <v>2058</v>
      </c>
      <c r="N967" s="2">
        <v>46623</v>
      </c>
      <c r="O967" s="2">
        <v>46694</v>
      </c>
      <c r="P967" t="s">
        <v>43</v>
      </c>
      <c r="Q967" t="s">
        <v>30</v>
      </c>
      <c r="R967" t="s">
        <v>45</v>
      </c>
      <c r="S967" t="s">
        <v>72</v>
      </c>
      <c r="T967" t="s">
        <v>33</v>
      </c>
      <c r="U967" t="s">
        <v>46</v>
      </c>
      <c r="V967" t="str">
        <f>IF(B967&lt;=18,"Children",IF(B967&lt;=35,"Young adult",IF(B967&lt;=60,"Adult", "Senior Citizen")))</f>
        <v>Adult</v>
      </c>
      <c r="W967" t="str">
        <f t="shared" si="105"/>
        <v>Aug</v>
      </c>
      <c r="X967">
        <f t="shared" si="106"/>
        <v>8</v>
      </c>
      <c r="Y967" t="str">
        <f t="shared" si="107"/>
        <v>Q3</v>
      </c>
      <c r="Z967">
        <f t="shared" si="108"/>
        <v>2027</v>
      </c>
      <c r="AA967" t="str">
        <f t="shared" si="109"/>
        <v>Tuesday</v>
      </c>
      <c r="AB967">
        <f t="shared" si="110"/>
        <v>-71</v>
      </c>
      <c r="AC967" t="str">
        <f>IF(OR(D967="Heart Disease",D967="Cancer",D967="Stroke"),"High",IF(OR(D967="Diabetes",D967="Asthma"),"Medium","Low"))</f>
        <v>Low</v>
      </c>
      <c r="AD967" t="str">
        <f t="shared" si="111"/>
        <v>No</v>
      </c>
      <c r="AE967" t="str">
        <f>IF(G967&lt;=2,"Short Stay", IF(G967&lt;=7,"Normal Stay", "Long Stay"))</f>
        <v>Long Stay</v>
      </c>
      <c r="AF967" t="str">
        <f>IF(F967&gt;60000,"Expensive",IF(F967&gt;30000,"Moderate","Affordable"))</f>
        <v>Affordable</v>
      </c>
      <c r="AG967" t="str">
        <f>IF(J967&gt;=4.5,"Excellent",IF(J967&gt;=3.5,"Good",IF(J967&gt;=2.5,"Average","Poor")))</f>
        <v>Average</v>
      </c>
      <c r="AH967" t="str">
        <f>IF(OR(TEXT(N967,"dddd")="Saturday",TEXT(N967,"dddd")="Sunday"),"Weekend","Weekday")</f>
        <v>Weekday</v>
      </c>
    </row>
    <row r="968" spans="1:34" x14ac:dyDescent="0.3">
      <c r="A968">
        <v>983</v>
      </c>
      <c r="B968">
        <v>45</v>
      </c>
      <c r="C968" t="s">
        <v>35</v>
      </c>
      <c r="D968" t="s">
        <v>79</v>
      </c>
      <c r="E968" t="s">
        <v>80</v>
      </c>
      <c r="F968">
        <v>3000</v>
      </c>
      <c r="G968">
        <v>71</v>
      </c>
      <c r="H968" t="s">
        <v>24</v>
      </c>
      <c r="I968" t="s">
        <v>25</v>
      </c>
      <c r="J968">
        <v>4</v>
      </c>
      <c r="K968" t="s">
        <v>482</v>
      </c>
      <c r="L968" t="s">
        <v>2059</v>
      </c>
      <c r="M968" t="s">
        <v>2060</v>
      </c>
      <c r="N968" s="2">
        <v>46624</v>
      </c>
      <c r="O968" s="2">
        <v>46695</v>
      </c>
      <c r="P968" t="s">
        <v>43</v>
      </c>
      <c r="Q968" t="s">
        <v>52</v>
      </c>
      <c r="R968" t="s">
        <v>45</v>
      </c>
      <c r="S968" t="s">
        <v>53</v>
      </c>
      <c r="T968" t="s">
        <v>33</v>
      </c>
      <c r="U968" t="s">
        <v>104</v>
      </c>
      <c r="V968" t="str">
        <f>IF(B968&lt;=18,"Children",IF(B968&lt;=35,"Young adult",IF(B968&lt;=60,"Adult", "Senior Citizen")))</f>
        <v>Adult</v>
      </c>
      <c r="W968" t="str">
        <f t="shared" si="105"/>
        <v>Aug</v>
      </c>
      <c r="X968">
        <f t="shared" si="106"/>
        <v>8</v>
      </c>
      <c r="Y968" t="str">
        <f t="shared" si="107"/>
        <v>Q3</v>
      </c>
      <c r="Z968">
        <f t="shared" si="108"/>
        <v>2027</v>
      </c>
      <c r="AA968" t="str">
        <f t="shared" si="109"/>
        <v>Wednesday</v>
      </c>
      <c r="AB968">
        <f t="shared" si="110"/>
        <v>-71</v>
      </c>
      <c r="AC968" t="str">
        <f>IF(OR(D968="Heart Disease",D968="Cancer",D968="Stroke"),"High",IF(OR(D968="Diabetes",D968="Asthma"),"Medium","Low"))</f>
        <v>Low</v>
      </c>
      <c r="AD968" t="str">
        <f t="shared" si="111"/>
        <v>No</v>
      </c>
      <c r="AE968" t="str">
        <f>IF(G968&lt;=2,"Short Stay", IF(G968&lt;=7,"Normal Stay", "Long Stay"))</f>
        <v>Long Stay</v>
      </c>
      <c r="AF968" t="str">
        <f>IF(F968&gt;60000,"Expensive",IF(F968&gt;30000,"Moderate","Affordable"))</f>
        <v>Affordable</v>
      </c>
      <c r="AG968" t="str">
        <f>IF(J968&gt;=4.5,"Excellent",IF(J968&gt;=3.5,"Good",IF(J968&gt;=2.5,"Average","Poor")))</f>
        <v>Good</v>
      </c>
      <c r="AH968" t="str">
        <f>IF(OR(TEXT(N968,"dddd")="Saturday",TEXT(N968,"dddd")="Sunday"),"Weekend","Weekday")</f>
        <v>Weekday</v>
      </c>
    </row>
    <row r="969" spans="1:34" x14ac:dyDescent="0.3">
      <c r="A969">
        <v>984</v>
      </c>
      <c r="B969">
        <v>75</v>
      </c>
      <c r="C969" t="s">
        <v>21</v>
      </c>
      <c r="D969" t="s">
        <v>85</v>
      </c>
      <c r="E969" t="s">
        <v>86</v>
      </c>
      <c r="F969">
        <v>18000</v>
      </c>
      <c r="G969">
        <v>73</v>
      </c>
      <c r="H969" t="s">
        <v>38</v>
      </c>
      <c r="I969" t="s">
        <v>39</v>
      </c>
      <c r="J969">
        <v>2</v>
      </c>
      <c r="K969" t="s">
        <v>120</v>
      </c>
      <c r="L969" t="s">
        <v>2061</v>
      </c>
      <c r="M969" t="s">
        <v>2062</v>
      </c>
      <c r="N969" s="2">
        <v>46625</v>
      </c>
      <c r="O969" s="2">
        <v>46698</v>
      </c>
      <c r="P969" t="s">
        <v>43</v>
      </c>
      <c r="Q969" t="s">
        <v>30</v>
      </c>
      <c r="R969" t="s">
        <v>45</v>
      </c>
      <c r="S969" t="s">
        <v>53</v>
      </c>
      <c r="T969" t="s">
        <v>33</v>
      </c>
      <c r="U969" t="s">
        <v>104</v>
      </c>
      <c r="V969" t="str">
        <f>IF(B969&lt;=18,"Children",IF(B969&lt;=35,"Young adult",IF(B969&lt;=60,"Adult", "Senior Citizen")))</f>
        <v>Senior Citizen</v>
      </c>
      <c r="W969" t="str">
        <f t="shared" si="105"/>
        <v>Aug</v>
      </c>
      <c r="X969">
        <f t="shared" si="106"/>
        <v>8</v>
      </c>
      <c r="Y969" t="str">
        <f t="shared" si="107"/>
        <v>Q3</v>
      </c>
      <c r="Z969">
        <f t="shared" si="108"/>
        <v>2027</v>
      </c>
      <c r="AA969" t="str">
        <f t="shared" si="109"/>
        <v>Thursday</v>
      </c>
      <c r="AB969">
        <f t="shared" si="110"/>
        <v>-73</v>
      </c>
      <c r="AC969" t="str">
        <f>IF(OR(D969="Heart Disease",D969="Cancer",D969="Stroke"),"High",IF(OR(D969="Diabetes",D969="Asthma"),"Medium","Low"))</f>
        <v>Low</v>
      </c>
      <c r="AD969" t="str">
        <f t="shared" si="111"/>
        <v>No</v>
      </c>
      <c r="AE969" t="str">
        <f>IF(G969&lt;=2,"Short Stay", IF(G969&lt;=7,"Normal Stay", "Long Stay"))</f>
        <v>Long Stay</v>
      </c>
      <c r="AF969" t="str">
        <f>IF(F969&gt;60000,"Expensive",IF(F969&gt;30000,"Moderate","Affordable"))</f>
        <v>Affordable</v>
      </c>
      <c r="AG969" t="str">
        <f>IF(J969&gt;=4.5,"Excellent",IF(J969&gt;=3.5,"Good",IF(J969&gt;=2.5,"Average","Poor")))</f>
        <v>Poor</v>
      </c>
      <c r="AH969" t="str">
        <f>IF(OR(TEXT(N969,"dddd")="Saturday",TEXT(N969,"dddd")="Sunday"),"Weekend","Weekday")</f>
        <v>Weekday</v>
      </c>
    </row>
    <row r="970" spans="1:34" x14ac:dyDescent="0.3">
      <c r="A970">
        <v>985</v>
      </c>
      <c r="B970">
        <v>28</v>
      </c>
      <c r="C970" t="s">
        <v>35</v>
      </c>
      <c r="D970" t="s">
        <v>89</v>
      </c>
      <c r="E970" t="s">
        <v>90</v>
      </c>
      <c r="F970">
        <v>100</v>
      </c>
      <c r="G970">
        <v>67</v>
      </c>
      <c r="H970" t="s">
        <v>24</v>
      </c>
      <c r="I970" t="s">
        <v>25</v>
      </c>
      <c r="J970">
        <v>5</v>
      </c>
      <c r="K970" t="s">
        <v>120</v>
      </c>
      <c r="L970" t="s">
        <v>2063</v>
      </c>
      <c r="M970" t="s">
        <v>2064</v>
      </c>
      <c r="N970" s="2">
        <v>46626</v>
      </c>
      <c r="O970" s="2">
        <v>46693</v>
      </c>
      <c r="P970" t="s">
        <v>29</v>
      </c>
      <c r="Q970" t="s">
        <v>30</v>
      </c>
      <c r="R970" t="s">
        <v>45</v>
      </c>
      <c r="S970" t="s">
        <v>77</v>
      </c>
      <c r="T970" t="s">
        <v>33</v>
      </c>
      <c r="U970" t="s">
        <v>104</v>
      </c>
      <c r="V970" t="str">
        <f>IF(B970&lt;=18,"Children",IF(B970&lt;=35,"Young adult",IF(B970&lt;=60,"Adult", "Senior Citizen")))</f>
        <v>Young adult</v>
      </c>
      <c r="W970" t="str">
        <f t="shared" si="105"/>
        <v>Aug</v>
      </c>
      <c r="X970">
        <f t="shared" si="106"/>
        <v>8</v>
      </c>
      <c r="Y970" t="str">
        <f t="shared" si="107"/>
        <v>Q3</v>
      </c>
      <c r="Z970">
        <f t="shared" si="108"/>
        <v>2027</v>
      </c>
      <c r="AA970" t="str">
        <f t="shared" si="109"/>
        <v>Friday</v>
      </c>
      <c r="AB970">
        <f t="shared" si="110"/>
        <v>-67</v>
      </c>
      <c r="AC970" t="str">
        <f>IF(OR(D970="Heart Disease",D970="Cancer",D970="Stroke"),"High",IF(OR(D970="Diabetes",D970="Asthma"),"Medium","Low"))</f>
        <v>Low</v>
      </c>
      <c r="AD970" t="str">
        <f t="shared" si="111"/>
        <v>No</v>
      </c>
      <c r="AE970" t="str">
        <f>IF(G970&lt;=2,"Short Stay", IF(G970&lt;=7,"Normal Stay", "Long Stay"))</f>
        <v>Long Stay</v>
      </c>
      <c r="AF970" t="str">
        <f>IF(F970&gt;60000,"Expensive",IF(F970&gt;30000,"Moderate","Affordable"))</f>
        <v>Affordable</v>
      </c>
      <c r="AG970" t="str">
        <f>IF(J970&gt;=4.5,"Excellent",IF(J970&gt;=3.5,"Good",IF(J970&gt;=2.5,"Average","Poor")))</f>
        <v>Excellent</v>
      </c>
      <c r="AH970" t="str">
        <f>IF(OR(TEXT(N970,"dddd")="Saturday",TEXT(N970,"dddd")="Sunday"),"Weekend","Weekday")</f>
        <v>Weekday</v>
      </c>
    </row>
    <row r="971" spans="1:34" x14ac:dyDescent="0.3">
      <c r="A971">
        <v>986</v>
      </c>
      <c r="B971">
        <v>52</v>
      </c>
      <c r="C971" t="s">
        <v>21</v>
      </c>
      <c r="D971" t="s">
        <v>94</v>
      </c>
      <c r="E971" t="s">
        <v>95</v>
      </c>
      <c r="F971">
        <v>800</v>
      </c>
      <c r="G971">
        <v>68</v>
      </c>
      <c r="H971" t="s">
        <v>24</v>
      </c>
      <c r="I971" t="s">
        <v>39</v>
      </c>
      <c r="J971">
        <v>4</v>
      </c>
      <c r="K971" t="s">
        <v>40</v>
      </c>
      <c r="L971" t="s">
        <v>2065</v>
      </c>
      <c r="M971" t="s">
        <v>2066</v>
      </c>
      <c r="N971" s="2">
        <v>46627</v>
      </c>
      <c r="O971" s="2">
        <v>46695</v>
      </c>
      <c r="P971" t="s">
        <v>43</v>
      </c>
      <c r="Q971" t="s">
        <v>52</v>
      </c>
      <c r="R971" t="s">
        <v>45</v>
      </c>
      <c r="S971" t="s">
        <v>110</v>
      </c>
      <c r="T971" t="s">
        <v>33</v>
      </c>
      <c r="U971" t="s">
        <v>104</v>
      </c>
      <c r="V971" t="str">
        <f>IF(B971&lt;=18,"Children",IF(B971&lt;=35,"Young adult",IF(B971&lt;=60,"Adult", "Senior Citizen")))</f>
        <v>Adult</v>
      </c>
      <c r="W971" t="str">
        <f t="shared" si="105"/>
        <v>Aug</v>
      </c>
      <c r="X971">
        <f t="shared" si="106"/>
        <v>8</v>
      </c>
      <c r="Y971" t="str">
        <f t="shared" si="107"/>
        <v>Q3</v>
      </c>
      <c r="Z971">
        <f t="shared" si="108"/>
        <v>2027</v>
      </c>
      <c r="AA971" t="str">
        <f t="shared" si="109"/>
        <v>Saturday</v>
      </c>
      <c r="AB971">
        <f t="shared" si="110"/>
        <v>-68</v>
      </c>
      <c r="AC971" t="str">
        <f>IF(OR(D971="Heart Disease",D971="Cancer",D971="Stroke"),"High",IF(OR(D971="Diabetes",D971="Asthma"),"Medium","Low"))</f>
        <v>Low</v>
      </c>
      <c r="AD971" t="str">
        <f t="shared" si="111"/>
        <v>No</v>
      </c>
      <c r="AE971" t="str">
        <f>IF(G971&lt;=2,"Short Stay", IF(G971&lt;=7,"Normal Stay", "Long Stay"))</f>
        <v>Long Stay</v>
      </c>
      <c r="AF971" t="str">
        <f>IF(F971&gt;60000,"Expensive",IF(F971&gt;30000,"Moderate","Affordable"))</f>
        <v>Affordable</v>
      </c>
      <c r="AG971" t="str">
        <f>IF(J971&gt;=4.5,"Excellent",IF(J971&gt;=3.5,"Good",IF(J971&gt;=2.5,"Average","Poor")))</f>
        <v>Good</v>
      </c>
      <c r="AH971" t="str">
        <f>IF(OR(TEXT(N971,"dddd")="Saturday",TEXT(N971,"dddd")="Sunday"),"Weekend","Weekday")</f>
        <v>Weekend</v>
      </c>
    </row>
    <row r="972" spans="1:34" x14ac:dyDescent="0.3">
      <c r="A972">
        <v>987</v>
      </c>
      <c r="B972">
        <v>67</v>
      </c>
      <c r="C972" t="s">
        <v>35</v>
      </c>
      <c r="D972" t="s">
        <v>99</v>
      </c>
      <c r="E972" t="s">
        <v>100</v>
      </c>
      <c r="F972">
        <v>20000</v>
      </c>
      <c r="G972">
        <v>74</v>
      </c>
      <c r="H972" t="s">
        <v>24</v>
      </c>
      <c r="I972" t="s">
        <v>25</v>
      </c>
      <c r="J972">
        <v>3</v>
      </c>
      <c r="K972" t="s">
        <v>49</v>
      </c>
      <c r="L972" t="s">
        <v>2067</v>
      </c>
      <c r="M972" t="s">
        <v>2068</v>
      </c>
      <c r="N972" s="2">
        <v>46628</v>
      </c>
      <c r="O972" s="2">
        <v>46702</v>
      </c>
      <c r="P972" t="s">
        <v>29</v>
      </c>
      <c r="Q972" t="s">
        <v>44</v>
      </c>
      <c r="R972" t="s">
        <v>45</v>
      </c>
      <c r="S972" t="s">
        <v>84</v>
      </c>
      <c r="T972" t="s">
        <v>33</v>
      </c>
      <c r="U972" t="s">
        <v>78</v>
      </c>
      <c r="V972" t="str">
        <f>IF(B972&lt;=18,"Children",IF(B972&lt;=35,"Young adult",IF(B972&lt;=60,"Adult", "Senior Citizen")))</f>
        <v>Senior Citizen</v>
      </c>
      <c r="W972" t="str">
        <f t="shared" si="105"/>
        <v>Aug</v>
      </c>
      <c r="X972">
        <f t="shared" si="106"/>
        <v>8</v>
      </c>
      <c r="Y972" t="str">
        <f t="shared" si="107"/>
        <v>Q3</v>
      </c>
      <c r="Z972">
        <f t="shared" si="108"/>
        <v>2027</v>
      </c>
      <c r="AA972" t="str">
        <f t="shared" si="109"/>
        <v>Sunday</v>
      </c>
      <c r="AB972">
        <f t="shared" si="110"/>
        <v>-74</v>
      </c>
      <c r="AC972" t="str">
        <f>IF(OR(D972="Heart Disease",D972="Cancer",D972="Stroke"),"High",IF(OR(D972="Diabetes",D972="Asthma"),"Medium","Low"))</f>
        <v>Low</v>
      </c>
      <c r="AD972" t="str">
        <f t="shared" si="111"/>
        <v>No</v>
      </c>
      <c r="AE972" t="str">
        <f>IF(G972&lt;=2,"Short Stay", IF(G972&lt;=7,"Normal Stay", "Long Stay"))</f>
        <v>Long Stay</v>
      </c>
      <c r="AF972" t="str">
        <f>IF(F972&gt;60000,"Expensive",IF(F972&gt;30000,"Moderate","Affordable"))</f>
        <v>Affordable</v>
      </c>
      <c r="AG972" t="str">
        <f>IF(J972&gt;=4.5,"Excellent",IF(J972&gt;=3.5,"Good",IF(J972&gt;=2.5,"Average","Poor")))</f>
        <v>Average</v>
      </c>
      <c r="AH972" t="str">
        <f>IF(OR(TEXT(N972,"dddd")="Saturday",TEXT(N972,"dddd")="Sunday"),"Weekend","Weekday")</f>
        <v>Weekend</v>
      </c>
    </row>
    <row r="973" spans="1:34" x14ac:dyDescent="0.3">
      <c r="A973">
        <v>988</v>
      </c>
      <c r="B973">
        <v>35</v>
      </c>
      <c r="C973" t="s">
        <v>21</v>
      </c>
      <c r="D973" t="s">
        <v>105</v>
      </c>
      <c r="E973" t="s">
        <v>106</v>
      </c>
      <c r="F973">
        <v>12000</v>
      </c>
      <c r="G973">
        <v>68</v>
      </c>
      <c r="H973" t="s">
        <v>24</v>
      </c>
      <c r="I973" t="s">
        <v>25</v>
      </c>
      <c r="J973">
        <v>4</v>
      </c>
      <c r="K973" t="s">
        <v>169</v>
      </c>
      <c r="L973" t="s">
        <v>2069</v>
      </c>
      <c r="M973" t="s">
        <v>2070</v>
      </c>
      <c r="N973" s="2">
        <v>46629</v>
      </c>
      <c r="O973" s="2">
        <v>46697</v>
      </c>
      <c r="P973" t="s">
        <v>43</v>
      </c>
      <c r="Q973" t="s">
        <v>44</v>
      </c>
      <c r="R973" t="s">
        <v>45</v>
      </c>
      <c r="S973" t="s">
        <v>53</v>
      </c>
      <c r="T973" t="s">
        <v>33</v>
      </c>
      <c r="U973" t="s">
        <v>78</v>
      </c>
      <c r="V973" t="str">
        <f>IF(B973&lt;=18,"Children",IF(B973&lt;=35,"Young adult",IF(B973&lt;=60,"Adult", "Senior Citizen")))</f>
        <v>Young adult</v>
      </c>
      <c r="W973" t="str">
        <f t="shared" si="105"/>
        <v>Aug</v>
      </c>
      <c r="X973">
        <f t="shared" si="106"/>
        <v>8</v>
      </c>
      <c r="Y973" t="str">
        <f t="shared" si="107"/>
        <v>Q3</v>
      </c>
      <c r="Z973">
        <f t="shared" si="108"/>
        <v>2027</v>
      </c>
      <c r="AA973" t="str">
        <f t="shared" si="109"/>
        <v>Monday</v>
      </c>
      <c r="AB973">
        <f t="shared" si="110"/>
        <v>-68</v>
      </c>
      <c r="AC973" t="str">
        <f>IF(OR(D973="Heart Disease",D973="Cancer",D973="Stroke"),"High",IF(OR(D973="Diabetes",D973="Asthma"),"Medium","Low"))</f>
        <v>Low</v>
      </c>
      <c r="AD973" t="str">
        <f t="shared" si="111"/>
        <v>No</v>
      </c>
      <c r="AE973" t="str">
        <f>IF(G973&lt;=2,"Short Stay", IF(G973&lt;=7,"Normal Stay", "Long Stay"))</f>
        <v>Long Stay</v>
      </c>
      <c r="AF973" t="str">
        <f>IF(F973&gt;60000,"Expensive",IF(F973&gt;30000,"Moderate","Affordable"))</f>
        <v>Affordable</v>
      </c>
      <c r="AG973" t="str">
        <f>IF(J973&gt;=4.5,"Excellent",IF(J973&gt;=3.5,"Good",IF(J973&gt;=2.5,"Average","Poor")))</f>
        <v>Good</v>
      </c>
      <c r="AH973" t="str">
        <f>IF(OR(TEXT(N973,"dddd")="Saturday",TEXT(N973,"dddd")="Sunday"),"Weekend","Weekday")</f>
        <v>Weekday</v>
      </c>
    </row>
    <row r="974" spans="1:34" x14ac:dyDescent="0.3">
      <c r="A974">
        <v>989</v>
      </c>
      <c r="B974">
        <v>50</v>
      </c>
      <c r="C974" t="s">
        <v>35</v>
      </c>
      <c r="D974" t="s">
        <v>111</v>
      </c>
      <c r="E974" t="s">
        <v>112</v>
      </c>
      <c r="F974">
        <v>6000</v>
      </c>
      <c r="G974">
        <v>69</v>
      </c>
      <c r="H974" t="s">
        <v>24</v>
      </c>
      <c r="I974" t="s">
        <v>25</v>
      </c>
      <c r="J974">
        <v>3</v>
      </c>
      <c r="K974" t="s">
        <v>197</v>
      </c>
      <c r="L974" t="s">
        <v>2071</v>
      </c>
      <c r="M974" t="s">
        <v>2072</v>
      </c>
      <c r="N974" s="2">
        <v>46630</v>
      </c>
      <c r="O974" s="2">
        <v>46699</v>
      </c>
      <c r="P974" t="s">
        <v>43</v>
      </c>
      <c r="Q974" t="s">
        <v>139</v>
      </c>
      <c r="R974" t="s">
        <v>45</v>
      </c>
      <c r="S974" t="s">
        <v>53</v>
      </c>
      <c r="T974" t="s">
        <v>33</v>
      </c>
      <c r="U974" t="s">
        <v>46</v>
      </c>
      <c r="V974" t="str">
        <f>IF(B974&lt;=18,"Children",IF(B974&lt;=35,"Young adult",IF(B974&lt;=60,"Adult", "Senior Citizen")))</f>
        <v>Adult</v>
      </c>
      <c r="W974" t="str">
        <f t="shared" si="105"/>
        <v>Aug</v>
      </c>
      <c r="X974">
        <f t="shared" si="106"/>
        <v>8</v>
      </c>
      <c r="Y974" t="str">
        <f t="shared" si="107"/>
        <v>Q3</v>
      </c>
      <c r="Z974">
        <f t="shared" si="108"/>
        <v>2027</v>
      </c>
      <c r="AA974" t="str">
        <f t="shared" si="109"/>
        <v>Tuesday</v>
      </c>
      <c r="AB974">
        <f t="shared" si="110"/>
        <v>-69</v>
      </c>
      <c r="AC974" t="str">
        <f>IF(OR(D974="Heart Disease",D974="Cancer",D974="Stroke"),"High",IF(OR(D974="Diabetes",D974="Asthma"),"Medium","Low"))</f>
        <v>Low</v>
      </c>
      <c r="AD974" t="str">
        <f t="shared" si="111"/>
        <v>No</v>
      </c>
      <c r="AE974" t="str">
        <f>IF(G974&lt;=2,"Short Stay", IF(G974&lt;=7,"Normal Stay", "Long Stay"))</f>
        <v>Long Stay</v>
      </c>
      <c r="AF974" t="str">
        <f>IF(F974&gt;60000,"Expensive",IF(F974&gt;30000,"Moderate","Affordable"))</f>
        <v>Affordable</v>
      </c>
      <c r="AG974" t="str">
        <f>IF(J974&gt;=4.5,"Excellent",IF(J974&gt;=3.5,"Good",IF(J974&gt;=2.5,"Average","Poor")))</f>
        <v>Average</v>
      </c>
      <c r="AH974" t="str">
        <f>IF(OR(TEXT(N974,"dddd")="Saturday",TEXT(N974,"dddd")="Sunday"),"Weekend","Weekday")</f>
        <v>Weekday</v>
      </c>
    </row>
    <row r="975" spans="1:34" x14ac:dyDescent="0.3">
      <c r="A975">
        <v>990</v>
      </c>
      <c r="B975">
        <v>60</v>
      </c>
      <c r="C975" t="s">
        <v>21</v>
      </c>
      <c r="D975" t="s">
        <v>116</v>
      </c>
      <c r="E975" t="s">
        <v>117</v>
      </c>
      <c r="F975">
        <v>4000</v>
      </c>
      <c r="G975">
        <v>70</v>
      </c>
      <c r="H975" t="s">
        <v>24</v>
      </c>
      <c r="I975" t="s">
        <v>39</v>
      </c>
      <c r="J975">
        <v>4</v>
      </c>
      <c r="K975" t="s">
        <v>157</v>
      </c>
      <c r="L975" t="s">
        <v>2073</v>
      </c>
      <c r="M975" t="s">
        <v>2074</v>
      </c>
      <c r="N975" s="2">
        <v>46631</v>
      </c>
      <c r="O975" s="2">
        <v>46701</v>
      </c>
      <c r="P975" t="s">
        <v>43</v>
      </c>
      <c r="Q975" t="s">
        <v>44</v>
      </c>
      <c r="R975" t="s">
        <v>45</v>
      </c>
      <c r="S975" t="s">
        <v>77</v>
      </c>
      <c r="T975" t="s">
        <v>33</v>
      </c>
      <c r="U975" t="s">
        <v>34</v>
      </c>
      <c r="V975" t="str">
        <f>IF(B975&lt;=18,"Children",IF(B975&lt;=35,"Young adult",IF(B975&lt;=60,"Adult", "Senior Citizen")))</f>
        <v>Adult</v>
      </c>
      <c r="W975" t="str">
        <f t="shared" si="105"/>
        <v>Sep</v>
      </c>
      <c r="X975">
        <f t="shared" si="106"/>
        <v>9</v>
      </c>
      <c r="Y975" t="str">
        <f t="shared" si="107"/>
        <v>Q3</v>
      </c>
      <c r="Z975">
        <f t="shared" si="108"/>
        <v>2027</v>
      </c>
      <c r="AA975" t="str">
        <f t="shared" si="109"/>
        <v>Wednesday</v>
      </c>
      <c r="AB975">
        <f t="shared" si="110"/>
        <v>-70</v>
      </c>
      <c r="AC975" t="str">
        <f>IF(OR(D975="Heart Disease",D975="Cancer",D975="Stroke"),"High",IF(OR(D975="Diabetes",D975="Asthma"),"Medium","Low"))</f>
        <v>Low</v>
      </c>
      <c r="AD975" t="str">
        <f t="shared" si="111"/>
        <v>No</v>
      </c>
      <c r="AE975" t="str">
        <f>IF(G975&lt;=2,"Short Stay", IF(G975&lt;=7,"Normal Stay", "Long Stay"))</f>
        <v>Long Stay</v>
      </c>
      <c r="AF975" t="str">
        <f>IF(F975&gt;60000,"Expensive",IF(F975&gt;30000,"Moderate","Affordable"))</f>
        <v>Affordable</v>
      </c>
      <c r="AG975" t="str">
        <f>IF(J975&gt;=4.5,"Excellent",IF(J975&gt;=3.5,"Good",IF(J975&gt;=2.5,"Average","Poor")))</f>
        <v>Good</v>
      </c>
      <c r="AH975" t="str">
        <f>IF(OR(TEXT(N975,"dddd")="Saturday",TEXT(N975,"dddd")="Sunday"),"Weekend","Weekday")</f>
        <v>Weekday</v>
      </c>
    </row>
    <row r="976" spans="1:34" x14ac:dyDescent="0.3">
      <c r="A976">
        <v>991</v>
      </c>
      <c r="B976">
        <v>48</v>
      </c>
      <c r="C976" t="s">
        <v>21</v>
      </c>
      <c r="D976" t="s">
        <v>22</v>
      </c>
      <c r="E976" t="s">
        <v>23</v>
      </c>
      <c r="F976">
        <v>15000</v>
      </c>
      <c r="G976">
        <v>71</v>
      </c>
      <c r="H976" t="s">
        <v>38</v>
      </c>
      <c r="I976" t="s">
        <v>25</v>
      </c>
      <c r="J976">
        <v>4</v>
      </c>
      <c r="K976" t="s">
        <v>91</v>
      </c>
      <c r="L976" t="s">
        <v>2075</v>
      </c>
      <c r="M976" t="s">
        <v>2076</v>
      </c>
      <c r="N976" s="2">
        <v>46632</v>
      </c>
      <c r="O976" s="2">
        <v>46703</v>
      </c>
      <c r="P976" t="s">
        <v>29</v>
      </c>
      <c r="Q976" t="s">
        <v>139</v>
      </c>
      <c r="R976" t="s">
        <v>31</v>
      </c>
      <c r="S976" t="s">
        <v>72</v>
      </c>
      <c r="T976" t="s">
        <v>33</v>
      </c>
      <c r="U976" t="s">
        <v>78</v>
      </c>
      <c r="V976" t="str">
        <f>IF(B976&lt;=18,"Children",IF(B976&lt;=35,"Young adult",IF(B976&lt;=60,"Adult", "Senior Citizen")))</f>
        <v>Adult</v>
      </c>
      <c r="W976" t="str">
        <f t="shared" si="105"/>
        <v>Sep</v>
      </c>
      <c r="X976">
        <f t="shared" si="106"/>
        <v>9</v>
      </c>
      <c r="Y976" t="str">
        <f t="shared" si="107"/>
        <v>Q3</v>
      </c>
      <c r="Z976">
        <f t="shared" si="108"/>
        <v>2027</v>
      </c>
      <c r="AA976" t="str">
        <f t="shared" si="109"/>
        <v>Thursday</v>
      </c>
      <c r="AB976">
        <f t="shared" si="110"/>
        <v>-71</v>
      </c>
      <c r="AC976" t="str">
        <f>IF(OR(D976="Heart Disease",D976="Cancer",D976="Stroke"),"High",IF(OR(D976="Diabetes",D976="Asthma"),"Medium","Low"))</f>
        <v>High</v>
      </c>
      <c r="AD976" t="str">
        <f t="shared" si="111"/>
        <v>Yes</v>
      </c>
      <c r="AE976" t="str">
        <f>IF(G976&lt;=2,"Short Stay", IF(G976&lt;=7,"Normal Stay", "Long Stay"))</f>
        <v>Long Stay</v>
      </c>
      <c r="AF976" t="str">
        <f>IF(F976&gt;60000,"Expensive",IF(F976&gt;30000,"Moderate","Affordable"))</f>
        <v>Affordable</v>
      </c>
      <c r="AG976" t="str">
        <f>IF(J976&gt;=4.5,"Excellent",IF(J976&gt;=3.5,"Good",IF(J976&gt;=2.5,"Average","Poor")))</f>
        <v>Good</v>
      </c>
      <c r="AH976" t="str">
        <f>IF(OR(TEXT(N976,"dddd")="Saturday",TEXT(N976,"dddd")="Sunday"),"Weekend","Weekday")</f>
        <v>Weekday</v>
      </c>
    </row>
    <row r="977" spans="1:34" x14ac:dyDescent="0.3">
      <c r="A977">
        <v>992</v>
      </c>
      <c r="B977">
        <v>65</v>
      </c>
      <c r="C977" t="s">
        <v>35</v>
      </c>
      <c r="D977" t="s">
        <v>36</v>
      </c>
      <c r="E977" t="s">
        <v>37</v>
      </c>
      <c r="F977">
        <v>2000</v>
      </c>
      <c r="G977">
        <v>69</v>
      </c>
      <c r="H977" t="s">
        <v>24</v>
      </c>
      <c r="I977" t="s">
        <v>39</v>
      </c>
      <c r="J977">
        <v>3</v>
      </c>
      <c r="K977" t="s">
        <v>429</v>
      </c>
      <c r="L977" t="s">
        <v>2077</v>
      </c>
      <c r="M977" t="s">
        <v>2078</v>
      </c>
      <c r="N977" s="2">
        <v>46633</v>
      </c>
      <c r="O977" s="2">
        <v>46702</v>
      </c>
      <c r="P977" t="s">
        <v>43</v>
      </c>
      <c r="Q977" t="s">
        <v>71</v>
      </c>
      <c r="R977" t="s">
        <v>45</v>
      </c>
      <c r="S977" t="s">
        <v>32</v>
      </c>
      <c r="T977" t="s">
        <v>33</v>
      </c>
      <c r="U977" t="s">
        <v>104</v>
      </c>
      <c r="V977" t="str">
        <f>IF(B977&lt;=18,"Children",IF(B977&lt;=35,"Young adult",IF(B977&lt;=60,"Adult", "Senior Citizen")))</f>
        <v>Senior Citizen</v>
      </c>
      <c r="W977" t="str">
        <f t="shared" si="105"/>
        <v>Sep</v>
      </c>
      <c r="X977">
        <f t="shared" si="106"/>
        <v>9</v>
      </c>
      <c r="Y977" t="str">
        <f t="shared" si="107"/>
        <v>Q3</v>
      </c>
      <c r="Z977">
        <f t="shared" si="108"/>
        <v>2027</v>
      </c>
      <c r="AA977" t="str">
        <f t="shared" si="109"/>
        <v>Friday</v>
      </c>
      <c r="AB977">
        <f t="shared" si="110"/>
        <v>-69</v>
      </c>
      <c r="AC977" t="str">
        <f>IF(OR(D977="Heart Disease",D977="Cancer",D977="Stroke"),"High",IF(OR(D977="Diabetes",D977="Asthma"),"Medium","Low"))</f>
        <v>Medium</v>
      </c>
      <c r="AD977" t="str">
        <f t="shared" si="111"/>
        <v>No</v>
      </c>
      <c r="AE977" t="str">
        <f>IF(G977&lt;=2,"Short Stay", IF(G977&lt;=7,"Normal Stay", "Long Stay"))</f>
        <v>Long Stay</v>
      </c>
      <c r="AF977" t="str">
        <f>IF(F977&gt;60000,"Expensive",IF(F977&gt;30000,"Moderate","Affordable"))</f>
        <v>Affordable</v>
      </c>
      <c r="AG977" t="str">
        <f>IF(J977&gt;=4.5,"Excellent",IF(J977&gt;=3.5,"Good",IF(J977&gt;=2.5,"Average","Poor")))</f>
        <v>Average</v>
      </c>
      <c r="AH977" t="str">
        <f>IF(OR(TEXT(N977,"dddd")="Saturday",TEXT(N977,"dddd")="Sunday"),"Weekend","Weekday")</f>
        <v>Weekday</v>
      </c>
    </row>
    <row r="978" spans="1:34" x14ac:dyDescent="0.3">
      <c r="A978">
        <v>993</v>
      </c>
      <c r="B978">
        <v>30</v>
      </c>
      <c r="C978" t="s">
        <v>21</v>
      </c>
      <c r="D978" t="s">
        <v>47</v>
      </c>
      <c r="E978" t="s">
        <v>48</v>
      </c>
      <c r="F978">
        <v>500</v>
      </c>
      <c r="G978">
        <v>67</v>
      </c>
      <c r="H978" t="s">
        <v>24</v>
      </c>
      <c r="I978" t="s">
        <v>25</v>
      </c>
      <c r="J978">
        <v>5</v>
      </c>
      <c r="K978" t="s">
        <v>281</v>
      </c>
      <c r="L978" t="s">
        <v>2079</v>
      </c>
      <c r="M978" t="s">
        <v>2080</v>
      </c>
      <c r="N978" s="2">
        <v>46634</v>
      </c>
      <c r="O978" s="2">
        <v>46701</v>
      </c>
      <c r="P978" t="s">
        <v>43</v>
      </c>
      <c r="Q978" t="s">
        <v>44</v>
      </c>
      <c r="R978" t="s">
        <v>45</v>
      </c>
      <c r="S978" t="s">
        <v>77</v>
      </c>
      <c r="T978" t="s">
        <v>33</v>
      </c>
      <c r="U978" t="s">
        <v>46</v>
      </c>
      <c r="V978" t="str">
        <f>IF(B978&lt;=18,"Children",IF(B978&lt;=35,"Young adult",IF(B978&lt;=60,"Adult", "Senior Citizen")))</f>
        <v>Young adult</v>
      </c>
      <c r="W978" t="str">
        <f t="shared" si="105"/>
        <v>Sep</v>
      </c>
      <c r="X978">
        <f t="shared" si="106"/>
        <v>9</v>
      </c>
      <c r="Y978" t="str">
        <f t="shared" si="107"/>
        <v>Q3</v>
      </c>
      <c r="Z978">
        <f t="shared" si="108"/>
        <v>2027</v>
      </c>
      <c r="AA978" t="str">
        <f t="shared" si="109"/>
        <v>Saturday</v>
      </c>
      <c r="AB978">
        <f t="shared" si="110"/>
        <v>-67</v>
      </c>
      <c r="AC978" t="str">
        <f>IF(OR(D978="Heart Disease",D978="Cancer",D978="Stroke"),"High",IF(OR(D978="Diabetes",D978="Asthma"),"Medium","Low"))</f>
        <v>Low</v>
      </c>
      <c r="AD978" t="str">
        <f t="shared" si="111"/>
        <v>No</v>
      </c>
      <c r="AE978" t="str">
        <f>IF(G978&lt;=2,"Short Stay", IF(G978&lt;=7,"Normal Stay", "Long Stay"))</f>
        <v>Long Stay</v>
      </c>
      <c r="AF978" t="str">
        <f>IF(F978&gt;60000,"Expensive",IF(F978&gt;30000,"Moderate","Affordable"))</f>
        <v>Affordable</v>
      </c>
      <c r="AG978" t="str">
        <f>IF(J978&gt;=4.5,"Excellent",IF(J978&gt;=3.5,"Good",IF(J978&gt;=2.5,"Average","Poor")))</f>
        <v>Excellent</v>
      </c>
      <c r="AH978" t="str">
        <f>IF(OR(TEXT(N978,"dddd")="Saturday",TEXT(N978,"dddd")="Sunday"),"Weekend","Weekday")</f>
        <v>Weekend</v>
      </c>
    </row>
    <row r="979" spans="1:34" x14ac:dyDescent="0.3">
      <c r="A979">
        <v>994</v>
      </c>
      <c r="B979">
        <v>70</v>
      </c>
      <c r="C979" t="s">
        <v>35</v>
      </c>
      <c r="D979" t="s">
        <v>54</v>
      </c>
      <c r="E979" t="s">
        <v>55</v>
      </c>
      <c r="F979">
        <v>10000</v>
      </c>
      <c r="G979">
        <v>74</v>
      </c>
      <c r="H979" t="s">
        <v>38</v>
      </c>
      <c r="I979" t="s">
        <v>39</v>
      </c>
      <c r="J979">
        <v>2</v>
      </c>
      <c r="K979" t="s">
        <v>113</v>
      </c>
      <c r="L979" t="s">
        <v>2081</v>
      </c>
      <c r="M979" t="s">
        <v>2082</v>
      </c>
      <c r="N979" s="2">
        <v>46635</v>
      </c>
      <c r="O979" s="2">
        <v>46709</v>
      </c>
      <c r="P979" t="s">
        <v>43</v>
      </c>
      <c r="Q979" t="s">
        <v>71</v>
      </c>
      <c r="R979" t="s">
        <v>59</v>
      </c>
      <c r="S979" t="s">
        <v>32</v>
      </c>
      <c r="T979" t="s">
        <v>33</v>
      </c>
      <c r="U979" t="s">
        <v>34</v>
      </c>
      <c r="V979" t="str">
        <f>IF(B979&lt;=18,"Children",IF(B979&lt;=35,"Young adult",IF(B979&lt;=60,"Adult", "Senior Citizen")))</f>
        <v>Senior Citizen</v>
      </c>
      <c r="W979" t="str">
        <f t="shared" si="105"/>
        <v>Sep</v>
      </c>
      <c r="X979">
        <f t="shared" si="106"/>
        <v>9</v>
      </c>
      <c r="Y979" t="str">
        <f t="shared" si="107"/>
        <v>Q3</v>
      </c>
      <c r="Z979">
        <f t="shared" si="108"/>
        <v>2027</v>
      </c>
      <c r="AA979" t="str">
        <f t="shared" si="109"/>
        <v>Sunday</v>
      </c>
      <c r="AB979">
        <f t="shared" si="110"/>
        <v>-74</v>
      </c>
      <c r="AC979" t="str">
        <f>IF(OR(D979="Heart Disease",D979="Cancer",D979="Stroke"),"High",IF(OR(D979="Diabetes",D979="Asthma"),"Medium","Low"))</f>
        <v>High</v>
      </c>
      <c r="AD979" t="str">
        <f t="shared" si="111"/>
        <v>Yes</v>
      </c>
      <c r="AE979" t="str">
        <f>IF(G979&lt;=2,"Short Stay", IF(G979&lt;=7,"Normal Stay", "Long Stay"))</f>
        <v>Long Stay</v>
      </c>
      <c r="AF979" t="str">
        <f>IF(F979&gt;60000,"Expensive",IF(F979&gt;30000,"Moderate","Affordable"))</f>
        <v>Affordable</v>
      </c>
      <c r="AG979" t="str">
        <f>IF(J979&gt;=4.5,"Excellent",IF(J979&gt;=3.5,"Good",IF(J979&gt;=2.5,"Average","Poor")))</f>
        <v>Poor</v>
      </c>
      <c r="AH979" t="str">
        <f>IF(OR(TEXT(N979,"dddd")="Saturday",TEXT(N979,"dddd")="Sunday"),"Weekend","Weekday")</f>
        <v>Weekend</v>
      </c>
    </row>
    <row r="980" spans="1:34" x14ac:dyDescent="0.3">
      <c r="A980">
        <v>995</v>
      </c>
      <c r="B980">
        <v>55</v>
      </c>
      <c r="C980" t="s">
        <v>21</v>
      </c>
      <c r="D980" t="s">
        <v>60</v>
      </c>
      <c r="E980" t="s">
        <v>61</v>
      </c>
      <c r="F980">
        <v>25000</v>
      </c>
      <c r="G980">
        <v>76</v>
      </c>
      <c r="H980" t="s">
        <v>24</v>
      </c>
      <c r="I980" t="s">
        <v>25</v>
      </c>
      <c r="J980">
        <v>4</v>
      </c>
      <c r="K980" t="s">
        <v>120</v>
      </c>
      <c r="L980" t="s">
        <v>2083</v>
      </c>
      <c r="M980" t="s">
        <v>2084</v>
      </c>
      <c r="N980" s="2">
        <v>46636</v>
      </c>
      <c r="O980" s="2">
        <v>46712</v>
      </c>
      <c r="P980" t="s">
        <v>43</v>
      </c>
      <c r="Q980" t="s">
        <v>44</v>
      </c>
      <c r="R980" t="s">
        <v>65</v>
      </c>
      <c r="S980" t="s">
        <v>110</v>
      </c>
      <c r="T980" t="s">
        <v>33</v>
      </c>
      <c r="U980" t="s">
        <v>104</v>
      </c>
      <c r="V980" t="str">
        <f>IF(B980&lt;=18,"Children",IF(B980&lt;=35,"Young adult",IF(B980&lt;=60,"Adult", "Senior Citizen")))</f>
        <v>Adult</v>
      </c>
      <c r="W980" t="str">
        <f t="shared" si="105"/>
        <v>Sep</v>
      </c>
      <c r="X980">
        <f t="shared" si="106"/>
        <v>9</v>
      </c>
      <c r="Y980" t="str">
        <f t="shared" si="107"/>
        <v>Q3</v>
      </c>
      <c r="Z980">
        <f t="shared" si="108"/>
        <v>2027</v>
      </c>
      <c r="AA980" t="str">
        <f t="shared" si="109"/>
        <v>Monday</v>
      </c>
      <c r="AB980">
        <f t="shared" si="110"/>
        <v>-76</v>
      </c>
      <c r="AC980" t="str">
        <f>IF(OR(D980="Heart Disease",D980="Cancer",D980="Stroke"),"High",IF(OR(D980="Diabetes",D980="Asthma"),"Medium","Low"))</f>
        <v>High</v>
      </c>
      <c r="AD980" t="str">
        <f t="shared" si="111"/>
        <v>Yes</v>
      </c>
      <c r="AE980" t="str">
        <f>IF(G980&lt;=2,"Short Stay", IF(G980&lt;=7,"Normal Stay", "Long Stay"))</f>
        <v>Long Stay</v>
      </c>
      <c r="AF980" t="str">
        <f>IF(F980&gt;60000,"Expensive",IF(F980&gt;30000,"Moderate","Affordable"))</f>
        <v>Affordable</v>
      </c>
      <c r="AG980" t="str">
        <f>IF(J980&gt;=4.5,"Excellent",IF(J980&gt;=3.5,"Good",IF(J980&gt;=2.5,"Average","Poor")))</f>
        <v>Good</v>
      </c>
      <c r="AH980" t="str">
        <f>IF(OR(TEXT(N980,"dddd")="Saturday",TEXT(N980,"dddd")="Sunday"),"Weekend","Weekday")</f>
        <v>Weekday</v>
      </c>
    </row>
    <row r="981" spans="1:34" x14ac:dyDescent="0.3">
      <c r="A981">
        <v>996</v>
      </c>
      <c r="B981">
        <v>68</v>
      </c>
      <c r="C981" t="s">
        <v>35</v>
      </c>
      <c r="D981" t="s">
        <v>66</v>
      </c>
      <c r="E981" t="s">
        <v>67</v>
      </c>
      <c r="F981">
        <v>1000</v>
      </c>
      <c r="G981">
        <v>70</v>
      </c>
      <c r="H981" t="s">
        <v>24</v>
      </c>
      <c r="I981" t="s">
        <v>39</v>
      </c>
      <c r="J981">
        <v>4</v>
      </c>
      <c r="K981" t="s">
        <v>482</v>
      </c>
      <c r="L981" t="s">
        <v>2085</v>
      </c>
      <c r="M981" t="s">
        <v>2086</v>
      </c>
      <c r="N981" s="2">
        <v>46637</v>
      </c>
      <c r="O981" s="2">
        <v>46707</v>
      </c>
      <c r="P981" t="s">
        <v>29</v>
      </c>
      <c r="Q981" t="s">
        <v>139</v>
      </c>
      <c r="R981" t="s">
        <v>45</v>
      </c>
      <c r="S981" t="s">
        <v>72</v>
      </c>
      <c r="T981" t="s">
        <v>33</v>
      </c>
      <c r="U981" t="s">
        <v>46</v>
      </c>
      <c r="V981" t="str">
        <f>IF(B981&lt;=18,"Children",IF(B981&lt;=35,"Young adult",IF(B981&lt;=60,"Adult", "Senior Citizen")))</f>
        <v>Senior Citizen</v>
      </c>
      <c r="W981" t="str">
        <f t="shared" si="105"/>
        <v>Sep</v>
      </c>
      <c r="X981">
        <f t="shared" si="106"/>
        <v>9</v>
      </c>
      <c r="Y981" t="str">
        <f t="shared" si="107"/>
        <v>Q3</v>
      </c>
      <c r="Z981">
        <f t="shared" si="108"/>
        <v>2027</v>
      </c>
      <c r="AA981" t="str">
        <f t="shared" si="109"/>
        <v>Tuesday</v>
      </c>
      <c r="AB981">
        <f t="shared" si="110"/>
        <v>-70</v>
      </c>
      <c r="AC981" t="str">
        <f>IF(OR(D981="Heart Disease",D981="Cancer",D981="Stroke"),"High",IF(OR(D981="Diabetes",D981="Asthma"),"Medium","Low"))</f>
        <v>Low</v>
      </c>
      <c r="AD981" t="str">
        <f t="shared" si="111"/>
        <v>No</v>
      </c>
      <c r="AE981" t="str">
        <f>IF(G981&lt;=2,"Short Stay", IF(G981&lt;=7,"Normal Stay", "Long Stay"))</f>
        <v>Long Stay</v>
      </c>
      <c r="AF981" t="str">
        <f>IF(F981&gt;60000,"Expensive",IF(F981&gt;30000,"Moderate","Affordable"))</f>
        <v>Affordable</v>
      </c>
      <c r="AG981" t="str">
        <f>IF(J981&gt;=4.5,"Excellent",IF(J981&gt;=3.5,"Good",IF(J981&gt;=2.5,"Average","Poor")))</f>
        <v>Good</v>
      </c>
      <c r="AH981" t="str">
        <f>IF(OR(TEXT(N981,"dddd")="Saturday",TEXT(N981,"dddd")="Sunday"),"Weekend","Weekday")</f>
        <v>Weekday</v>
      </c>
    </row>
    <row r="982" spans="1:34" x14ac:dyDescent="0.3">
      <c r="A982">
        <v>997</v>
      </c>
      <c r="B982">
        <v>45</v>
      </c>
      <c r="C982" t="s">
        <v>21</v>
      </c>
      <c r="D982" t="s">
        <v>73</v>
      </c>
      <c r="E982" t="s">
        <v>74</v>
      </c>
      <c r="F982">
        <v>8000</v>
      </c>
      <c r="G982">
        <v>72</v>
      </c>
      <c r="H982" t="s">
        <v>24</v>
      </c>
      <c r="I982" t="s">
        <v>25</v>
      </c>
      <c r="J982">
        <v>3</v>
      </c>
      <c r="K982" t="s">
        <v>133</v>
      </c>
      <c r="L982" t="s">
        <v>2087</v>
      </c>
      <c r="M982" t="s">
        <v>2088</v>
      </c>
      <c r="N982" s="2">
        <v>46638</v>
      </c>
      <c r="O982" s="2">
        <v>46710</v>
      </c>
      <c r="P982" t="s">
        <v>43</v>
      </c>
      <c r="Q982" t="s">
        <v>52</v>
      </c>
      <c r="R982" t="s">
        <v>45</v>
      </c>
      <c r="S982" t="s">
        <v>110</v>
      </c>
      <c r="T982" t="s">
        <v>33</v>
      </c>
      <c r="U982" t="s">
        <v>34</v>
      </c>
      <c r="V982" t="str">
        <f>IF(B982&lt;=18,"Children",IF(B982&lt;=35,"Young adult",IF(B982&lt;=60,"Adult", "Senior Citizen")))</f>
        <v>Adult</v>
      </c>
      <c r="W982" t="str">
        <f t="shared" si="105"/>
        <v>Sep</v>
      </c>
      <c r="X982">
        <f t="shared" si="106"/>
        <v>9</v>
      </c>
      <c r="Y982" t="str">
        <f t="shared" si="107"/>
        <v>Q3</v>
      </c>
      <c r="Z982">
        <f t="shared" si="108"/>
        <v>2027</v>
      </c>
      <c r="AA982" t="str">
        <f t="shared" si="109"/>
        <v>Wednesday</v>
      </c>
      <c r="AB982">
        <f t="shared" si="110"/>
        <v>-72</v>
      </c>
      <c r="AC982" t="str">
        <f>IF(OR(D982="Heart Disease",D982="Cancer",D982="Stroke"),"High",IF(OR(D982="Diabetes",D982="Asthma"),"Medium","Low"))</f>
        <v>Low</v>
      </c>
      <c r="AD982" t="str">
        <f t="shared" si="111"/>
        <v>No</v>
      </c>
      <c r="AE982" t="str">
        <f>IF(G982&lt;=2,"Short Stay", IF(G982&lt;=7,"Normal Stay", "Long Stay"))</f>
        <v>Long Stay</v>
      </c>
      <c r="AF982" t="str">
        <f>IF(F982&gt;60000,"Expensive",IF(F982&gt;30000,"Moderate","Affordable"))</f>
        <v>Affordable</v>
      </c>
      <c r="AG982" t="str">
        <f>IF(J982&gt;=4.5,"Excellent",IF(J982&gt;=3.5,"Good",IF(J982&gt;=2.5,"Average","Poor")))</f>
        <v>Average</v>
      </c>
      <c r="AH982" t="str">
        <f>IF(OR(TEXT(N982,"dddd")="Saturday",TEXT(N982,"dddd")="Sunday"),"Weekend","Weekday")</f>
        <v>Weekday</v>
      </c>
    </row>
    <row r="983" spans="1:34" x14ac:dyDescent="0.3">
      <c r="A983">
        <v>998</v>
      </c>
      <c r="B983">
        <v>40</v>
      </c>
      <c r="C983" t="s">
        <v>35</v>
      </c>
      <c r="D983" t="s">
        <v>79</v>
      </c>
      <c r="E983" t="s">
        <v>80</v>
      </c>
      <c r="F983">
        <v>3000</v>
      </c>
      <c r="G983">
        <v>72</v>
      </c>
      <c r="H983" t="s">
        <v>24</v>
      </c>
      <c r="I983" t="s">
        <v>25</v>
      </c>
      <c r="J983">
        <v>4</v>
      </c>
      <c r="K983" t="s">
        <v>144</v>
      </c>
      <c r="L983" t="s">
        <v>2089</v>
      </c>
      <c r="M983" t="s">
        <v>2090</v>
      </c>
      <c r="N983" s="2">
        <v>46639</v>
      </c>
      <c r="O983" s="2">
        <v>46711</v>
      </c>
      <c r="P983" t="s">
        <v>29</v>
      </c>
      <c r="Q983" t="s">
        <v>52</v>
      </c>
      <c r="R983" t="s">
        <v>45</v>
      </c>
      <c r="S983" t="s">
        <v>110</v>
      </c>
      <c r="T983" t="s">
        <v>33</v>
      </c>
      <c r="U983" t="s">
        <v>46</v>
      </c>
      <c r="V983" t="str">
        <f>IF(B983&lt;=18,"Children",IF(B983&lt;=35,"Young adult",IF(B983&lt;=60,"Adult", "Senior Citizen")))</f>
        <v>Adult</v>
      </c>
      <c r="W983" t="str">
        <f t="shared" si="105"/>
        <v>Sep</v>
      </c>
      <c r="X983">
        <f t="shared" si="106"/>
        <v>9</v>
      </c>
      <c r="Y983" t="str">
        <f t="shared" si="107"/>
        <v>Q3</v>
      </c>
      <c r="Z983">
        <f t="shared" si="108"/>
        <v>2027</v>
      </c>
      <c r="AA983" t="str">
        <f t="shared" si="109"/>
        <v>Thursday</v>
      </c>
      <c r="AB983">
        <f t="shared" si="110"/>
        <v>-72</v>
      </c>
      <c r="AC983" t="str">
        <f>IF(OR(D983="Heart Disease",D983="Cancer",D983="Stroke"),"High",IF(OR(D983="Diabetes",D983="Asthma"),"Medium","Low"))</f>
        <v>Low</v>
      </c>
      <c r="AD983" t="str">
        <f t="shared" si="111"/>
        <v>No</v>
      </c>
      <c r="AE983" t="str">
        <f>IF(G983&lt;=2,"Short Stay", IF(G983&lt;=7,"Normal Stay", "Long Stay"))</f>
        <v>Long Stay</v>
      </c>
      <c r="AF983" t="str">
        <f>IF(F983&gt;60000,"Expensive",IF(F983&gt;30000,"Moderate","Affordable"))</f>
        <v>Affordable</v>
      </c>
      <c r="AG983" t="str">
        <f>IF(J983&gt;=4.5,"Excellent",IF(J983&gt;=3.5,"Good",IF(J983&gt;=2.5,"Average","Poor")))</f>
        <v>Good</v>
      </c>
      <c r="AH983" t="str">
        <f>IF(OR(TEXT(N983,"dddd")="Saturday",TEXT(N983,"dddd")="Sunday"),"Weekend","Weekday")</f>
        <v>Weekday</v>
      </c>
    </row>
    <row r="984" spans="1:34" x14ac:dyDescent="0.3">
      <c r="A984">
        <v>999</v>
      </c>
      <c r="B984">
        <v>78</v>
      </c>
      <c r="C984" t="s">
        <v>21</v>
      </c>
      <c r="D984" t="s">
        <v>85</v>
      </c>
      <c r="E984" t="s">
        <v>86</v>
      </c>
      <c r="F984">
        <v>18000</v>
      </c>
      <c r="G984">
        <v>74</v>
      </c>
      <c r="H984" t="s">
        <v>38</v>
      </c>
      <c r="I984" t="s">
        <v>39</v>
      </c>
      <c r="J984">
        <v>2</v>
      </c>
      <c r="K984" t="s">
        <v>245</v>
      </c>
      <c r="L984" t="s">
        <v>2091</v>
      </c>
      <c r="M984" t="s">
        <v>2092</v>
      </c>
      <c r="N984" s="2">
        <v>46640</v>
      </c>
      <c r="O984" s="2">
        <v>46714</v>
      </c>
      <c r="P984" t="s">
        <v>43</v>
      </c>
      <c r="Q984" t="s">
        <v>30</v>
      </c>
      <c r="R984" t="s">
        <v>45</v>
      </c>
      <c r="S984" t="s">
        <v>77</v>
      </c>
      <c r="T984" t="s">
        <v>33</v>
      </c>
      <c r="U984" t="s">
        <v>78</v>
      </c>
      <c r="V984" t="str">
        <f>IF(B984&lt;=18,"Children",IF(B984&lt;=35,"Young adult",IF(B984&lt;=60,"Adult", "Senior Citizen")))</f>
        <v>Senior Citizen</v>
      </c>
      <c r="W984" t="str">
        <f t="shared" si="105"/>
        <v>Sep</v>
      </c>
      <c r="X984">
        <f t="shared" si="106"/>
        <v>9</v>
      </c>
      <c r="Y984" t="str">
        <f t="shared" si="107"/>
        <v>Q3</v>
      </c>
      <c r="Z984">
        <f t="shared" si="108"/>
        <v>2027</v>
      </c>
      <c r="AA984" t="str">
        <f t="shared" si="109"/>
        <v>Friday</v>
      </c>
      <c r="AB984">
        <f t="shared" si="110"/>
        <v>-74</v>
      </c>
      <c r="AC984" t="str">
        <f>IF(OR(D984="Heart Disease",D984="Cancer",D984="Stroke"),"High",IF(OR(D984="Diabetes",D984="Asthma"),"Medium","Low"))</f>
        <v>Low</v>
      </c>
      <c r="AD984" t="str">
        <f t="shared" si="111"/>
        <v>No</v>
      </c>
      <c r="AE984" t="str">
        <f>IF(G984&lt;=2,"Short Stay", IF(G984&lt;=7,"Normal Stay", "Long Stay"))</f>
        <v>Long Stay</v>
      </c>
      <c r="AF984" t="str">
        <f>IF(F984&gt;60000,"Expensive",IF(F984&gt;30000,"Moderate","Affordable"))</f>
        <v>Affordable</v>
      </c>
      <c r="AG984" t="str">
        <f>IF(J984&gt;=4.5,"Excellent",IF(J984&gt;=3.5,"Good",IF(J984&gt;=2.5,"Average","Poor")))</f>
        <v>Poor</v>
      </c>
      <c r="AH984" t="str">
        <f>IF(OR(TEXT(N984,"dddd")="Saturday",TEXT(N984,"dddd")="Sunday"),"Weekend","Weekday")</f>
        <v>Weekday</v>
      </c>
    </row>
    <row r="985" spans="1:34" x14ac:dyDescent="0.3">
      <c r="A985">
        <v>1000</v>
      </c>
      <c r="B985">
        <v>25</v>
      </c>
      <c r="C985" t="s">
        <v>35</v>
      </c>
      <c r="D985" t="s">
        <v>89</v>
      </c>
      <c r="E985" t="s">
        <v>90</v>
      </c>
      <c r="F985">
        <v>100</v>
      </c>
      <c r="G985">
        <v>68</v>
      </c>
      <c r="H985" t="s">
        <v>24</v>
      </c>
      <c r="I985" t="s">
        <v>25</v>
      </c>
      <c r="J985">
        <v>5</v>
      </c>
      <c r="K985" t="s">
        <v>223</v>
      </c>
      <c r="L985" t="s">
        <v>2093</v>
      </c>
      <c r="M985" t="s">
        <v>2094</v>
      </c>
      <c r="N985" s="2">
        <v>46641</v>
      </c>
      <c r="O985" s="2">
        <v>46709</v>
      </c>
      <c r="P985" t="s">
        <v>43</v>
      </c>
      <c r="Q985" t="s">
        <v>44</v>
      </c>
      <c r="R985" t="s">
        <v>45</v>
      </c>
      <c r="S985" t="s">
        <v>110</v>
      </c>
      <c r="T985" t="s">
        <v>33</v>
      </c>
      <c r="U985" t="s">
        <v>104</v>
      </c>
      <c r="V985" t="str">
        <f>IF(B985&lt;=18,"Children",IF(B985&lt;=35,"Young adult",IF(B985&lt;=60,"Adult", "Senior Citizen")))</f>
        <v>Young adult</v>
      </c>
      <c r="W985" t="str">
        <f t="shared" si="105"/>
        <v>Sep</v>
      </c>
      <c r="X985">
        <f t="shared" si="106"/>
        <v>9</v>
      </c>
      <c r="Y985" t="str">
        <f t="shared" si="107"/>
        <v>Q3</v>
      </c>
      <c r="Z985">
        <f t="shared" si="108"/>
        <v>2027</v>
      </c>
      <c r="AA985" t="str">
        <f t="shared" si="109"/>
        <v>Saturday</v>
      </c>
      <c r="AB985">
        <f t="shared" si="110"/>
        <v>-68</v>
      </c>
      <c r="AC985" t="str">
        <f>IF(OR(D985="Heart Disease",D985="Cancer",D985="Stroke"),"High",IF(OR(D985="Diabetes",D985="Asthma"),"Medium","Low"))</f>
        <v>Low</v>
      </c>
      <c r="AD985" t="str">
        <f t="shared" si="111"/>
        <v>No</v>
      </c>
      <c r="AE985" t="str">
        <f>IF(G985&lt;=2,"Short Stay", IF(G985&lt;=7,"Normal Stay", "Long Stay"))</f>
        <v>Long Stay</v>
      </c>
      <c r="AF985" t="str">
        <f>IF(F985&gt;60000,"Expensive",IF(F985&gt;30000,"Moderate","Affordable"))</f>
        <v>Affordable</v>
      </c>
      <c r="AG985" t="str">
        <f>IF(J985&gt;=4.5,"Excellent",IF(J985&gt;=3.5,"Good",IF(J985&gt;=2.5,"Average","Poor")))</f>
        <v>Excellent</v>
      </c>
      <c r="AH985" t="str">
        <f>IF(OR(TEXT(N985,"dddd")="Saturday",TEXT(N985,"dddd")="Sunday"),"Weekend","Weekday")</f>
        <v>Weekend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Ezhilarasi K</cp:lastModifiedBy>
  <dcterms:created xsi:type="dcterms:W3CDTF">2026-07-07T15:38:33Z</dcterms:created>
  <dcterms:modified xsi:type="dcterms:W3CDTF">2026-07-07T16:30:16Z</dcterms:modified>
</cp:coreProperties>
</file>